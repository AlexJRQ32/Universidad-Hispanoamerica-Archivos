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nspiron\Documents\UHISPANOAMERICANA\FINANZAS 1\FINANZAS IQ2026\SEMANA 3\"/>
    </mc:Choice>
  </mc:AlternateContent>
  <xr:revisionPtr revIDLastSave="0" documentId="8_{F13FA0E7-15A8-43DF-99A8-82424F04E05B}" xr6:coauthVersionLast="47" xr6:coauthVersionMax="47" xr10:uidLastSave="{00000000-0000-0000-0000-000000000000}"/>
  <bookViews>
    <workbookView xWindow="-108" yWindow="-108" windowWidth="23256" windowHeight="12456" firstSheet="1" activeTab="5" xr2:uid="{00000000-000D-0000-FFFF-FFFF00000000}"/>
  </bookViews>
  <sheets>
    <sheet name="I PARTE teoría" sheetId="16" r:id="rId1"/>
    <sheet name="EJER 1 Análisis Vertical Horiz" sheetId="11" r:id="rId2"/>
    <sheet name="RAZONES FINANCIERAS" sheetId="17" r:id="rId3"/>
    <sheet name="PREGUNTAS" sheetId="13" r:id="rId4"/>
    <sheet name="EJERCICIO 2" sheetId="14" r:id="rId5"/>
    <sheet name="EJERCICIO 3" sheetId="18" r:id="rId6"/>
  </sheets>
  <definedNames>
    <definedName name="_xlnm.Print_Area" localSheetId="5">'EJERCICIO 3'!$B$182:$N$207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7" i="11" l="1"/>
  <c r="T57" i="11"/>
  <c r="U57" i="11" s="1"/>
  <c r="T56" i="11"/>
  <c r="H56" i="11"/>
  <c r="K54" i="11" s="1"/>
  <c r="D56" i="11"/>
  <c r="V55" i="11"/>
  <c r="T55" i="11"/>
  <c r="U55" i="11" s="1"/>
  <c r="K55" i="11"/>
  <c r="G55" i="11"/>
  <c r="V54" i="11"/>
  <c r="T54" i="11"/>
  <c r="U54" i="11" s="1"/>
  <c r="G54" i="11"/>
  <c r="V53" i="11"/>
  <c r="U53" i="11"/>
  <c r="T53" i="11"/>
  <c r="K53" i="11"/>
  <c r="K56" i="11" s="1"/>
  <c r="G53" i="11"/>
  <c r="G56" i="11" s="1"/>
  <c r="V52" i="11"/>
  <c r="T52" i="11"/>
  <c r="U52" i="11" s="1"/>
  <c r="T51" i="11"/>
  <c r="T50" i="11"/>
  <c r="H50" i="11"/>
  <c r="H58" i="11" s="1"/>
  <c r="T49" i="11"/>
  <c r="K49" i="11"/>
  <c r="H49" i="11"/>
  <c r="D49" i="11"/>
  <c r="V48" i="11"/>
  <c r="T48" i="11"/>
  <c r="U48" i="11" s="1"/>
  <c r="K48" i="11"/>
  <c r="G48" i="11"/>
  <c r="G49" i="11" s="1"/>
  <c r="V47" i="11"/>
  <c r="U47" i="11"/>
  <c r="T47" i="11"/>
  <c r="T46" i="11"/>
  <c r="H46" i="11"/>
  <c r="K45" i="11" s="1"/>
  <c r="D46" i="11"/>
  <c r="G45" i="11" s="1"/>
  <c r="V45" i="11"/>
  <c r="U45" i="11"/>
  <c r="T45" i="11"/>
  <c r="V44" i="11"/>
  <c r="T44" i="11"/>
  <c r="U44" i="11" s="1"/>
  <c r="K44" i="11"/>
  <c r="V43" i="11"/>
  <c r="U43" i="11"/>
  <c r="T43" i="11"/>
  <c r="V42" i="11"/>
  <c r="T42" i="11"/>
  <c r="U42" i="11" s="1"/>
  <c r="T41" i="11"/>
  <c r="T40" i="11"/>
  <c r="T39" i="11"/>
  <c r="T38" i="11"/>
  <c r="D38" i="11"/>
  <c r="E30" i="11" s="1"/>
  <c r="V37" i="11"/>
  <c r="U37" i="11"/>
  <c r="T37" i="11"/>
  <c r="H37" i="11"/>
  <c r="D37" i="11"/>
  <c r="F37" i="11" s="1"/>
  <c r="V36" i="11"/>
  <c r="T36" i="11"/>
  <c r="U36" i="11" s="1"/>
  <c r="K36" i="11"/>
  <c r="G36" i="11"/>
  <c r="E36" i="11"/>
  <c r="V35" i="11"/>
  <c r="U35" i="11"/>
  <c r="T35" i="11"/>
  <c r="G35" i="11"/>
  <c r="G37" i="11" s="1"/>
  <c r="V34" i="11"/>
  <c r="T34" i="11"/>
  <c r="U34" i="11" s="1"/>
  <c r="T33" i="11"/>
  <c r="H33" i="11"/>
  <c r="D33" i="11"/>
  <c r="F33" i="11" s="1"/>
  <c r="F38" i="11" s="1"/>
  <c r="V32" i="11"/>
  <c r="T32" i="11"/>
  <c r="U32" i="11" s="1"/>
  <c r="K32" i="11"/>
  <c r="G32" i="11"/>
  <c r="E32" i="11"/>
  <c r="V31" i="11"/>
  <c r="U31" i="11"/>
  <c r="T31" i="11"/>
  <c r="G31" i="11"/>
  <c r="V30" i="11"/>
  <c r="T30" i="11"/>
  <c r="U30" i="11" s="1"/>
  <c r="K30" i="11"/>
  <c r="G30" i="11"/>
  <c r="V29" i="11"/>
  <c r="T29" i="11"/>
  <c r="U29" i="11" s="1"/>
  <c r="G29" i="11"/>
  <c r="G33" i="11" s="1"/>
  <c r="E29" i="11"/>
  <c r="V28" i="11"/>
  <c r="T28" i="11"/>
  <c r="U28" i="11" s="1"/>
  <c r="R15" i="11"/>
  <c r="P15" i="11"/>
  <c r="Q15" i="11" s="1"/>
  <c r="F15" i="11"/>
  <c r="G15" i="11" s="1"/>
  <c r="D15" i="11"/>
  <c r="R13" i="11"/>
  <c r="O13" i="11"/>
  <c r="P13" i="11" s="1"/>
  <c r="Q13" i="11" s="1"/>
  <c r="N13" i="11"/>
  <c r="E13" i="11"/>
  <c r="F13" i="11" s="1"/>
  <c r="G13" i="11" s="1"/>
  <c r="C13" i="11"/>
  <c r="D13" i="11" s="1"/>
  <c r="R12" i="11"/>
  <c r="P12" i="11"/>
  <c r="Q12" i="11" s="1"/>
  <c r="G12" i="11"/>
  <c r="F12" i="11"/>
  <c r="D12" i="11"/>
  <c r="R11" i="11"/>
  <c r="P11" i="11"/>
  <c r="Q11" i="11" s="1"/>
  <c r="F11" i="11"/>
  <c r="G11" i="11" s="1"/>
  <c r="D11" i="11"/>
  <c r="R10" i="11"/>
  <c r="P10" i="11"/>
  <c r="Q10" i="11" s="1"/>
  <c r="G10" i="11"/>
  <c r="F10" i="11"/>
  <c r="D10" i="11"/>
  <c r="O9" i="11"/>
  <c r="R9" i="11" s="1"/>
  <c r="N9" i="11"/>
  <c r="N14" i="11" s="1"/>
  <c r="N16" i="11" s="1"/>
  <c r="E9" i="11"/>
  <c r="F9" i="11" s="1"/>
  <c r="C9" i="11"/>
  <c r="C14" i="11" s="1"/>
  <c r="R8" i="11"/>
  <c r="Q8" i="11"/>
  <c r="P8" i="11"/>
  <c r="F8" i="11"/>
  <c r="G8" i="11" s="1"/>
  <c r="D8" i="11"/>
  <c r="R7" i="11"/>
  <c r="P7" i="11"/>
  <c r="Q7" i="11" s="1"/>
  <c r="C16" i="11" l="1"/>
  <c r="D14" i="11"/>
  <c r="I48" i="11"/>
  <c r="I45" i="11"/>
  <c r="I54" i="11"/>
  <c r="I43" i="11"/>
  <c r="I44" i="11"/>
  <c r="J56" i="11"/>
  <c r="I55" i="11"/>
  <c r="I53" i="11"/>
  <c r="J37" i="11"/>
  <c r="E38" i="11"/>
  <c r="N17" i="11"/>
  <c r="N18" i="11"/>
  <c r="J49" i="11"/>
  <c r="G44" i="11"/>
  <c r="D9" i="11"/>
  <c r="G9" i="11" s="1"/>
  <c r="D50" i="11"/>
  <c r="E14" i="11"/>
  <c r="E31" i="11"/>
  <c r="G43" i="11"/>
  <c r="J46" i="11"/>
  <c r="P9" i="11"/>
  <c r="Q9" i="11" s="1"/>
  <c r="H38" i="11"/>
  <c r="K29" i="11"/>
  <c r="O14" i="11"/>
  <c r="K31" i="11"/>
  <c r="K35" i="11"/>
  <c r="K37" i="11" s="1"/>
  <c r="K43" i="11"/>
  <c r="K46" i="11" s="1"/>
  <c r="E35" i="11"/>
  <c r="E16" i="11" l="1"/>
  <c r="F14" i="11"/>
  <c r="G14" i="11" s="1"/>
  <c r="R14" i="11"/>
  <c r="P14" i="11"/>
  <c r="Q14" i="11" s="1"/>
  <c r="O16" i="11"/>
  <c r="K33" i="11"/>
  <c r="I58" i="11"/>
  <c r="D58" i="11"/>
  <c r="F50" i="11"/>
  <c r="I32" i="11"/>
  <c r="I30" i="11"/>
  <c r="I29" i="11"/>
  <c r="I38" i="11" s="1"/>
  <c r="I35" i="11"/>
  <c r="I31" i="11"/>
  <c r="I36" i="11"/>
  <c r="J50" i="11"/>
  <c r="J58" i="11" s="1"/>
  <c r="G46" i="11"/>
  <c r="J33" i="11"/>
  <c r="J38" i="11" s="1"/>
  <c r="C17" i="11"/>
  <c r="D17" i="11" s="1"/>
  <c r="C18" i="11"/>
  <c r="D18" i="11" s="1"/>
  <c r="D16" i="11"/>
  <c r="E53" i="11" l="1"/>
  <c r="E48" i="11"/>
  <c r="E54" i="11"/>
  <c r="E43" i="11"/>
  <c r="E45" i="11"/>
  <c r="E44" i="11"/>
  <c r="E55" i="11"/>
  <c r="F56" i="11"/>
  <c r="F58" i="11" s="1"/>
  <c r="F49" i="11"/>
  <c r="F46" i="11"/>
  <c r="R16" i="11"/>
  <c r="O17" i="11"/>
  <c r="P16" i="11"/>
  <c r="Q16" i="11" s="1"/>
  <c r="F16" i="11"/>
  <c r="G16" i="11" s="1"/>
  <c r="E17" i="11"/>
  <c r="F17" i="11" s="1"/>
  <c r="G17" i="11" s="1"/>
  <c r="E18" i="11"/>
  <c r="F18" i="11" s="1"/>
  <c r="G18" i="11" s="1"/>
  <c r="P17" i="11" l="1"/>
  <c r="Q17" i="11" s="1"/>
  <c r="R17" i="11"/>
  <c r="E58" i="11"/>
  <c r="O18" i="11"/>
  <c r="R18" i="11" l="1"/>
  <c r="P18" i="11"/>
  <c r="Q18" i="11" s="1"/>
  <c r="R167" i="18" l="1"/>
  <c r="R159" i="18"/>
  <c r="O159" i="18"/>
  <c r="L159" i="18"/>
  <c r="R155" i="18"/>
  <c r="O155" i="18"/>
  <c r="L155" i="18"/>
  <c r="L150" i="18"/>
  <c r="R149" i="18"/>
  <c r="R138" i="18"/>
  <c r="O138" i="18"/>
  <c r="L138" i="18"/>
  <c r="R137" i="18"/>
  <c r="T137" i="18" s="1"/>
  <c r="O137" i="18"/>
  <c r="Q137" i="18" s="1"/>
  <c r="L137" i="18"/>
  <c r="N137" i="18" s="1"/>
  <c r="R134" i="18"/>
  <c r="O134" i="18"/>
  <c r="Q133" i="18" s="1"/>
  <c r="L134" i="18"/>
  <c r="R133" i="18"/>
  <c r="T133" i="18" s="1"/>
  <c r="O133" i="18"/>
  <c r="L133" i="18"/>
  <c r="N133" i="18" s="1"/>
  <c r="R131" i="18"/>
  <c r="O131" i="18"/>
  <c r="L131" i="18"/>
  <c r="R130" i="18"/>
  <c r="T130" i="18" s="1"/>
  <c r="O130" i="18"/>
  <c r="Q130" i="18" s="1"/>
  <c r="N130" i="18"/>
  <c r="L130" i="18"/>
  <c r="L126" i="18"/>
  <c r="R122" i="18"/>
  <c r="O122" i="18"/>
  <c r="L121" i="18"/>
  <c r="M93" i="18"/>
  <c r="R145" i="18" s="1"/>
  <c r="I93" i="18"/>
  <c r="L92" i="18" s="1"/>
  <c r="E93" i="18"/>
  <c r="L145" i="18" s="1"/>
  <c r="P92" i="18"/>
  <c r="P91" i="18"/>
  <c r="P93" i="18" s="1"/>
  <c r="L91" i="18"/>
  <c r="L93" i="18" s="1"/>
  <c r="H91" i="18"/>
  <c r="M88" i="18"/>
  <c r="N81" i="18" s="1"/>
  <c r="O83" i="18" s="1"/>
  <c r="M87" i="18"/>
  <c r="P86" i="18" s="1"/>
  <c r="I87" i="18"/>
  <c r="L86" i="18" s="1"/>
  <c r="E87" i="18"/>
  <c r="H86" i="18"/>
  <c r="P85" i="18"/>
  <c r="L85" i="18"/>
  <c r="H85" i="18"/>
  <c r="H87" i="18" s="1"/>
  <c r="M83" i="18"/>
  <c r="R127" i="18" s="1"/>
  <c r="I83" i="18"/>
  <c r="L82" i="18" s="1"/>
  <c r="E83" i="18"/>
  <c r="L122" i="18" s="1"/>
  <c r="P82" i="18"/>
  <c r="N82" i="18"/>
  <c r="P81" i="18"/>
  <c r="P83" i="18" s="1"/>
  <c r="H81" i="18"/>
  <c r="M77" i="18"/>
  <c r="N71" i="18" s="1"/>
  <c r="E77" i="18"/>
  <c r="F71" i="18" s="1"/>
  <c r="G73" i="18" s="1"/>
  <c r="M76" i="18"/>
  <c r="P76" i="18" s="1"/>
  <c r="I76" i="18"/>
  <c r="L76" i="18" s="1"/>
  <c r="H76" i="18"/>
  <c r="E76" i="18"/>
  <c r="M73" i="18"/>
  <c r="P72" i="18" s="1"/>
  <c r="I73" i="18"/>
  <c r="I77" i="18" s="1"/>
  <c r="E73" i="18"/>
  <c r="H72" i="18"/>
  <c r="F72" i="18"/>
  <c r="P71" i="18"/>
  <c r="L71" i="18"/>
  <c r="H71" i="18"/>
  <c r="H73" i="18" s="1"/>
  <c r="H70" i="18"/>
  <c r="F70" i="18"/>
  <c r="G44" i="18"/>
  <c r="F44" i="18"/>
  <c r="E44" i="18"/>
  <c r="G38" i="18"/>
  <c r="F38" i="18"/>
  <c r="E38" i="18"/>
  <c r="G34" i="18"/>
  <c r="G39" i="18" s="1"/>
  <c r="G46" i="18" s="1"/>
  <c r="F34" i="18"/>
  <c r="F39" i="18" s="1"/>
  <c r="F46" i="18" s="1"/>
  <c r="E34" i="18"/>
  <c r="E39" i="18" s="1"/>
  <c r="E46" i="18" s="1"/>
  <c r="E28" i="18"/>
  <c r="G27" i="18"/>
  <c r="G28" i="18" s="1"/>
  <c r="F27" i="18"/>
  <c r="F28" i="18" s="1"/>
  <c r="E27" i="18"/>
  <c r="G24" i="18"/>
  <c r="F24" i="18"/>
  <c r="E24" i="18"/>
  <c r="P23" i="18"/>
  <c r="N21" i="18"/>
  <c r="N25" i="18" s="1"/>
  <c r="M21" i="18"/>
  <c r="M25" i="18" s="1"/>
  <c r="L21" i="18"/>
  <c r="L25" i="18" s="1"/>
  <c r="P108" i="17"/>
  <c r="R107" i="17" s="1"/>
  <c r="P90" i="17"/>
  <c r="R90" i="17" s="1"/>
  <c r="P67" i="17"/>
  <c r="P107" i="17"/>
  <c r="P104" i="17"/>
  <c r="P103" i="17"/>
  <c r="R103" i="17" s="1"/>
  <c r="P100" i="17"/>
  <c r="P99" i="17"/>
  <c r="R99" i="17" s="1"/>
  <c r="P96" i="17"/>
  <c r="R95" i="17"/>
  <c r="P95" i="17"/>
  <c r="P91" i="17"/>
  <c r="P84" i="17"/>
  <c r="P83" i="17"/>
  <c r="R83" i="17" s="1"/>
  <c r="P80" i="17"/>
  <c r="P79" i="17"/>
  <c r="R79" i="17" s="1"/>
  <c r="P77" i="17"/>
  <c r="P76" i="17"/>
  <c r="R76" i="17" s="1"/>
  <c r="P73" i="17"/>
  <c r="P72" i="17"/>
  <c r="R72" i="17" s="1"/>
  <c r="P68" i="17"/>
  <c r="R67" i="17"/>
  <c r="T37" i="17"/>
  <c r="U37" i="17" s="1"/>
  <c r="V37" i="17"/>
  <c r="N107" i="17"/>
  <c r="L108" i="17"/>
  <c r="L107" i="17"/>
  <c r="N103" i="17"/>
  <c r="L104" i="17"/>
  <c r="L103" i="17"/>
  <c r="N99" i="17"/>
  <c r="L100" i="17"/>
  <c r="L99" i="17"/>
  <c r="N95" i="17"/>
  <c r="L95" i="17"/>
  <c r="L28" i="18" l="1"/>
  <c r="L154" i="18"/>
  <c r="N154" i="18" s="1"/>
  <c r="O154" i="18"/>
  <c r="Q154" i="18" s="1"/>
  <c r="M28" i="18"/>
  <c r="L87" i="18"/>
  <c r="T149" i="18"/>
  <c r="H93" i="18"/>
  <c r="J70" i="18"/>
  <c r="J72" i="18"/>
  <c r="O150" i="18"/>
  <c r="O163" i="18"/>
  <c r="J75" i="18"/>
  <c r="K76" i="18" s="1"/>
  <c r="J71" i="18"/>
  <c r="P87" i="18"/>
  <c r="N121" i="18"/>
  <c r="H83" i="18"/>
  <c r="N28" i="18"/>
  <c r="R154" i="18"/>
  <c r="T154" i="18" s="1"/>
  <c r="N85" i="18"/>
  <c r="R126" i="18"/>
  <c r="T126" i="18" s="1"/>
  <c r="R144" i="18"/>
  <c r="T144" i="18" s="1"/>
  <c r="O167" i="18"/>
  <c r="L72" i="18"/>
  <c r="N70" i="18"/>
  <c r="N72" i="18"/>
  <c r="H82" i="18"/>
  <c r="N86" i="18"/>
  <c r="H92" i="18"/>
  <c r="R121" i="18"/>
  <c r="T121" i="18" s="1"/>
  <c r="O127" i="18"/>
  <c r="O145" i="18"/>
  <c r="O88" i="18"/>
  <c r="O126" i="18"/>
  <c r="L81" i="18"/>
  <c r="L83" i="18" s="1"/>
  <c r="L167" i="18"/>
  <c r="O121" i="18"/>
  <c r="Q121" i="18" s="1"/>
  <c r="R150" i="18"/>
  <c r="L70" i="18"/>
  <c r="L73" i="18" s="1"/>
  <c r="F75" i="18"/>
  <c r="G76" i="18" s="1"/>
  <c r="G77" i="18" s="1"/>
  <c r="E88" i="18"/>
  <c r="L127" i="18"/>
  <c r="N126" i="18" s="1"/>
  <c r="P70" i="18"/>
  <c r="P73" i="18" s="1"/>
  <c r="N75" i="18"/>
  <c r="O76" i="18" s="1"/>
  <c r="I88" i="18"/>
  <c r="R163" i="18"/>
  <c r="M95" i="18"/>
  <c r="L163" i="18"/>
  <c r="L96" i="17"/>
  <c r="N90" i="17"/>
  <c r="L91" i="17"/>
  <c r="L90" i="17"/>
  <c r="N83" i="17"/>
  <c r="L84" i="17"/>
  <c r="L83" i="17"/>
  <c r="N79" i="17"/>
  <c r="L80" i="17"/>
  <c r="L79" i="17"/>
  <c r="N76" i="17"/>
  <c r="L77" i="17"/>
  <c r="L76" i="17"/>
  <c r="N72" i="17"/>
  <c r="L73" i="17"/>
  <c r="L72" i="17"/>
  <c r="N67" i="17"/>
  <c r="L68" i="17"/>
  <c r="L67" i="17"/>
  <c r="V57" i="17"/>
  <c r="U57" i="17"/>
  <c r="T57" i="17"/>
  <c r="H56" i="17"/>
  <c r="K54" i="17" s="1"/>
  <c r="D56" i="17"/>
  <c r="V55" i="17"/>
  <c r="T55" i="17"/>
  <c r="U55" i="17" s="1"/>
  <c r="G55" i="17"/>
  <c r="V54" i="17"/>
  <c r="U54" i="17"/>
  <c r="T54" i="17"/>
  <c r="G54" i="17"/>
  <c r="V53" i="17"/>
  <c r="T53" i="17"/>
  <c r="U53" i="17" s="1"/>
  <c r="G53" i="17"/>
  <c r="G56" i="17" s="1"/>
  <c r="V52" i="17"/>
  <c r="U52" i="17"/>
  <c r="T52" i="17"/>
  <c r="D50" i="17"/>
  <c r="D58" i="17" s="1"/>
  <c r="H49" i="17"/>
  <c r="K48" i="17" s="1"/>
  <c r="D49" i="17"/>
  <c r="G48" i="17" s="1"/>
  <c r="V48" i="17"/>
  <c r="T48" i="17"/>
  <c r="U48" i="17" s="1"/>
  <c r="V47" i="17"/>
  <c r="U47" i="17"/>
  <c r="T47" i="17"/>
  <c r="H46" i="17"/>
  <c r="G46" i="17"/>
  <c r="D46" i="17"/>
  <c r="V45" i="17"/>
  <c r="T45" i="17"/>
  <c r="U45" i="17" s="1"/>
  <c r="G45" i="17"/>
  <c r="V44" i="17"/>
  <c r="T44" i="17"/>
  <c r="U44" i="17" s="1"/>
  <c r="K44" i="17"/>
  <c r="G44" i="17"/>
  <c r="V43" i="17"/>
  <c r="T43" i="17"/>
  <c r="U43" i="17" s="1"/>
  <c r="G43" i="17"/>
  <c r="V42" i="17"/>
  <c r="U42" i="17"/>
  <c r="T42" i="17"/>
  <c r="H37" i="17"/>
  <c r="K36" i="17" s="1"/>
  <c r="D37" i="17"/>
  <c r="G35" i="17" s="1"/>
  <c r="V36" i="17"/>
  <c r="U36" i="17"/>
  <c r="T36" i="17"/>
  <c r="V35" i="17"/>
  <c r="T35" i="17"/>
  <c r="U35" i="17" s="1"/>
  <c r="K35" i="17"/>
  <c r="V34" i="17"/>
  <c r="U34" i="17"/>
  <c r="T34" i="17"/>
  <c r="H33" i="17"/>
  <c r="H38" i="17" s="1"/>
  <c r="D33" i="17"/>
  <c r="G29" i="17" s="1"/>
  <c r="V32" i="17"/>
  <c r="T32" i="17"/>
  <c r="U32" i="17" s="1"/>
  <c r="V31" i="17"/>
  <c r="T31" i="17"/>
  <c r="U31" i="17" s="1"/>
  <c r="K31" i="17"/>
  <c r="G31" i="17"/>
  <c r="V30" i="17"/>
  <c r="T30" i="17"/>
  <c r="U30" i="17" s="1"/>
  <c r="V29" i="17"/>
  <c r="T29" i="17"/>
  <c r="U29" i="17" s="1"/>
  <c r="K29" i="17"/>
  <c r="V28" i="17"/>
  <c r="T28" i="17"/>
  <c r="U28" i="17" s="1"/>
  <c r="R15" i="17"/>
  <c r="Q15" i="17"/>
  <c r="P15" i="17"/>
  <c r="F15" i="17"/>
  <c r="D15" i="17"/>
  <c r="O14" i="17"/>
  <c r="R14" i="17" s="1"/>
  <c r="N14" i="17"/>
  <c r="N16" i="17" s="1"/>
  <c r="E14" i="17"/>
  <c r="F14" i="17" s="1"/>
  <c r="O13" i="17"/>
  <c r="R13" i="17" s="1"/>
  <c r="N13" i="17"/>
  <c r="E13" i="17"/>
  <c r="F13" i="17" s="1"/>
  <c r="C13" i="17"/>
  <c r="D13" i="17" s="1"/>
  <c r="R12" i="17"/>
  <c r="Q12" i="17"/>
  <c r="P12" i="17"/>
  <c r="F12" i="17"/>
  <c r="D12" i="17"/>
  <c r="R11" i="17"/>
  <c r="P11" i="17"/>
  <c r="Q11" i="17" s="1"/>
  <c r="F11" i="17"/>
  <c r="D11" i="17"/>
  <c r="R10" i="17"/>
  <c r="Q10" i="17"/>
  <c r="P10" i="17"/>
  <c r="F10" i="17"/>
  <c r="D10" i="17"/>
  <c r="O9" i="17"/>
  <c r="N9" i="17"/>
  <c r="R9" i="17" s="1"/>
  <c r="E9" i="17"/>
  <c r="F9" i="17" s="1"/>
  <c r="F7" i="17" s="1"/>
  <c r="C9" i="17"/>
  <c r="D9" i="17" s="1"/>
  <c r="D7" i="17" s="1"/>
  <c r="R8" i="17"/>
  <c r="Q8" i="17"/>
  <c r="P8" i="17"/>
  <c r="F8" i="17"/>
  <c r="D8" i="17"/>
  <c r="G8" i="17" s="1"/>
  <c r="R7" i="17"/>
  <c r="P7" i="17"/>
  <c r="Q7" i="17" s="1"/>
  <c r="A5" i="17"/>
  <c r="N92" i="18" l="1"/>
  <c r="N91" i="18"/>
  <c r="O93" i="18" s="1"/>
  <c r="O95" i="18" s="1"/>
  <c r="N30" i="18"/>
  <c r="N29" i="18"/>
  <c r="L144" i="18"/>
  <c r="N144" i="18" s="1"/>
  <c r="F81" i="18"/>
  <c r="L149" i="18"/>
  <c r="N149" i="18" s="1"/>
  <c r="E95" i="18"/>
  <c r="F85" i="18"/>
  <c r="F86" i="18"/>
  <c r="F82" i="18"/>
  <c r="G88" i="18"/>
  <c r="O73" i="18"/>
  <c r="O77" i="18" s="1"/>
  <c r="Q126" i="18"/>
  <c r="L30" i="18"/>
  <c r="L29" i="18"/>
  <c r="J86" i="18"/>
  <c r="O149" i="18"/>
  <c r="Q149" i="18" s="1"/>
  <c r="J85" i="18"/>
  <c r="K87" i="18" s="1"/>
  <c r="J82" i="18"/>
  <c r="O144" i="18"/>
  <c r="Q144" i="18" s="1"/>
  <c r="J81" i="18"/>
  <c r="K83" i="18" s="1"/>
  <c r="I95" i="18"/>
  <c r="M29" i="18"/>
  <c r="M30" i="18" s="1"/>
  <c r="O87" i="18"/>
  <c r="K73" i="18"/>
  <c r="K77" i="18" s="1"/>
  <c r="I29" i="17"/>
  <c r="I32" i="17"/>
  <c r="I36" i="17"/>
  <c r="I30" i="17"/>
  <c r="I35" i="17"/>
  <c r="I31" i="17"/>
  <c r="G13" i="17"/>
  <c r="E48" i="17"/>
  <c r="E43" i="17"/>
  <c r="F56" i="17"/>
  <c r="E44" i="17"/>
  <c r="E55" i="17"/>
  <c r="E54" i="17"/>
  <c r="F50" i="17"/>
  <c r="E53" i="17"/>
  <c r="E45" i="17"/>
  <c r="F46" i="17"/>
  <c r="N17" i="17"/>
  <c r="N18" i="17"/>
  <c r="K37" i="17"/>
  <c r="P14" i="17"/>
  <c r="Q14" i="17" s="1"/>
  <c r="J37" i="17"/>
  <c r="G30" i="17"/>
  <c r="J33" i="17"/>
  <c r="K43" i="17"/>
  <c r="K46" i="17" s="1"/>
  <c r="K55" i="17"/>
  <c r="E16" i="17"/>
  <c r="O16" i="17"/>
  <c r="G36" i="17"/>
  <c r="G37" i="17" s="1"/>
  <c r="D38" i="17"/>
  <c r="F33" i="17" s="1"/>
  <c r="P13" i="17"/>
  <c r="Q13" i="17" s="1"/>
  <c r="K30" i="17"/>
  <c r="G32" i="17"/>
  <c r="G33" i="17" s="1"/>
  <c r="K45" i="17"/>
  <c r="H50" i="17"/>
  <c r="K53" i="17"/>
  <c r="K56" i="17" s="1"/>
  <c r="K32" i="17"/>
  <c r="K33" i="17" s="1"/>
  <c r="C14" i="17"/>
  <c r="P9" i="17"/>
  <c r="Q9" i="17" s="1"/>
  <c r="O158" i="18" l="1"/>
  <c r="Q158" i="18" s="1"/>
  <c r="O166" i="18"/>
  <c r="Q166" i="18" s="1"/>
  <c r="O162" i="18"/>
  <c r="Q162" i="18" s="1"/>
  <c r="J92" i="18"/>
  <c r="J91" i="18"/>
  <c r="G87" i="18"/>
  <c r="G83" i="18"/>
  <c r="K88" i="18"/>
  <c r="F91" i="18"/>
  <c r="F92" i="18"/>
  <c r="L162" i="18"/>
  <c r="N162" i="18" s="1"/>
  <c r="L166" i="18"/>
  <c r="N166" i="18" s="1"/>
  <c r="L158" i="18"/>
  <c r="N158" i="18" s="1"/>
  <c r="R162" i="18"/>
  <c r="T162" i="18" s="1"/>
  <c r="R166" i="18"/>
  <c r="T166" i="18" s="1"/>
  <c r="R158" i="18"/>
  <c r="T158" i="18" s="1"/>
  <c r="D14" i="17"/>
  <c r="C16" i="17"/>
  <c r="O17" i="17"/>
  <c r="R16" i="17"/>
  <c r="P16" i="17"/>
  <c r="Q16" i="17" s="1"/>
  <c r="O18" i="17"/>
  <c r="F16" i="17"/>
  <c r="E17" i="17"/>
  <c r="F17" i="17" s="1"/>
  <c r="F58" i="17"/>
  <c r="E58" i="17"/>
  <c r="H58" i="17"/>
  <c r="E31" i="17"/>
  <c r="E35" i="17"/>
  <c r="E29" i="17"/>
  <c r="E32" i="17"/>
  <c r="E36" i="17"/>
  <c r="E30" i="17"/>
  <c r="F37" i="17"/>
  <c r="F38" i="17" s="1"/>
  <c r="I38" i="17"/>
  <c r="K93" i="18" l="1"/>
  <c r="K95" i="18" s="1"/>
  <c r="G93" i="18"/>
  <c r="G95" i="18" s="1"/>
  <c r="P18" i="17"/>
  <c r="Q18" i="17" s="1"/>
  <c r="R18" i="17"/>
  <c r="R17" i="17"/>
  <c r="P17" i="17"/>
  <c r="Q17" i="17" s="1"/>
  <c r="E18" i="17"/>
  <c r="F18" i="17" s="1"/>
  <c r="E38" i="17"/>
  <c r="D16" i="17"/>
  <c r="C17" i="17"/>
  <c r="D17" i="17" s="1"/>
  <c r="G17" i="17" s="1"/>
  <c r="C18" i="17"/>
  <c r="D18" i="17" s="1"/>
  <c r="G16" i="17"/>
  <c r="I44" i="17"/>
  <c r="I53" i="17"/>
  <c r="I48" i="17"/>
  <c r="I54" i="17"/>
  <c r="I45" i="17"/>
  <c r="I55" i="17"/>
  <c r="I43" i="17"/>
  <c r="J56" i="17"/>
  <c r="J46" i="17"/>
  <c r="J50" i="17"/>
  <c r="J58" i="17" s="1"/>
  <c r="I58" i="17" l="1"/>
  <c r="G18" i="17"/>
</calcChain>
</file>

<file path=xl/sharedStrings.xml><?xml version="1.0" encoding="utf-8"?>
<sst xmlns="http://schemas.openxmlformats.org/spreadsheetml/2006/main" count="712" uniqueCount="331">
  <si>
    <t>Análisis Vertical</t>
  </si>
  <si>
    <t>Año 2022</t>
  </si>
  <si>
    <t>Año 2023</t>
  </si>
  <si>
    <t>Análisis vertical</t>
  </si>
  <si>
    <t>Ventas Netas</t>
  </si>
  <si>
    <t>Inventario</t>
  </si>
  <si>
    <t xml:space="preserve">Costo de Mercaderías Vendidas </t>
  </si>
  <si>
    <t>(En millones de colones)</t>
  </si>
  <si>
    <t xml:space="preserve">Estado de Resultados Santa Bárbara S.A </t>
  </si>
  <si>
    <t>Del 1 enero al 31 de diciembre</t>
  </si>
  <si>
    <t>Utilidad Bruta</t>
  </si>
  <si>
    <t>Gastos de operación</t>
  </si>
  <si>
    <t>Gastos Administrativos y generales</t>
  </si>
  <si>
    <t>Gastos por depreciaciación</t>
  </si>
  <si>
    <t>Total gastos de operación</t>
  </si>
  <si>
    <t>Utilidad de Operación</t>
  </si>
  <si>
    <t>Gastos por intereses</t>
  </si>
  <si>
    <t>Utilidad antes de impuestos</t>
  </si>
  <si>
    <t>Impuestos 21.80%</t>
  </si>
  <si>
    <t>Utilidad después de impuestos</t>
  </si>
  <si>
    <t>Variación</t>
  </si>
  <si>
    <t xml:space="preserve">Balances Generales </t>
  </si>
  <si>
    <t>Santa Barbara S.A</t>
  </si>
  <si>
    <t>Al 31 de diciembre</t>
  </si>
  <si>
    <t>Activos</t>
  </si>
  <si>
    <t xml:space="preserve">Activos Circulantes </t>
  </si>
  <si>
    <t>Efectivo</t>
  </si>
  <si>
    <t>Valores negociables</t>
  </si>
  <si>
    <t>Cuentas por cobrar</t>
  </si>
  <si>
    <t>Inventarios</t>
  </si>
  <si>
    <t>Total Activos circulantes</t>
  </si>
  <si>
    <t>Activos Fijos</t>
  </si>
  <si>
    <t>Activo fijos brutos</t>
  </si>
  <si>
    <t>Depreciación acumulada</t>
  </si>
  <si>
    <t>Total activos fijos</t>
  </si>
  <si>
    <t>Activo Total</t>
  </si>
  <si>
    <t>Pasivo y capital contable</t>
  </si>
  <si>
    <t>Pasivo</t>
  </si>
  <si>
    <t>Pasivo Circulante</t>
  </si>
  <si>
    <t>Cuentas por pagar</t>
  </si>
  <si>
    <t>Documento por pagar</t>
  </si>
  <si>
    <t>Otros pasivos circulantes</t>
  </si>
  <si>
    <t>Total pasivo circulante</t>
  </si>
  <si>
    <t>Pasivo a largo plazo</t>
  </si>
  <si>
    <t>Hipotecas a largo plazo</t>
  </si>
  <si>
    <t>Total pasivos</t>
  </si>
  <si>
    <t>Capital Contable</t>
  </si>
  <si>
    <t>Acciones comunes (100.000 acciones)</t>
  </si>
  <si>
    <t>Capital pagado en exceso de valor nominal</t>
  </si>
  <si>
    <t>Utilidades retenidas</t>
  </si>
  <si>
    <t>Total capital contable</t>
  </si>
  <si>
    <t>Total pasivos y capital contable</t>
  </si>
  <si>
    <t>Análisis Horizontal</t>
  </si>
  <si>
    <t>AÑO 2022</t>
  </si>
  <si>
    <t xml:space="preserve">Absoluta </t>
  </si>
  <si>
    <t>Porcentual</t>
  </si>
  <si>
    <t>Directo</t>
  </si>
  <si>
    <t>AÑO 2023</t>
  </si>
  <si>
    <t xml:space="preserve">Razon circulante </t>
  </si>
  <si>
    <t>Activos circulantes</t>
  </si>
  <si>
    <t>Veces</t>
  </si>
  <si>
    <t xml:space="preserve">Pasivos corrientes </t>
  </si>
  <si>
    <t xml:space="preserve">Razon prueba de ácido </t>
  </si>
  <si>
    <t>Activos circulantes-Inventarios</t>
  </si>
  <si>
    <t>Apalancamiento (endeudamiento)</t>
  </si>
  <si>
    <t>Razon endeudamiento</t>
  </si>
  <si>
    <t xml:space="preserve">Mide la proporción de una empresa en la cual utiliza deudas (pasivos) para financiar sus activos </t>
  </si>
  <si>
    <t>Pasivos totales</t>
  </si>
  <si>
    <t>%</t>
  </si>
  <si>
    <t>Patrimonio Total</t>
  </si>
  <si>
    <t>Actividad (activos)</t>
  </si>
  <si>
    <t>Razon periodo promedio de cobro</t>
  </si>
  <si>
    <t>Cuentas por cobrar*días del año</t>
  </si>
  <si>
    <t>días</t>
  </si>
  <si>
    <t>Mide el tiempo en que tarda una empresa para recuperar sus ventas a crédito</t>
  </si>
  <si>
    <t xml:space="preserve">Ventas anuales a crédito </t>
  </si>
  <si>
    <t>Razon rotación de inventarios</t>
  </si>
  <si>
    <t>Costo de la mercadería vendida</t>
  </si>
  <si>
    <t>Mide la liquidez de los inventarios de una empresa</t>
  </si>
  <si>
    <t>Muestra la capacidad de una empresa para cubrir sus pasivos corrientes (circulantes) con sus activos circulantes (corrientes)</t>
  </si>
  <si>
    <t>=</t>
  </si>
  <si>
    <t>RAZONES FINANCIERAS</t>
  </si>
  <si>
    <t>INDICE O RAZÓN</t>
  </si>
  <si>
    <t>20.2 días</t>
  </si>
  <si>
    <t>15 días</t>
  </si>
  <si>
    <t>Rotación activos total</t>
  </si>
  <si>
    <t>Ventas</t>
  </si>
  <si>
    <t>Mide la eficiencia con que una empresa puede emplear todos sus activos para generar ventas</t>
  </si>
  <si>
    <t>Activos totales</t>
  </si>
  <si>
    <t>Rentabilidad</t>
  </si>
  <si>
    <t>Promedio Industria 2022</t>
  </si>
  <si>
    <t>Promedio Industria 2023</t>
  </si>
  <si>
    <t>Margen de utilidad bruta</t>
  </si>
  <si>
    <t>Utilidad bruta</t>
  </si>
  <si>
    <t>Margen de utilidad neta</t>
  </si>
  <si>
    <t>Utilidad neta</t>
  </si>
  <si>
    <t xml:space="preserve">Rentabilidad sobre activos </t>
  </si>
  <si>
    <t>Activo total</t>
  </si>
  <si>
    <t xml:space="preserve">Rentabilidad sobre patrimonio </t>
  </si>
  <si>
    <t>Indica el porcentaje de utilidad bruta que estan generando las ventas de una empresa</t>
  </si>
  <si>
    <t>Indica el porcentaje de utilidad neta que estan generando las ventas de una empresa</t>
  </si>
  <si>
    <t>Mide la eficiencia total de la administración en obtener utilidades a partir de los activos disponibles de una empresa</t>
  </si>
  <si>
    <t>Mide el rendimiento de la inversión de los propietarioas (dueños) Accionistas de la empresa (comunes o preferentes)</t>
  </si>
  <si>
    <t xml:space="preserve">a) </t>
  </si>
  <si>
    <t>b)</t>
  </si>
  <si>
    <t>¿Qué recomendaría usted al gerente de crédito, ¿daría visto bueno para que se le otorgue el crédito a la empresa Santa Barbara S.A?</t>
  </si>
  <si>
    <t>c)</t>
  </si>
  <si>
    <t>Prepare todo un informe financiero sobre los resultados de los análisis vertical y horizontal, así como los índíces financieros indicando los puntos fuertes y débiles de la empresa Santa Barbara S.A</t>
  </si>
  <si>
    <t>d)</t>
  </si>
  <si>
    <t>Interpretación Analisis Vertical de Balances Generales:</t>
  </si>
  <si>
    <t>Interpretación Analisis Vertical de Estados de Resultados:</t>
  </si>
  <si>
    <t>2022-2023</t>
  </si>
  <si>
    <t>Interpretación Analisis Horizontal de Balances Generales:</t>
  </si>
  <si>
    <t>Interpretación Analisis Horizontal de Estados de Resultados:</t>
  </si>
  <si>
    <t>Recomendaciones:</t>
  </si>
  <si>
    <t>Estrategía:</t>
  </si>
  <si>
    <t>Usted es el analista de crédito del Banco El Quebrao S.A y le presentan las siguientes razones financieras de la compañía Tvfeo con el objeto de que dicha compañía dese solicitar un crédito para ampliar su planta de producción de equipo eléctrico por la suma de ¢100.0 millones, la producción podría incrementarse en un 25%, el precio de venta se mantendrá y los costos de producción pueden disminuir un 4%.</t>
  </si>
  <si>
    <t>Razón circulante</t>
  </si>
  <si>
    <t>Razón de endeudamiento</t>
  </si>
  <si>
    <t>Periodo promedio de cobro</t>
  </si>
  <si>
    <t>Razón de apalancamiento</t>
  </si>
  <si>
    <t>Rotación de inventarios</t>
  </si>
  <si>
    <t>Rotación de activo total</t>
  </si>
  <si>
    <t>Rentabilidad sobre activos</t>
  </si>
  <si>
    <t>Razón Financiera</t>
  </si>
  <si>
    <t>Promedio de la industria año 2022</t>
  </si>
  <si>
    <t>Promedio de la industria año 2023</t>
  </si>
  <si>
    <t>1.30 veces</t>
  </si>
  <si>
    <t>1.15 veces</t>
  </si>
  <si>
    <t>1.95 veces</t>
  </si>
  <si>
    <t>2.05 veces</t>
  </si>
  <si>
    <t xml:space="preserve">45 días </t>
  </si>
  <si>
    <t>40 días</t>
  </si>
  <si>
    <t>30 días</t>
  </si>
  <si>
    <t>2.25 veces</t>
  </si>
  <si>
    <t>2.35 veces</t>
  </si>
  <si>
    <t>2.50 veces</t>
  </si>
  <si>
    <t>2.75 veces</t>
  </si>
  <si>
    <t>0.70 veces</t>
  </si>
  <si>
    <t>0.65 veces</t>
  </si>
  <si>
    <t>0.85 veces</t>
  </si>
  <si>
    <t>0.95 veces</t>
  </si>
  <si>
    <t>Rotación de activos fijos</t>
  </si>
  <si>
    <t>Rentabilidad sobre patrimonio</t>
  </si>
  <si>
    <t>Prueba de ácido</t>
  </si>
  <si>
    <t>3.2 veces</t>
  </si>
  <si>
    <t>3.6 veces</t>
  </si>
  <si>
    <t>5 veces</t>
  </si>
  <si>
    <t>7 veces</t>
  </si>
  <si>
    <t>1.75 veces</t>
  </si>
  <si>
    <t>1.90 veces</t>
  </si>
  <si>
    <t>*</t>
  </si>
  <si>
    <t>Prepare un informe de las fortalezas y debilidades de la compañía Tcfeo, en función de las razones financieras y el promedio de la industria</t>
  </si>
  <si>
    <t>Fortalezas</t>
  </si>
  <si>
    <t>Debilidades</t>
  </si>
  <si>
    <t>Permite conocer la capacidad de una empresa para cubrir sus pasivos corrientes (circulantes) con sus activos circulantes mas líquidos.</t>
  </si>
  <si>
    <t>Emita su recomendación con relación a otorgar el crédito sí o no a la compañía Tvfeo.</t>
  </si>
  <si>
    <t>Que recomendación le brindaría a la compañía Tvfeo, para mejorar su situación financiera</t>
  </si>
  <si>
    <t>Rubros</t>
  </si>
  <si>
    <t>Empresa A</t>
  </si>
  <si>
    <t>Empresa B</t>
  </si>
  <si>
    <t>Empresa C</t>
  </si>
  <si>
    <t xml:space="preserve">Balance General </t>
  </si>
  <si>
    <t>(En millones de colones</t>
  </si>
  <si>
    <t xml:space="preserve">Activos Corrientes </t>
  </si>
  <si>
    <t>Disponibilidades</t>
  </si>
  <si>
    <t>Total Activos corrientes</t>
  </si>
  <si>
    <t>Bienes de Uso (neto de amortizaciones)</t>
  </si>
  <si>
    <t>PASIVO</t>
  </si>
  <si>
    <t>ACTIVO</t>
  </si>
  <si>
    <t>Pasivo Corriente</t>
  </si>
  <si>
    <t>Cuentas y Documentos por pagar</t>
  </si>
  <si>
    <t>Impuestos Fiscales</t>
  </si>
  <si>
    <t>Total Pasivo Corriente</t>
  </si>
  <si>
    <t>Pasivo no corriente</t>
  </si>
  <si>
    <t>Deuda por pagar L.P</t>
  </si>
  <si>
    <t>Préstamo bancario L.P</t>
  </si>
  <si>
    <t>Total Pasivo Largo Plazo</t>
  </si>
  <si>
    <t>Total del Pasivo</t>
  </si>
  <si>
    <t>PATRIMONIO NETO</t>
  </si>
  <si>
    <t>Capital social</t>
  </si>
  <si>
    <t>Utilidades Acumuladas</t>
  </si>
  <si>
    <t>Total Patrimonio Neto</t>
  </si>
  <si>
    <t>Total del Pasivo más Patrimonio Neto</t>
  </si>
  <si>
    <t>Usted labora en el departemento de análisis de crédito del Bnaco Yanomiro Mizuzuki S.A., como función principal es deber otorgar los criterios y análisis financieros de las diferentes compañías que solicitan crédito, a continuación, se presentan tres empresas para la solicitud de crédito con los estados financieros al 31 de diciembre 2023.</t>
  </si>
  <si>
    <t>a.</t>
  </si>
  <si>
    <t>En el caso de compañía A su solicitud de préstamo es por ¢425.0 millones para la expansión geográfica de sus actividades, el préstamo sería a 5 años plazo, y sus ventas se incrementan un 15%, la vida útil del nuevo edificio y los equipos en promedio sería a 10 años</t>
  </si>
  <si>
    <t>b.</t>
  </si>
  <si>
    <t>En el caso de compañía B su solicitud de préstamo es por ¢325.0 millones para la expansión de nuevos productos, el préstamo sería a 3 años plazo, y sus ventas se incrementan un 12%, la vida útil del nuevo equipo de producción sería a 6 años</t>
  </si>
  <si>
    <t>c.</t>
  </si>
  <si>
    <t>En el caso de compañía C su solicitud de préstamo es por ¢225.0 millones para capital de trabajo de corto plazo a utilizar en la operativa normal de la compañía, el préstamo sería a 1 años plazo, y sus ventas se incrementan un 8%, estos recursos se utilizarán para la compra de materia prima.</t>
  </si>
  <si>
    <t>Estado de Resultados</t>
  </si>
  <si>
    <t>Margen Bruto</t>
  </si>
  <si>
    <t>Gasto de Administración</t>
  </si>
  <si>
    <t>Gasto de comercialización</t>
  </si>
  <si>
    <t>Utilidades antes de intereses e impuestos</t>
  </si>
  <si>
    <t>Gastos Financieros</t>
  </si>
  <si>
    <t>Impuestos a las Ganancias (50%)</t>
  </si>
  <si>
    <t>Utilidad Neta</t>
  </si>
  <si>
    <t>Realice un análisis financiero basado en el análisis vertical de cada una de las compañías, estableciendo cuales fortalezas y debilidades financieras que muestra cada de las compañías</t>
  </si>
  <si>
    <t>Fortalezas financieras</t>
  </si>
  <si>
    <t>Debilidades Financieras</t>
  </si>
  <si>
    <t>Cálcule las tazones solicitadas anteriormente, prepare el informe de análisis financiero de cada una de las empresas</t>
  </si>
  <si>
    <t>Razon periodo promedio de pago</t>
  </si>
  <si>
    <t>Mide la duración promedio en que se tarda en pagar una compra a crédito</t>
  </si>
  <si>
    <t>Razon apalancamiento</t>
  </si>
  <si>
    <t xml:space="preserve">Mide la relación de pasivos a patrimonio y evalúa cuanto financian terceros en relación a los dueños </t>
  </si>
  <si>
    <t>Recomendaciones</t>
  </si>
  <si>
    <t>Cómo se podrían aplicar</t>
  </si>
  <si>
    <t>Con base en los aspectos anteriores emita criterio como analista financiero con relación a la toma de decisiones de otorgar crédito a cada una de las empresas del caso en análisis</t>
  </si>
  <si>
    <t>Decisión</t>
  </si>
  <si>
    <t>Criterio</t>
  </si>
  <si>
    <t>FACULTAD DE CIENCIAS ECONOMICAS</t>
  </si>
  <si>
    <t>ESCUELA DE ADMINISTRACION</t>
  </si>
  <si>
    <t xml:space="preserve">     </t>
  </si>
  <si>
    <t xml:space="preserve">      </t>
  </si>
  <si>
    <t xml:space="preserve"> </t>
  </si>
  <si>
    <t>UNIVERSIDAD HISPANOAMERICANA</t>
  </si>
  <si>
    <t>Profesora: Fernanda Morales</t>
  </si>
  <si>
    <t>Ac. Circul</t>
  </si>
  <si>
    <t>Ac.Total</t>
  </si>
  <si>
    <t>Pas. Circ</t>
  </si>
  <si>
    <t>Cap/ Total P y CC</t>
  </si>
  <si>
    <t>Cap. Cont</t>
  </si>
  <si>
    <t>Pas/ Total Total P y CC</t>
  </si>
  <si>
    <t>Ac. Total</t>
  </si>
  <si>
    <t>Ac. Fijo</t>
  </si>
  <si>
    <t>Pasivo y capital contable (Patrimonio)</t>
  </si>
  <si>
    <t>Total Pasivo y CC</t>
  </si>
  <si>
    <t>Total pasivo a Largo plazo</t>
  </si>
  <si>
    <t>Capital Contable (Patrimonio)</t>
  </si>
  <si>
    <t>Activo fijos Neto</t>
  </si>
  <si>
    <r>
      <t xml:space="preserve">Muestra la capacidad de una empresa para cubrir sus pasivos </t>
    </r>
    <r>
      <rPr>
        <b/>
        <sz val="11"/>
        <color theme="1"/>
        <rFont val="Arial Nova"/>
        <family val="2"/>
      </rPr>
      <t>corrientes (circulantes)</t>
    </r>
    <r>
      <rPr>
        <sz val="11"/>
        <color theme="1"/>
        <rFont val="Arial Nova"/>
        <family val="2"/>
      </rPr>
      <t xml:space="preserve"> con sus activos </t>
    </r>
    <r>
      <rPr>
        <b/>
        <sz val="11"/>
        <color theme="1"/>
        <rFont val="Arial Nova"/>
        <family val="2"/>
      </rPr>
      <t>circulantes (corrientes)</t>
    </r>
  </si>
  <si>
    <t>Margen de utilidad bruta (UTILIDAD ANTES DE IMPUESTOS)</t>
  </si>
  <si>
    <t>Realizar un estudio de crédito, considerando el resultado de los análisis vertical y horizontal de los Estados de resultados y Balances Generales de los años 2022 y 2023, posterior calcular las razones financieras, esto permitirá poder llegar a las conclusiones para tomar decisiones con relación al crédito de mediano plazo (3 años) que está solicitando la empresa. Especialmente determinar el grado de endeudamiento y su líquidez</t>
  </si>
  <si>
    <t>¿Qué decisión tomaría usted como analista financiero del banco Tiquicia S.A.?, calculando las razones financieras solicitados elabore un análisis vertical y horizontal, para los años 2022 y 2023, sobre la empresa Santa Barbara S.A</t>
  </si>
  <si>
    <t>Según el resultado del cálculo de los índices, no alcanzan al promedio de la industria, está por debajo, por lo que sería riesgoso, por lo siguientes motivos:</t>
  </si>
  <si>
    <t xml:space="preserve">2. En cuanto a sus índices de activos, todas están por debajo del promedio de la industria, nótese que la rotación del inventario es baja, 5.39 veces en 2022 y 4.90 del 2023, con relación 12.45  y 20.25 veces para la industria. </t>
  </si>
  <si>
    <t xml:space="preserve">4. La razones de rentabilidad, tanto Rentabilidad bruta, neta y sobre activos están por debajo de la industria, la Rentabilidad sobre patrimonio aumento de un 28.30% del año 2022 a un 82% del año 2023, esto representó que está por encima de los índices de la industria, esto se debe principalmente a que sus utilidades aumentaron. </t>
  </si>
  <si>
    <t>1. La empresa tiene un alto índice de endeudamiento, si bien el 2022 fue un 73% y dismuniyó a un 64%, no llega al promedio de la industria que es un 55% del año 2022 y un 50% del año 2023</t>
  </si>
  <si>
    <t>3. En cuanto el periodo de recuperación, en el año 2022, dura 35.30 días en recuperar, en el año 2023 aunque hubo una lígera mejora de 34.92, no supera a lo que indica la industria de 20.2 y 15 días respectivamente</t>
  </si>
  <si>
    <t>1. Las cuentas por cobrar y el inventario represetan los rubros más importante del activo para el año 2022 (entre ambos suman un poco más de 62% del activo total).</t>
  </si>
  <si>
    <t>2. Los documentos por pagar 36.17% se ubican en porcentajes ligeramente superiores a los inventarios 34.54%. Con relación a las cuentas por pagar 24.59% está por debajo de  los inventarios 34.54%</t>
  </si>
  <si>
    <t>3. La empresa tiene deudas financieras, ya que su patrimonio tan solo representa un 27.49% por lo que el financiamiento de los activos son financiados por medio de deuda, la cual sería un 72.51%</t>
  </si>
  <si>
    <t>1. El Costo de la mercadería vendida disminuyó de un 66.45% a un 60%, lo cual permitió incrementar la utilidad bruta a un 40%</t>
  </si>
  <si>
    <t>2. La disminución de los gastos de operación y gastos administrativos y generales, determinaron que el resultado operativo disminuyerá de un 28.13% a un 24%</t>
  </si>
  <si>
    <t>3. Finalmente, la utilidad neta aumento de un 2.77% aún 11%, es decir un incremento de un 7.82%</t>
  </si>
  <si>
    <t>3. El patrimonio neto aumento considerablemente un 70% de variación con relación al año 2022</t>
  </si>
  <si>
    <t>1. El rubro que experimentó el mayor crecimiento en moneda constante fue el Efectivo 225%, aunque el activo total se mantuvo casi igual 30% . De tal forma que el incremento en los inventarios fue compensado por disminuciones en otros rubros.</t>
  </si>
  <si>
    <t>2. Dentro de los pasivos circulantes, el rubro de representa mayor aumento fueron Otros pasivos circulantes un 30%, seguido de Cuentas por pagar con un 15%</t>
  </si>
  <si>
    <t>5. El total de gasto de operación aumento a 25%</t>
  </si>
  <si>
    <t>6. La utilidad neta aumento un 392%, esto se dio especialmente por los aumentos en los ingresos de ventas.</t>
  </si>
  <si>
    <t>4. En el Estado de Resutlado, las ventas aumentaron un 29.03% (450 millones), el costo de mercadería vendida 16.50%. Por lo que se debe considerar la rotación de inventario, al confirmar con el índice de rotación.</t>
  </si>
  <si>
    <t>De acuerdo a lo que determinó en los puntos anteriores que recomendaciones y estrategias le solicitarán a la Empresa Santa Barbara S.A., para que mejorar su situación financiera</t>
  </si>
  <si>
    <t>En cuanto a la estrategia, nótese que si bien tiene utilidades, el aumento de ventas debe ir acompañado de una buena rotación de inventarios sino también de periodo de recuperación en cobros, porque puede que tenga buenas ventas pero si no tiene buenos cobros, no habrá los ingresos necesarios para ir pagando las deudas, y así disminuir este alto grado de endeudamiento.</t>
  </si>
  <si>
    <t>Lo ideal es mejorar, la estrategia de cobros, así como el nivel inventarios.</t>
  </si>
  <si>
    <t>Por ahora la empresa presenta alto índices de endeudamiento, por lo que se necesita que disminuya el pasivo circulante, pero esto se lograría sí los activos circulantes fueron los resultados más óptimos</t>
  </si>
  <si>
    <t>La razón del circulante para el año 2022 con 1.30 veces no alcanzó el 1.95 del promedio de la industria, igual que para el año 2023 que llegó a 1.15 veces pero no superó al promedio de la industria 2.05.</t>
  </si>
  <si>
    <t>Para el año 2022 la ra´zon de deuda fue de un 58% estaba por encima de la industria que era de un 50%</t>
  </si>
  <si>
    <t>La razón de deuda disminuyó de un año a otro, para el año 2022 fue 58% llegando a un 52% para el 2023. Para el año 2023 el promedio estaba por debajo de la industria 53%</t>
  </si>
  <si>
    <t>1. Las cuentas por cobrar y el inventario represetan los rubros más importante del activo para el año 2022 (entre ambos suman un poco más de 61.14% del activo total).</t>
  </si>
  <si>
    <t>3. En este año la empresa disminuyó un poco las deudas financieras, ya que su patrimonio tan solo representa un 36.07% por lo que el financiamiento de los activos son financiados por medio de deuda, la cual sería un 63.93%</t>
  </si>
  <si>
    <t>El margen de utilidad disminuyó, el año 2022 era de un 10% y pasó al año 2023 a un 8%, lo que también indica que no alcanzó el promedio de la industria, siendo de un 12% y un 14% respectivamente</t>
  </si>
  <si>
    <t>Mejoró mínimo el periodo de cobro, de pasar de 45 días en el 2022 a 40 días para el año 2023</t>
  </si>
  <si>
    <t>El periodo de recuperación de ambos periodos, aún no alcanzado la industria, que es de 30 días</t>
  </si>
  <si>
    <t>Mejoró considerablemente, ya que para el año 2022 era de un 63.35% y disminuyó a 53.45% en el año 2023</t>
  </si>
  <si>
    <t>Para la industria este índice es alto, ya que la empresa tiene un 63.35% y un 53.45% respectivamente, y la industria para el año 2022 fue de un 50% y para el año 2023 un 45%.</t>
  </si>
  <si>
    <t>Aumento la rotación de activos fijos, 2023 de 2.25 veces a un 2.35 veces en el 2023</t>
  </si>
  <si>
    <t>La rotación de activos fijos no llega a los índice de la industria , que sería 2.50 veces en el 2022 y 2.75 veces en el 2023</t>
  </si>
  <si>
    <t>Se dio un pequeño aumento, de un 2%, es decir el año 2022 fue un 9% y el año 2023 11%.</t>
  </si>
  <si>
    <t>No alcanzó los índice esperado según la industria, es decir un 15% para el 2022 y 18% para el 2023, ya que la empresa tubvo un 9% y un 11% respectivamente.</t>
  </si>
  <si>
    <t>La empresa disminuyó de un año a otro la capacidad de cubrir sus pasivos corrientes con sus activos corrientes, en el año 2022 era de un 0.70 veces no llegando a la industria que era de 0.85 veces, a pasar en el año 2023 0.65 veces, versus la industria de esa año 0.95 veces</t>
  </si>
  <si>
    <t>Hubo un aumento en la rotación del inventario, en el año 2022 estaba en 3.2 veces y 3.6 veces en 2023</t>
  </si>
  <si>
    <t>Los resultados de este índice no llegan a los promedios esperados de la industria, ya que fueron de 5 veces en el 2022 y 7 veces 2023, lo cual la empresa apenas llegó a 3.2 veces en el año 2022 y 3.6 veces en 2023.</t>
  </si>
  <si>
    <t>Se dio un aumento de 2%, cuando la empresa cerró en 2022 41% en el siguiente año aumentó a un 43%</t>
  </si>
  <si>
    <t>Los resultados de la empresa que fueron 41% del 2022 y 43% del 2023, no fueron suficiente para llegar al promedio de la industria del 50%</t>
  </si>
  <si>
    <t>Este índice presentó una ligera mejora, el año 2022 1.75 veces a 1.90 veces para el año 2023</t>
  </si>
  <si>
    <t>El resultado de la rotación del activo total de la empresa, no llegan a los resultados de la industria, que eran de 2.25 veces en cada año</t>
  </si>
  <si>
    <t>Se dio un ligero aumento en este índice pasando de 3% a un 3.10%</t>
  </si>
  <si>
    <t>Para la industria el índice no es sufiente, ya que el margen es de un 4% y 5% para la rentabilidad de activas, lo cual la empresa no llega.</t>
  </si>
  <si>
    <t>No se recomienda, ya que sus índices no llegan o se acercan al promedio de la indisutria, adicional que una de las principales razones financieras, como lo es razón de endeudamiento y apalancamiento está un poco alta en comparación con la industria, pero sobre todo el periodo de recuperación influye en que al no recuperar rápido dinero, no pueda amortizar deuda o que pueda invertir en inventarios por ejemplo.</t>
  </si>
  <si>
    <t>Revisar sus gastos, luego trabajar en mejorar el periodo de recuperación para poder tener más flujo, revisar la rotación del inventario, cuáles productos tiene poca rotabilidad, de esta forma pueda mejorar los índices.</t>
  </si>
  <si>
    <t>Gasto de Fabricación (compras)</t>
  </si>
  <si>
    <t>1. Sus activos corrientes tiene porcentajes más altos que las empresa B y C</t>
  </si>
  <si>
    <t>1.Tiene el mayor porcentaje de Préstamo bancario L.P 40%</t>
  </si>
  <si>
    <t>2. Su capital social es más alto, con 35% con relación a las otras empresas</t>
  </si>
  <si>
    <t>2. Sus utilidades acumuladas es menor que las otras dos empresas, con un 15%</t>
  </si>
  <si>
    <t>1. Sus cuentas por pagar 37.50% son menos a la empresa C que tiene un 50%</t>
  </si>
  <si>
    <t>1. El porcentaje de préstamo bancario L.P es mayor que la empresa C. con un 31.25%</t>
  </si>
  <si>
    <t>2. Tiene mayor disponibildiad de activos 6.25% con relación a empresa C 4.17%</t>
  </si>
  <si>
    <t>2. El nivel de inventario es menor que la empresa A, este tiene un 25%  (B)</t>
  </si>
  <si>
    <t>1. Tiene mayor bienes en uso un 66.67% en comparación a la empresa A y B</t>
  </si>
  <si>
    <t>1. Es la empresa que tiene menor Disponiblidad en Activos con un 4.17%</t>
  </si>
  <si>
    <t xml:space="preserve">2.Tiene menor índice de Deuda L.P y Préstamo bancario a L.P con un 16.67% respectivamente </t>
  </si>
  <si>
    <t>2. Tiene el mayor porcentaje 50% de Cuentas y Documentos por pagar, en comparación con las otras dos empresas</t>
  </si>
  <si>
    <t>Ventas anuales a crédito/360</t>
  </si>
  <si>
    <t>1. La razón de su activo circulante es más alta</t>
  </si>
  <si>
    <t>1.La Razon periodo promedio de cobro es la más alta, es decir recupera en 81 días</t>
  </si>
  <si>
    <t>1. La rotación de inventarios es mayor a la empresa A</t>
  </si>
  <si>
    <t>1. El periodo de cobros es de 54 días en comparación con la empresa C que es menor</t>
  </si>
  <si>
    <t>1. Tiene el periodo de recuperaicón más bajo que las otras empresas, es de 27 días</t>
  </si>
  <si>
    <t>1. La Razon prueba de ácido es la menor de todas con 0.5 veces</t>
  </si>
  <si>
    <t>2.Tiene la rentabilidad sobre patrimonio más alta que las demás empresas, con 28.30%</t>
  </si>
  <si>
    <t xml:space="preserve">2. Razon circulante es la menor con 1 </t>
  </si>
  <si>
    <t>En caso de determinar debilidades de las diferentes empresas, elabore recomendaciones y de qué forma se podrían aplicar dichas recomendaciones</t>
  </si>
  <si>
    <t>Revisar con el equipo de cuentas por cobrar, el ser óptimos para recuperar en menor tiempo los dineros</t>
  </si>
  <si>
    <t>Clasificar el comportamiento de crédito de clientes, así como las condiciones, ser eficaz en los cobros así como eficiente</t>
  </si>
  <si>
    <t>Analizar cuáles partidas de los pasivos está consumiendo gran parte de sus pasivos circulantes, si hay fuga de gastos. O sí las cuentas por cobrar están más altas que no permitan tener tanto flujo de dinero para cubrir los pasivos circulantes.</t>
  </si>
  <si>
    <t xml:space="preserve">Generalmente se propone presupuestos para poder aplicar, y se puede trabajar en proyecciones y estimaciones. </t>
  </si>
  <si>
    <t>No se recomienda</t>
  </si>
  <si>
    <t xml:space="preserve">Las 3 empresas tienen una RAZON DE ENDEUDAMIENTO igual un 50%, la diferencia con esta empresa A, es que su periodo de recuperación es muy alto y su rotación de inventarios es menor, eso lo que hace que se ponga en riesgo la capacidad de pago de las obligaciones. Auqnue se incremente las ventas al 15%, si no mejora la recuperación de las cuentas por cobrar y rotación de inventario, eso afectaría </t>
  </si>
  <si>
    <t>Sujeto a revisión del periodo actual para poder aprobar crédito</t>
  </si>
  <si>
    <t xml:space="preserve">Las 3 empresas tienen una RAZON DE ENDEUDAMIENTO igual un 50%, la diferencia con esta empresa B, esta tiene el segundo periodo de recuperación más alto, sin embargo tiene mayor rotación de inventario. </t>
  </si>
  <si>
    <t>Se recomienda</t>
  </si>
  <si>
    <t>Las 3 empresas tienen una RAZON DE ENDEUDAMIENTO igual un 50%, la diferencia con esta empresa C, es que su periodo recuperación es de solo 27 días, su rentabilidad sobre patrimonio es la más alta, al igual que la de activos, tiene la más alta rotación de inventario, se debe manejar a discreción el resultado de la Razón Circulante, tal como se comentó en los puntos anteriores</t>
  </si>
  <si>
    <t>FINANZAS 1</t>
  </si>
  <si>
    <r>
      <t xml:space="preserve">Estado de Resultados </t>
    </r>
    <r>
      <rPr>
        <b/>
        <sz val="11"/>
        <color rgb="FF0000CC"/>
        <rFont val="Arial Nova"/>
        <family val="2"/>
      </rPr>
      <t xml:space="preserve">(Estado de Pérdidas y Ganancias/ Profit &amp; lost) </t>
    </r>
    <r>
      <rPr>
        <b/>
        <sz val="11"/>
        <color theme="1"/>
        <rFont val="Arial Nova"/>
        <family val="2"/>
      </rPr>
      <t xml:space="preserve">Santa Bárbara S.A </t>
    </r>
  </si>
  <si>
    <r>
      <t xml:space="preserve">Balances Generales Balances Generales / </t>
    </r>
    <r>
      <rPr>
        <b/>
        <sz val="11"/>
        <color rgb="FF0000CC"/>
        <rFont val="Arial Nova"/>
        <family val="2"/>
      </rPr>
      <t>Balance de Situación Financiera (Balance Sheet Standard)</t>
    </r>
  </si>
  <si>
    <t>Dividir ACT TOTAL</t>
  </si>
  <si>
    <t>Dividir ACT CIRC/ ACT FIJOS</t>
  </si>
  <si>
    <r>
      <t>Activos Circulantes</t>
    </r>
    <r>
      <rPr>
        <b/>
        <sz val="11"/>
        <color rgb="FF0000CC"/>
        <rFont val="Arial Nova"/>
        <family val="2"/>
      </rPr>
      <t xml:space="preserve"> (Activo corriente/ Activo Corto Plazo)</t>
    </r>
  </si>
  <si>
    <r>
      <t xml:space="preserve">Activos Fijos </t>
    </r>
    <r>
      <rPr>
        <b/>
        <sz val="11"/>
        <color rgb="FF0000CC"/>
        <rFont val="Arial Nova"/>
        <family val="2"/>
      </rPr>
      <t>(Activos no corrientes/ Activos Largo Plazo)</t>
    </r>
  </si>
  <si>
    <t>Pas. Circ/ Pasivo LP</t>
  </si>
  <si>
    <r>
      <t>Pasivo Circulante</t>
    </r>
    <r>
      <rPr>
        <b/>
        <sz val="11"/>
        <color rgb="FF0000CC"/>
        <rFont val="Arial Nova"/>
        <family val="2"/>
      </rPr>
      <t xml:space="preserve"> (Pasivo Corriente/ Pasivo Corto Plazo)</t>
    </r>
  </si>
  <si>
    <r>
      <t xml:space="preserve">Pasivo a largo plazo </t>
    </r>
    <r>
      <rPr>
        <b/>
        <sz val="11"/>
        <color rgb="FF0000CC"/>
        <rFont val="Arial Nova"/>
        <family val="2"/>
      </rPr>
      <t>(Pasivo no corriente)</t>
    </r>
  </si>
  <si>
    <t>Total pasivo a largo plazo</t>
  </si>
  <si>
    <t>PARTIDA DOBLE</t>
  </si>
  <si>
    <t>ACTIVO TOTAL=</t>
  </si>
  <si>
    <t>PASIVO TOTAL</t>
  </si>
  <si>
    <t>+</t>
  </si>
  <si>
    <t>CAPITAL CONTABLE (PATRIMONIO)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</si>
</sst>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64" formatCode="0_);\(0\)"/>
    <numFmt numFmtId="165" formatCode="_-* #,##0_-;\-* #,##0_-;_-* &quot;-&quot;??_-;_-@_-"/>
    <numFmt numFmtId="166" formatCode="0.0%"/>
    <numFmt numFmtId="167" formatCode="_-* #,##0.0_-;\-* #,##0.0_-;_-* &quot;-&quot;??_-;_-@_-"/>
  </numFmts>
  <fonts count="32" x14ac:knownFonts="1">
    <font>
      <sz val="11"/>
      <color theme="1"/>
      <name val="Calibri"/>
      <family val="2"/>
      <scheme val="minor"/>
    </font>
    <font>
      <sz val="11"/>
      <color theme="1"/>
      <name val="Calibri"/>
      <family val="2"/>
      <scheme val="minor"/>
    </font>
    <font>
      <b/>
      <sz val="11"/>
      <color theme="1"/>
      <name val="Arial Nova"/>
      <family val="2"/>
    </font>
    <font>
      <sz val="11"/>
      <color theme="1"/>
      <name val="Arial Nova"/>
      <family val="2"/>
    </font>
    <font>
      <sz val="11"/>
      <color rgb="FFFF0000"/>
      <name val="Arial Nova"/>
      <family val="2"/>
    </font>
    <font>
      <sz val="11"/>
      <name val="Arial Nova"/>
      <family val="2"/>
    </font>
    <font>
      <sz val="11"/>
      <color rgb="FF000000"/>
      <name val="Arial Nova"/>
      <family val="2"/>
    </font>
    <font>
      <b/>
      <sz val="11"/>
      <color rgb="FF000000"/>
      <name val="Arial Nova"/>
      <family val="2"/>
    </font>
    <font>
      <b/>
      <sz val="11"/>
      <name val="Arial Nova"/>
      <family val="2"/>
    </font>
    <font>
      <b/>
      <sz val="12"/>
      <color theme="1"/>
      <name val="Arial Nova"/>
      <family val="2"/>
    </font>
    <font>
      <b/>
      <sz val="14"/>
      <color theme="1"/>
      <name val="Arial Nova"/>
      <family val="2"/>
    </font>
    <font>
      <b/>
      <sz val="16"/>
      <color theme="1"/>
      <name val="Arial Nova"/>
      <family val="2"/>
    </font>
    <font>
      <sz val="11"/>
      <color rgb="FF0000CC"/>
      <name val="Arial Nova"/>
      <family val="2"/>
    </font>
    <font>
      <b/>
      <sz val="12"/>
      <color rgb="FF000000"/>
      <name val="Arial Nova"/>
      <family val="2"/>
    </font>
    <font>
      <b/>
      <i/>
      <sz val="11"/>
      <color theme="1"/>
      <name val="Arial Nova"/>
      <family val="2"/>
    </font>
    <font>
      <b/>
      <sz val="11"/>
      <color rgb="FF0000CC"/>
      <name val="Arial Nova"/>
      <family val="2"/>
    </font>
    <font>
      <b/>
      <sz val="24"/>
      <color theme="1"/>
      <name val="Arial Nova"/>
      <family val="2"/>
    </font>
    <font>
      <sz val="11"/>
      <color theme="1"/>
      <name val="Arial Nova"/>
      <family val="2"/>
    </font>
    <font>
      <sz val="11"/>
      <color rgb="FF9C0006"/>
      <name val="Calibri"/>
      <family val="2"/>
      <scheme val="minor"/>
    </font>
    <font>
      <b/>
      <sz val="11"/>
      <color theme="1"/>
      <name val="Arial Nova"/>
      <family val="2"/>
    </font>
    <font>
      <b/>
      <sz val="14"/>
      <color rgb="FF0000CC"/>
      <name val="Arial Nova"/>
      <family val="2"/>
    </font>
    <font>
      <sz val="11"/>
      <color rgb="FF9C0006"/>
      <name val="Arial Nova"/>
      <family val="2"/>
    </font>
    <font>
      <b/>
      <sz val="11"/>
      <color rgb="FF0000CC"/>
      <name val="Arial Nova"/>
      <family val="2"/>
    </font>
    <font>
      <b/>
      <i/>
      <sz val="11"/>
      <color rgb="FF000000"/>
      <name val="Arial Nova"/>
      <family val="2"/>
    </font>
    <font>
      <b/>
      <i/>
      <sz val="12"/>
      <name val="Arial Nova"/>
      <family val="2"/>
    </font>
    <font>
      <i/>
      <sz val="12"/>
      <name val="Arial Nova"/>
      <family val="2"/>
    </font>
    <font>
      <sz val="12"/>
      <color theme="1"/>
      <name val="Arial Nova"/>
      <family val="2"/>
    </font>
    <font>
      <b/>
      <sz val="12"/>
      <name val="Arial Nova"/>
      <family val="2"/>
    </font>
    <font>
      <b/>
      <sz val="12"/>
      <color rgb="FF0000CC"/>
      <name val="Arial Nova"/>
      <family val="2"/>
    </font>
    <font>
      <sz val="12"/>
      <name val="Arial Nova"/>
      <family val="2"/>
    </font>
    <font>
      <b/>
      <sz val="9"/>
      <color theme="1"/>
      <name val="Arial Nova"/>
      <family val="2"/>
    </font>
    <font>
      <b/>
      <sz val="8"/>
      <color theme="1"/>
      <name val="Arial Nova"/>
      <family val="2"/>
    </font>
  </fonts>
  <fills count="13">
    <fill>
      <patternFill patternType="none"/>
    </fill>
    <fill>
      <patternFill patternType="gray125"/>
    </fill>
    <fill>
      <patternFill patternType="solid">
        <fgColor rgb="FFCCCCFF"/>
        <bgColor indexed="64"/>
      </patternFill>
    </fill>
    <fill>
      <patternFill patternType="solid">
        <fgColor rgb="FFCCFF99"/>
        <bgColor indexed="64"/>
      </patternFill>
    </fill>
    <fill>
      <patternFill patternType="solid">
        <fgColor rgb="FFCCFFFF"/>
        <bgColor indexed="64"/>
      </patternFill>
    </fill>
    <fill>
      <patternFill patternType="solid">
        <fgColor rgb="FFFFC7CE"/>
      </patternFill>
    </fill>
    <fill>
      <patternFill patternType="solid">
        <fgColor rgb="FFFFFFCC"/>
      </patternFill>
    </fill>
    <fill>
      <patternFill patternType="solid">
        <fgColor rgb="FFCCFFCC"/>
        <bgColor indexed="64"/>
      </patternFill>
    </fill>
    <fill>
      <patternFill patternType="solid">
        <fgColor rgb="FFFF99CC"/>
        <bgColor indexed="64"/>
      </patternFill>
    </fill>
    <fill>
      <patternFill patternType="solid">
        <fgColor rgb="FFFFFF00"/>
        <bgColor indexed="64"/>
      </patternFill>
    </fill>
    <fill>
      <patternFill patternType="solid">
        <fgColor rgb="FFCCECFF"/>
        <bgColor indexed="64"/>
      </patternFill>
    </fill>
    <fill>
      <patternFill patternType="solid">
        <fgColor rgb="FFFFCCFF"/>
        <bgColor indexed="64"/>
      </patternFill>
    </fill>
    <fill>
      <patternFill patternType="solid">
        <fgColor theme="7" tint="0.59999389629810485"/>
        <bgColor indexed="64"/>
      </patternFill>
    </fill>
  </fills>
  <borders count="67">
    <border>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double">
        <color indexed="64"/>
      </bottom>
      <diagonal/>
    </border>
    <border>
      <left style="thin">
        <color auto="1"/>
      </left>
      <right style="thin">
        <color indexed="64"/>
      </right>
      <top/>
      <bottom/>
      <diagonal/>
    </border>
    <border>
      <left style="thin">
        <color auto="1"/>
      </left>
      <right style="thin">
        <color indexed="64"/>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n">
        <color rgb="FFB2B2B2"/>
      </left>
      <right style="thin">
        <color rgb="FFB2B2B2"/>
      </right>
      <top/>
      <bottom/>
      <diagonal/>
    </border>
    <border>
      <left style="medium">
        <color indexed="64"/>
      </left>
      <right style="thin">
        <color rgb="FFB2B2B2"/>
      </right>
      <top style="medium">
        <color indexed="64"/>
      </top>
      <bottom style="thin">
        <color rgb="FFB2B2B2"/>
      </bottom>
      <diagonal/>
    </border>
    <border>
      <left style="thin">
        <color rgb="FFB2B2B2"/>
      </left>
      <right style="thin">
        <color rgb="FFB2B2B2"/>
      </right>
      <top style="medium">
        <color indexed="64"/>
      </top>
      <bottom style="thin">
        <color rgb="FFB2B2B2"/>
      </bottom>
      <diagonal/>
    </border>
    <border>
      <left style="thin">
        <color rgb="FFB2B2B2"/>
      </left>
      <right style="medium">
        <color indexed="64"/>
      </right>
      <top style="medium">
        <color indexed="64"/>
      </top>
      <bottom style="thin">
        <color rgb="FFB2B2B2"/>
      </bottom>
      <diagonal/>
    </border>
    <border>
      <left style="medium">
        <color indexed="64"/>
      </left>
      <right style="thin">
        <color rgb="FFB2B2B2"/>
      </right>
      <top style="thin">
        <color rgb="FFB2B2B2"/>
      </top>
      <bottom style="thin">
        <color rgb="FFB2B2B2"/>
      </bottom>
      <diagonal/>
    </border>
    <border>
      <left style="thin">
        <color rgb="FFB2B2B2"/>
      </left>
      <right style="medium">
        <color indexed="64"/>
      </right>
      <top style="thin">
        <color rgb="FFB2B2B2"/>
      </top>
      <bottom style="thin">
        <color rgb="FFB2B2B2"/>
      </bottom>
      <diagonal/>
    </border>
    <border>
      <left style="medium">
        <color indexed="64"/>
      </left>
      <right style="thin">
        <color rgb="FFB2B2B2"/>
      </right>
      <top style="thin">
        <color rgb="FFB2B2B2"/>
      </top>
      <bottom style="medium">
        <color indexed="64"/>
      </bottom>
      <diagonal/>
    </border>
    <border>
      <left style="thin">
        <color rgb="FFB2B2B2"/>
      </left>
      <right style="thin">
        <color rgb="FFB2B2B2"/>
      </right>
      <top style="thin">
        <color rgb="FFB2B2B2"/>
      </top>
      <bottom style="medium">
        <color indexed="64"/>
      </bottom>
      <diagonal/>
    </border>
    <border>
      <left style="thin">
        <color rgb="FFB2B2B2"/>
      </left>
      <right style="medium">
        <color indexed="64"/>
      </right>
      <top style="thin">
        <color rgb="FFB2B2B2"/>
      </top>
      <bottom style="medium">
        <color indexed="64"/>
      </bottom>
      <diagonal/>
    </border>
    <border>
      <left style="thin">
        <color rgb="FFB2B2B2"/>
      </left>
      <right style="thin">
        <color rgb="FFB2B2B2"/>
      </right>
      <top/>
      <bottom style="medium">
        <color indexed="64"/>
      </bottom>
      <diagonal/>
    </border>
    <border>
      <left style="medium">
        <color indexed="64"/>
      </left>
      <right/>
      <top style="medium">
        <color indexed="64"/>
      </top>
      <bottom style="thin">
        <color rgb="FFB2B2B2"/>
      </bottom>
      <diagonal/>
    </border>
    <border>
      <left/>
      <right/>
      <top style="medium">
        <color indexed="64"/>
      </top>
      <bottom style="thin">
        <color rgb="FFB2B2B2"/>
      </bottom>
      <diagonal/>
    </border>
    <border>
      <left/>
      <right style="medium">
        <color indexed="64"/>
      </right>
      <top style="medium">
        <color indexed="64"/>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medium">
        <color indexed="64"/>
      </right>
      <top style="thin">
        <color rgb="FFB2B2B2"/>
      </top>
      <bottom style="thin">
        <color rgb="FFB2B2B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top style="thin">
        <color indexed="64"/>
      </top>
      <bottom style="double">
        <color indexed="64"/>
      </bottom>
      <diagonal/>
    </border>
    <border>
      <left style="thin">
        <color auto="1"/>
      </left>
      <right style="thin">
        <color auto="1"/>
      </right>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thin">
        <color auto="1"/>
      </left>
      <right/>
      <top style="double">
        <color indexed="64"/>
      </top>
      <bottom/>
      <diagonal/>
    </border>
    <border>
      <left/>
      <right/>
      <top style="double">
        <color indexed="64"/>
      </top>
      <bottom/>
      <diagonal/>
    </border>
    <border>
      <left/>
      <right style="thin">
        <color auto="1"/>
      </right>
      <top style="double">
        <color indexed="64"/>
      </top>
      <bottom/>
      <diagonal/>
    </border>
    <border>
      <left style="thin">
        <color auto="1"/>
      </left>
      <right/>
      <top style="medium">
        <color indexed="64"/>
      </top>
      <bottom style="medium">
        <color indexed="64"/>
      </bottom>
      <diagonal/>
    </border>
    <border>
      <left/>
      <right style="thin">
        <color auto="1"/>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s>
  <cellStyleXfs count="6">
    <xf numFmtId="0" fontId="0"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18" fillId="5" borderId="0" applyNumberFormat="0" applyBorder="0" applyAlignment="0" applyProtection="0"/>
    <xf numFmtId="0" fontId="1" fillId="6" borderId="20" applyNumberFormat="0" applyFont="0" applyAlignment="0" applyProtection="0"/>
  </cellStyleXfs>
  <cellXfs count="550">
    <xf numFmtId="0" fontId="0" fillId="0" borderId="0" xfId="0"/>
    <xf numFmtId="0" fontId="2" fillId="0" borderId="0" xfId="0" applyFont="1"/>
    <xf numFmtId="0" fontId="3" fillId="0" borderId="0" xfId="0" applyFont="1"/>
    <xf numFmtId="0" fontId="3" fillId="0" borderId="0" xfId="0" applyFont="1" applyAlignment="1">
      <alignment horizontal="center"/>
    </xf>
    <xf numFmtId="41" fontId="2" fillId="0" borderId="6" xfId="2" applyFont="1" applyBorder="1"/>
    <xf numFmtId="9" fontId="2" fillId="0" borderId="4" xfId="3" applyFont="1" applyBorder="1" applyAlignment="1">
      <alignment horizontal="center"/>
    </xf>
    <xf numFmtId="9" fontId="2" fillId="0" borderId="0" xfId="3" applyFont="1" applyBorder="1" applyAlignment="1">
      <alignment horizontal="center"/>
    </xf>
    <xf numFmtId="1" fontId="2" fillId="0" borderId="0" xfId="2" applyNumberFormat="1" applyFont="1" applyBorder="1" applyAlignment="1">
      <alignment horizontal="center"/>
    </xf>
    <xf numFmtId="41" fontId="3" fillId="0" borderId="6" xfId="2" applyFont="1" applyBorder="1"/>
    <xf numFmtId="10" fontId="3" fillId="0" borderId="8" xfId="3" applyNumberFormat="1" applyFont="1" applyBorder="1" applyAlignment="1">
      <alignment horizontal="center"/>
    </xf>
    <xf numFmtId="164" fontId="3" fillId="0" borderId="0" xfId="2" applyNumberFormat="1" applyFont="1" applyBorder="1" applyAlignment="1">
      <alignment horizontal="center"/>
    </xf>
    <xf numFmtId="10" fontId="3" fillId="0" borderId="0" xfId="3" applyNumberFormat="1" applyFont="1" applyBorder="1" applyAlignment="1">
      <alignment horizontal="center"/>
    </xf>
    <xf numFmtId="10" fontId="3" fillId="0" borderId="4" xfId="3" applyNumberFormat="1" applyFont="1" applyBorder="1" applyAlignment="1">
      <alignment horizontal="center"/>
    </xf>
    <xf numFmtId="1" fontId="3" fillId="0" borderId="0" xfId="2" applyNumberFormat="1" applyFont="1" applyBorder="1" applyAlignment="1">
      <alignment horizontal="center"/>
    </xf>
    <xf numFmtId="10" fontId="3" fillId="0" borderId="10" xfId="3" applyNumberFormat="1" applyFont="1" applyBorder="1" applyAlignment="1">
      <alignment horizontal="center"/>
    </xf>
    <xf numFmtId="10" fontId="3" fillId="0" borderId="2" xfId="3" applyNumberFormat="1" applyFont="1" applyBorder="1" applyAlignment="1">
      <alignment horizontal="center"/>
    </xf>
    <xf numFmtId="9" fontId="3" fillId="0" borderId="0" xfId="0" applyNumberFormat="1" applyFont="1" applyAlignment="1">
      <alignment horizontal="center"/>
    </xf>
    <xf numFmtId="0" fontId="3" fillId="0" borderId="6" xfId="0" applyFont="1" applyBorder="1" applyAlignment="1">
      <alignment horizontal="center"/>
    </xf>
    <xf numFmtId="0" fontId="3" fillId="0" borderId="4" xfId="0" applyFont="1" applyBorder="1" applyAlignment="1">
      <alignment horizontal="center"/>
    </xf>
    <xf numFmtId="0" fontId="3" fillId="0" borderId="6" xfId="0" applyFont="1" applyBorder="1"/>
    <xf numFmtId="0" fontId="3" fillId="0" borderId="4" xfId="0" applyFont="1" applyBorder="1"/>
    <xf numFmtId="165" fontId="3" fillId="0" borderId="6" xfId="1" applyNumberFormat="1" applyFont="1" applyFill="1" applyBorder="1"/>
    <xf numFmtId="10" fontId="3" fillId="0" borderId="0" xfId="3" applyNumberFormat="1" applyFont="1" applyFill="1" applyBorder="1"/>
    <xf numFmtId="43" fontId="3" fillId="0" borderId="0" xfId="1" applyFont="1" applyFill="1" applyBorder="1"/>
    <xf numFmtId="10" fontId="3" fillId="0" borderId="4" xfId="3" applyNumberFormat="1" applyFont="1" applyFill="1" applyBorder="1"/>
    <xf numFmtId="43" fontId="3" fillId="0" borderId="5" xfId="1" applyFont="1" applyFill="1" applyBorder="1"/>
    <xf numFmtId="165" fontId="3" fillId="0" borderId="3" xfId="1" applyNumberFormat="1" applyFont="1" applyFill="1" applyBorder="1"/>
    <xf numFmtId="10" fontId="3" fillId="0" borderId="1" xfId="3" applyNumberFormat="1" applyFont="1" applyFill="1" applyBorder="1"/>
    <xf numFmtId="10" fontId="3" fillId="0" borderId="2" xfId="3" applyNumberFormat="1" applyFont="1" applyFill="1" applyBorder="1"/>
    <xf numFmtId="9" fontId="2" fillId="0" borderId="1" xfId="0" applyNumberFormat="1" applyFont="1" applyBorder="1"/>
    <xf numFmtId="43" fontId="3" fillId="0" borderId="3" xfId="1" applyFont="1" applyFill="1" applyBorder="1"/>
    <xf numFmtId="10" fontId="5" fillId="0" borderId="1" xfId="3" applyNumberFormat="1" applyFont="1" applyFill="1" applyBorder="1"/>
    <xf numFmtId="10" fontId="5" fillId="0" borderId="2" xfId="3" applyNumberFormat="1" applyFont="1" applyFill="1" applyBorder="1"/>
    <xf numFmtId="10" fontId="5" fillId="0" borderId="0" xfId="3" applyNumberFormat="1" applyFont="1" applyFill="1" applyBorder="1"/>
    <xf numFmtId="165" fontId="3" fillId="0" borderId="6" xfId="1" applyNumberFormat="1" applyFont="1" applyBorder="1"/>
    <xf numFmtId="10" fontId="3" fillId="0" borderId="0" xfId="3" applyNumberFormat="1" applyFont="1" applyBorder="1"/>
    <xf numFmtId="10" fontId="3" fillId="0" borderId="4" xfId="3" applyNumberFormat="1" applyFont="1" applyBorder="1"/>
    <xf numFmtId="10" fontId="3" fillId="0" borderId="5" xfId="3" applyNumberFormat="1" applyFont="1" applyBorder="1"/>
    <xf numFmtId="165" fontId="3" fillId="0" borderId="7" xfId="1" applyNumberFormat="1" applyFont="1" applyBorder="1"/>
    <xf numFmtId="10" fontId="3" fillId="0" borderId="1" xfId="3" applyNumberFormat="1" applyFont="1" applyBorder="1"/>
    <xf numFmtId="165" fontId="3" fillId="0" borderId="0" xfId="1" applyNumberFormat="1" applyFont="1" applyBorder="1"/>
    <xf numFmtId="0" fontId="6" fillId="0" borderId="0" xfId="0" applyFont="1"/>
    <xf numFmtId="41" fontId="2" fillId="0" borderId="9" xfId="2" applyFont="1" applyBorder="1"/>
    <xf numFmtId="41" fontId="2" fillId="0" borderId="3" xfId="2" applyFont="1" applyBorder="1"/>
    <xf numFmtId="0" fontId="2" fillId="2" borderId="0" xfId="0" applyFont="1" applyFill="1"/>
    <xf numFmtId="0" fontId="7" fillId="0" borderId="0" xfId="0" applyFont="1"/>
    <xf numFmtId="41" fontId="8" fillId="0" borderId="9" xfId="2" applyFont="1" applyBorder="1"/>
    <xf numFmtId="41" fontId="8" fillId="0" borderId="3" xfId="2" applyFont="1" applyBorder="1"/>
    <xf numFmtId="0" fontId="10" fillId="0" borderId="0" xfId="0" applyFont="1"/>
    <xf numFmtId="0" fontId="11" fillId="0" borderId="0" xfId="0" applyFont="1"/>
    <xf numFmtId="9" fontId="3" fillId="0" borderId="0" xfId="3" applyFont="1"/>
    <xf numFmtId="10" fontId="4" fillId="0" borderId="0" xfId="3" applyNumberFormat="1" applyFont="1" applyBorder="1" applyAlignment="1">
      <alignment horizontal="center"/>
    </xf>
    <xf numFmtId="10" fontId="12" fillId="0" borderId="0" xfId="3" applyNumberFormat="1" applyFont="1" applyBorder="1" applyAlignment="1">
      <alignment horizontal="center"/>
    </xf>
    <xf numFmtId="0" fontId="2" fillId="0" borderId="0" xfId="0" applyFont="1" applyAlignment="1">
      <alignment horizontal="center"/>
    </xf>
    <xf numFmtId="10" fontId="3" fillId="0" borderId="8" xfId="3" applyNumberFormat="1" applyFont="1" applyBorder="1"/>
    <xf numFmtId="165" fontId="3" fillId="0" borderId="6" xfId="0" applyNumberFormat="1" applyFont="1" applyBorder="1"/>
    <xf numFmtId="165" fontId="3" fillId="0" borderId="0" xfId="1" applyNumberFormat="1" applyFont="1" applyFill="1" applyBorder="1"/>
    <xf numFmtId="165" fontId="3" fillId="0" borderId="0" xfId="0" applyNumberFormat="1" applyFont="1"/>
    <xf numFmtId="165" fontId="5" fillId="0" borderId="0" xfId="1" applyNumberFormat="1" applyFont="1" applyFill="1" applyBorder="1"/>
    <xf numFmtId="43" fontId="5" fillId="0" borderId="0" xfId="1" applyFont="1" applyFill="1" applyBorder="1"/>
    <xf numFmtId="165" fontId="3" fillId="0" borderId="5" xfId="1" applyNumberFormat="1" applyFont="1" applyFill="1" applyBorder="1"/>
    <xf numFmtId="10" fontId="3" fillId="0" borderId="5" xfId="3" applyNumberFormat="1" applyFont="1" applyFill="1" applyBorder="1"/>
    <xf numFmtId="165" fontId="5" fillId="0" borderId="6" xfId="1" applyNumberFormat="1" applyFont="1" applyFill="1" applyBorder="1"/>
    <xf numFmtId="165" fontId="3" fillId="0" borderId="7" xfId="1" applyNumberFormat="1" applyFont="1" applyFill="1" applyBorder="1"/>
    <xf numFmtId="10" fontId="3" fillId="0" borderId="8" xfId="3" applyNumberFormat="1" applyFont="1" applyFill="1" applyBorder="1"/>
    <xf numFmtId="43" fontId="3" fillId="0" borderId="1" xfId="1" applyFont="1" applyFill="1" applyBorder="1"/>
    <xf numFmtId="165" fontId="3" fillId="0" borderId="1" xfId="1" applyNumberFormat="1" applyFont="1" applyFill="1" applyBorder="1"/>
    <xf numFmtId="165" fontId="3" fillId="0" borderId="5" xfId="0" applyNumberFormat="1" applyFont="1" applyBorder="1"/>
    <xf numFmtId="0" fontId="4" fillId="0" borderId="0" xfId="0" applyFont="1"/>
    <xf numFmtId="165" fontId="4" fillId="0" borderId="7" xfId="0" applyNumberFormat="1" applyFont="1" applyBorder="1"/>
    <xf numFmtId="0" fontId="9" fillId="2" borderId="0" xfId="0" applyFont="1" applyFill="1"/>
    <xf numFmtId="0" fontId="9" fillId="3" borderId="0" xfId="0" applyFont="1" applyFill="1"/>
    <xf numFmtId="0" fontId="13" fillId="4" borderId="0" xfId="0" applyFont="1" applyFill="1" applyAlignment="1">
      <alignment horizontal="justify" vertical="center"/>
    </xf>
    <xf numFmtId="165" fontId="4" fillId="0" borderId="5" xfId="0" applyNumberFormat="1" applyFont="1" applyBorder="1"/>
    <xf numFmtId="0" fontId="3" fillId="2" borderId="0" xfId="0" applyFont="1" applyFill="1"/>
    <xf numFmtId="165" fontId="2" fillId="2" borderId="6" xfId="0" applyNumberFormat="1" applyFont="1" applyFill="1" applyBorder="1"/>
    <xf numFmtId="10" fontId="2" fillId="2" borderId="0" xfId="0" applyNumberFormat="1" applyFont="1" applyFill="1"/>
    <xf numFmtId="9" fontId="2" fillId="2" borderId="0" xfId="0" applyNumberFormat="1" applyFont="1" applyFill="1"/>
    <xf numFmtId="9" fontId="3" fillId="2" borderId="4" xfId="0" applyNumberFormat="1" applyFont="1" applyFill="1" applyBorder="1"/>
    <xf numFmtId="0" fontId="7" fillId="3" borderId="0" xfId="0" applyFont="1" applyFill="1"/>
    <xf numFmtId="0" fontId="7" fillId="4" borderId="0" xfId="0" applyFont="1" applyFill="1"/>
    <xf numFmtId="0" fontId="14" fillId="0" borderId="0" xfId="0" applyFont="1"/>
    <xf numFmtId="165" fontId="2" fillId="0" borderId="9" xfId="1" applyNumberFormat="1" applyFont="1" applyFill="1" applyBorder="1"/>
    <xf numFmtId="10" fontId="14" fillId="0" borderId="11" xfId="3" applyNumberFormat="1" applyFont="1" applyFill="1" applyBorder="1"/>
    <xf numFmtId="165" fontId="14" fillId="0" borderId="11" xfId="1" applyNumberFormat="1" applyFont="1" applyFill="1" applyBorder="1"/>
    <xf numFmtId="10" fontId="14" fillId="0" borderId="10" xfId="3" applyNumberFormat="1" applyFont="1" applyFill="1" applyBorder="1"/>
    <xf numFmtId="165" fontId="2" fillId="0" borderId="9" xfId="0" applyNumberFormat="1" applyFont="1" applyBorder="1"/>
    <xf numFmtId="10" fontId="2" fillId="0" borderId="11" xfId="3" applyNumberFormat="1" applyFont="1" applyFill="1" applyBorder="1"/>
    <xf numFmtId="10" fontId="2" fillId="0" borderId="10" xfId="3" applyNumberFormat="1" applyFont="1" applyFill="1" applyBorder="1"/>
    <xf numFmtId="0" fontId="3" fillId="0" borderId="3" xfId="0" applyFont="1" applyBorder="1"/>
    <xf numFmtId="0" fontId="3" fillId="0" borderId="1" xfId="0" applyFont="1" applyBorder="1"/>
    <xf numFmtId="0" fontId="3" fillId="0" borderId="2" xfId="0" applyFont="1" applyBorder="1"/>
    <xf numFmtId="43" fontId="2" fillId="0" borderId="9" xfId="1" applyFont="1" applyFill="1" applyBorder="1"/>
    <xf numFmtId="10" fontId="8" fillId="0" borderId="11" xfId="3" applyNumberFormat="1" applyFont="1" applyFill="1" applyBorder="1"/>
    <xf numFmtId="43" fontId="8" fillId="0" borderId="11" xfId="1" applyFont="1" applyFill="1" applyBorder="1"/>
    <xf numFmtId="10" fontId="8" fillId="0" borderId="10" xfId="3" applyNumberFormat="1" applyFont="1" applyFill="1" applyBorder="1"/>
    <xf numFmtId="0" fontId="2" fillId="3" borderId="0" xfId="0" applyFont="1" applyFill="1"/>
    <xf numFmtId="10" fontId="3" fillId="0" borderId="0" xfId="1" applyNumberFormat="1" applyFont="1" applyBorder="1"/>
    <xf numFmtId="43" fontId="5" fillId="0" borderId="1" xfId="1" applyFont="1" applyFill="1" applyBorder="1"/>
    <xf numFmtId="165" fontId="2" fillId="3" borderId="7" xfId="1" applyNumberFormat="1" applyFont="1" applyFill="1" applyBorder="1"/>
    <xf numFmtId="0" fontId="2" fillId="3" borderId="5" xfId="0" applyFont="1" applyFill="1" applyBorder="1"/>
    <xf numFmtId="165" fontId="2" fillId="3" borderId="5" xfId="1" applyNumberFormat="1" applyFont="1" applyFill="1" applyBorder="1"/>
    <xf numFmtId="10" fontId="2" fillId="3" borderId="5" xfId="3" applyNumberFormat="1" applyFont="1" applyFill="1" applyBorder="1"/>
    <xf numFmtId="10" fontId="2" fillId="3" borderId="8" xfId="1" applyNumberFormat="1" applyFont="1" applyFill="1" applyBorder="1"/>
    <xf numFmtId="43" fontId="3" fillId="0" borderId="3" xfId="1" applyFont="1" applyBorder="1"/>
    <xf numFmtId="43" fontId="3" fillId="0" borderId="1" xfId="1" applyFont="1" applyBorder="1"/>
    <xf numFmtId="43" fontId="3" fillId="0" borderId="2" xfId="1" applyFont="1" applyBorder="1"/>
    <xf numFmtId="165" fontId="3" fillId="0" borderId="5" xfId="1" applyNumberFormat="1" applyFont="1" applyBorder="1"/>
    <xf numFmtId="0" fontId="2" fillId="4" borderId="0" xfId="0" applyFont="1" applyFill="1"/>
    <xf numFmtId="0" fontId="7" fillId="2" borderId="0" xfId="0" applyFont="1" applyFill="1"/>
    <xf numFmtId="165" fontId="2" fillId="4" borderId="9" xfId="1" applyNumberFormat="1" applyFont="1" applyFill="1" applyBorder="1"/>
    <xf numFmtId="10" fontId="2" fillId="4" borderId="11" xfId="3" applyNumberFormat="1" applyFont="1" applyFill="1" applyBorder="1"/>
    <xf numFmtId="10" fontId="2" fillId="4" borderId="10" xfId="3" applyNumberFormat="1" applyFont="1" applyFill="1" applyBorder="1"/>
    <xf numFmtId="165" fontId="2" fillId="0" borderId="0" xfId="1" applyNumberFormat="1" applyFont="1" applyFill="1" applyBorder="1"/>
    <xf numFmtId="10" fontId="2" fillId="0" borderId="0" xfId="3" applyNumberFormat="1" applyFont="1" applyFill="1" applyBorder="1"/>
    <xf numFmtId="9" fontId="2" fillId="2" borderId="13" xfId="3" applyFont="1" applyFill="1" applyBorder="1"/>
    <xf numFmtId="165" fontId="2" fillId="2" borderId="13" xfId="1" applyNumberFormat="1" applyFont="1" applyFill="1" applyBorder="1"/>
    <xf numFmtId="10" fontId="2" fillId="2" borderId="13" xfId="1" applyNumberFormat="1" applyFont="1" applyFill="1" applyBorder="1"/>
    <xf numFmtId="43" fontId="2" fillId="2" borderId="13" xfId="1" applyFont="1" applyFill="1" applyBorder="1"/>
    <xf numFmtId="10" fontId="8" fillId="3" borderId="5" xfId="3" applyNumberFormat="1" applyFont="1" applyFill="1" applyBorder="1"/>
    <xf numFmtId="43" fontId="3" fillId="0" borderId="5" xfId="1" applyFont="1" applyBorder="1"/>
    <xf numFmtId="41" fontId="3" fillId="0" borderId="6" xfId="0" applyNumberFormat="1" applyFont="1" applyBorder="1"/>
    <xf numFmtId="10" fontId="3" fillId="0" borderId="0" xfId="3" applyNumberFormat="1" applyFont="1"/>
    <xf numFmtId="10" fontId="2" fillId="0" borderId="0" xfId="3" applyNumberFormat="1" applyFont="1"/>
    <xf numFmtId="41" fontId="2" fillId="0" borderId="6" xfId="0" applyNumberFormat="1" applyFont="1" applyBorder="1"/>
    <xf numFmtId="0" fontId="2" fillId="2" borderId="6" xfId="0" applyFont="1" applyFill="1" applyBorder="1"/>
    <xf numFmtId="0" fontId="6" fillId="0" borderId="6" xfId="0" applyFont="1" applyBorder="1"/>
    <xf numFmtId="9" fontId="5" fillId="0" borderId="4" xfId="3" applyFont="1" applyBorder="1" applyAlignment="1">
      <alignment horizontal="center"/>
    </xf>
    <xf numFmtId="0" fontId="2" fillId="0" borderId="6" xfId="0" applyFont="1" applyBorder="1"/>
    <xf numFmtId="9" fontId="5" fillId="0" borderId="2" xfId="3" applyFont="1" applyBorder="1" applyAlignment="1">
      <alignment horizontal="center"/>
    </xf>
    <xf numFmtId="0" fontId="7" fillId="0" borderId="6" xfId="0" applyFont="1" applyBorder="1"/>
    <xf numFmtId="9" fontId="5" fillId="0" borderId="10" xfId="3" applyFont="1" applyBorder="1" applyAlignment="1">
      <alignment horizontal="center"/>
    </xf>
    <xf numFmtId="9" fontId="5" fillId="0" borderId="8" xfId="3" applyFont="1" applyBorder="1" applyAlignment="1">
      <alignment horizontal="center"/>
    </xf>
    <xf numFmtId="0" fontId="2" fillId="0" borderId="7" xfId="0" applyFont="1" applyBorder="1"/>
    <xf numFmtId="9" fontId="3" fillId="0" borderId="8" xfId="3" applyFont="1" applyBorder="1" applyAlignment="1">
      <alignment horizontal="center"/>
    </xf>
    <xf numFmtId="0" fontId="2" fillId="0" borderId="6" xfId="0" applyFont="1" applyBorder="1" applyAlignment="1">
      <alignment horizontal="center"/>
    </xf>
    <xf numFmtId="10" fontId="2" fillId="0" borderId="0" xfId="3" applyNumberFormat="1"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41" fontId="2" fillId="0" borderId="14" xfId="2" applyFont="1" applyBorder="1"/>
    <xf numFmtId="41" fontId="3" fillId="0" borderId="14" xfId="2" applyFont="1" applyBorder="1"/>
    <xf numFmtId="41" fontId="2" fillId="0" borderId="15" xfId="2" applyFont="1" applyBorder="1"/>
    <xf numFmtId="41" fontId="8" fillId="0" borderId="12" xfId="2" applyFont="1" applyBorder="1"/>
    <xf numFmtId="41" fontId="8" fillId="0" borderId="15" xfId="2" applyFont="1" applyBorder="1"/>
    <xf numFmtId="0" fontId="2" fillId="0" borderId="3" xfId="0" applyFont="1" applyBorder="1" applyAlignment="1">
      <alignment horizontal="center"/>
    </xf>
    <xf numFmtId="165" fontId="3" fillId="0" borderId="4" xfId="1" applyNumberFormat="1" applyFont="1" applyFill="1" applyBorder="1"/>
    <xf numFmtId="165" fontId="5" fillId="0" borderId="4" xfId="1" applyNumberFormat="1" applyFont="1" applyFill="1" applyBorder="1"/>
    <xf numFmtId="165" fontId="3" fillId="0" borderId="8" xfId="1" applyNumberFormat="1" applyFont="1" applyFill="1" applyBorder="1"/>
    <xf numFmtId="165" fontId="14" fillId="0" borderId="10" xfId="1" applyNumberFormat="1" applyFont="1" applyFill="1" applyBorder="1"/>
    <xf numFmtId="165" fontId="3" fillId="0" borderId="2" xfId="1" applyNumberFormat="1" applyFont="1" applyFill="1" applyBorder="1"/>
    <xf numFmtId="165" fontId="3" fillId="0" borderId="4" xfId="0" applyNumberFormat="1" applyFont="1" applyBorder="1"/>
    <xf numFmtId="165" fontId="4" fillId="0" borderId="8" xfId="0" applyNumberFormat="1" applyFont="1" applyBorder="1"/>
    <xf numFmtId="165" fontId="2" fillId="0" borderId="12" xfId="0" applyNumberFormat="1" applyFont="1" applyBorder="1"/>
    <xf numFmtId="165" fontId="2" fillId="2" borderId="14" xfId="0" applyNumberFormat="1" applyFont="1" applyFill="1" applyBorder="1"/>
    <xf numFmtId="0" fontId="3" fillId="0" borderId="14" xfId="0" applyFont="1" applyBorder="1"/>
    <xf numFmtId="43" fontId="8" fillId="0" borderId="10" xfId="1" applyFont="1" applyFill="1" applyBorder="1"/>
    <xf numFmtId="43" fontId="5" fillId="0" borderId="2" xfId="1" applyFont="1" applyFill="1" applyBorder="1"/>
    <xf numFmtId="165" fontId="3" fillId="0" borderId="8" xfId="1" applyNumberFormat="1" applyFont="1" applyBorder="1"/>
    <xf numFmtId="165" fontId="2" fillId="3" borderId="8" xfId="1" applyNumberFormat="1" applyFont="1" applyFill="1" applyBorder="1"/>
    <xf numFmtId="165" fontId="3" fillId="0" borderId="4" xfId="1" applyNumberFormat="1" applyFont="1" applyBorder="1"/>
    <xf numFmtId="165" fontId="2" fillId="4" borderId="12" xfId="1" applyNumberFormat="1" applyFont="1" applyFill="1" applyBorder="1"/>
    <xf numFmtId="165" fontId="2" fillId="0" borderId="6" xfId="1" applyNumberFormat="1" applyFont="1" applyFill="1" applyBorder="1"/>
    <xf numFmtId="165" fontId="2" fillId="0" borderId="4" xfId="1" applyNumberFormat="1" applyFont="1" applyFill="1" applyBorder="1"/>
    <xf numFmtId="165" fontId="2" fillId="2" borderId="7" xfId="1" applyNumberFormat="1" applyFont="1" applyFill="1" applyBorder="1"/>
    <xf numFmtId="165" fontId="2" fillId="2" borderId="8" xfId="1" applyNumberFormat="1" applyFont="1" applyFill="1" applyBorder="1"/>
    <xf numFmtId="165" fontId="2" fillId="0" borderId="0" xfId="0" applyNumberFormat="1" applyFont="1"/>
    <xf numFmtId="9" fontId="2" fillId="0" borderId="0" xfId="3" applyFont="1"/>
    <xf numFmtId="0" fontId="3" fillId="0" borderId="5" xfId="0" applyFont="1" applyBorder="1"/>
    <xf numFmtId="0" fontId="3" fillId="0" borderId="8" xfId="0" applyFont="1" applyBorder="1"/>
    <xf numFmtId="41" fontId="3" fillId="0" borderId="5" xfId="0" applyNumberFormat="1" applyFont="1" applyBorder="1"/>
    <xf numFmtId="0" fontId="15" fillId="0" borderId="0" xfId="0" applyFont="1" applyAlignment="1">
      <alignment horizontal="center"/>
    </xf>
    <xf numFmtId="2" fontId="15" fillId="0" borderId="0" xfId="0" applyNumberFormat="1" applyFont="1" applyAlignment="1">
      <alignment horizontal="center"/>
    </xf>
    <xf numFmtId="41" fontId="3" fillId="0" borderId="0" xfId="0" applyNumberFormat="1" applyFont="1"/>
    <xf numFmtId="0" fontId="15" fillId="0" borderId="1" xfId="0" applyFont="1" applyBorder="1" applyAlignment="1">
      <alignment horizontal="center"/>
    </xf>
    <xf numFmtId="0" fontId="15" fillId="0" borderId="2" xfId="0" applyFont="1" applyBorder="1" applyAlignment="1">
      <alignment horizontal="center"/>
    </xf>
    <xf numFmtId="0" fontId="15" fillId="0" borderId="4" xfId="0" applyFont="1" applyBorder="1" applyAlignment="1">
      <alignment horizontal="center"/>
    </xf>
    <xf numFmtId="2" fontId="15" fillId="0" borderId="4" xfId="0" applyNumberFormat="1" applyFont="1" applyBorder="1" applyAlignment="1">
      <alignment horizontal="center"/>
    </xf>
    <xf numFmtId="0" fontId="2" fillId="0" borderId="6" xfId="0" applyFont="1" applyBorder="1" applyAlignment="1">
      <alignment vertical="center"/>
    </xf>
    <xf numFmtId="9" fontId="15" fillId="0" borderId="4" xfId="3" applyFont="1" applyBorder="1" applyAlignment="1">
      <alignment horizontal="center"/>
    </xf>
    <xf numFmtId="0" fontId="10" fillId="0" borderId="3" xfId="0" applyFont="1" applyBorder="1"/>
    <xf numFmtId="9" fontId="15" fillId="0" borderId="4" xfId="0" applyNumberFormat="1" applyFont="1" applyBorder="1" applyAlignment="1">
      <alignment horizontal="center"/>
    </xf>
    <xf numFmtId="166" fontId="15" fillId="0" borderId="4" xfId="0" applyNumberFormat="1" applyFont="1" applyBorder="1" applyAlignment="1">
      <alignment horizontal="center"/>
    </xf>
    <xf numFmtId="0" fontId="17" fillId="0" borderId="0" xfId="0" applyFont="1"/>
    <xf numFmtId="0" fontId="17" fillId="0" borderId="0" xfId="0" applyFont="1" applyAlignment="1">
      <alignment horizontal="left" vertical="center" wrapText="1"/>
    </xf>
    <xf numFmtId="0" fontId="19" fillId="0" borderId="0" xfId="0" applyFont="1" applyAlignment="1">
      <alignment vertical="center" wrapText="1"/>
    </xf>
    <xf numFmtId="0" fontId="19" fillId="0" borderId="0" xfId="0" applyFont="1" applyAlignment="1">
      <alignment vertical="center"/>
    </xf>
    <xf numFmtId="0" fontId="17" fillId="6" borderId="25" xfId="5" applyFont="1" applyBorder="1"/>
    <xf numFmtId="0" fontId="17" fillId="0" borderId="0" xfId="0" applyFont="1" applyAlignment="1">
      <alignment horizontal="left"/>
    </xf>
    <xf numFmtId="43" fontId="21" fillId="5" borderId="0" xfId="4" applyNumberFormat="1" applyFont="1" applyAlignment="1">
      <alignment horizontal="center"/>
    </xf>
    <xf numFmtId="165" fontId="3" fillId="0" borderId="5" xfId="0" applyNumberFormat="1" applyFont="1" applyBorder="1" applyAlignment="1">
      <alignment horizontal="center"/>
    </xf>
    <xf numFmtId="9" fontId="21" fillId="5" borderId="0" xfId="4" applyNumberFormat="1" applyFont="1" applyBorder="1"/>
    <xf numFmtId="9" fontId="21" fillId="5" borderId="0" xfId="4" applyNumberFormat="1" applyFont="1" applyAlignment="1">
      <alignment horizontal="center"/>
    </xf>
    <xf numFmtId="166" fontId="21" fillId="5" borderId="0" xfId="4" applyNumberFormat="1" applyFont="1" applyAlignment="1">
      <alignment horizontal="center"/>
    </xf>
    <xf numFmtId="9" fontId="22" fillId="0" borderId="0" xfId="4" applyNumberFormat="1" applyFont="1" applyFill="1" applyBorder="1" applyAlignment="1">
      <alignment horizontal="center"/>
    </xf>
    <xf numFmtId="0" fontId="22" fillId="0" borderId="5" xfId="0" applyFont="1" applyBorder="1" applyAlignment="1">
      <alignment horizontal="center"/>
    </xf>
    <xf numFmtId="0" fontId="22" fillId="0" borderId="0" xfId="0" applyFont="1" applyAlignment="1">
      <alignment horizontal="center"/>
    </xf>
    <xf numFmtId="0" fontId="22" fillId="0" borderId="1" xfId="0" applyFont="1" applyBorder="1" applyAlignment="1">
      <alignment horizontal="center"/>
    </xf>
    <xf numFmtId="9" fontId="22" fillId="0" borderId="0" xfId="4" applyNumberFormat="1" applyFont="1" applyFill="1" applyAlignment="1">
      <alignment horizontal="center"/>
    </xf>
    <xf numFmtId="166" fontId="22" fillId="0" borderId="0" xfId="4" applyNumberFormat="1" applyFont="1" applyFill="1" applyAlignment="1">
      <alignment horizontal="center"/>
    </xf>
    <xf numFmtId="0" fontId="17" fillId="0" borderId="0" xfId="0" applyFont="1" applyAlignment="1">
      <alignment horizontal="center"/>
    </xf>
    <xf numFmtId="0" fontId="17" fillId="0" borderId="0" xfId="0" applyFont="1" applyAlignment="1">
      <alignment horizontal="center" vertical="center"/>
    </xf>
    <xf numFmtId="9" fontId="17" fillId="0" borderId="0" xfId="0" applyNumberFormat="1" applyFont="1" applyAlignment="1">
      <alignment horizontal="center"/>
    </xf>
    <xf numFmtId="10" fontId="17" fillId="0" borderId="0" xfId="0" applyNumberFormat="1" applyFont="1" applyAlignment="1">
      <alignment horizontal="center"/>
    </xf>
    <xf numFmtId="0" fontId="17" fillId="0" borderId="0" xfId="0" applyFont="1" applyAlignment="1">
      <alignment vertical="center" wrapText="1"/>
    </xf>
    <xf numFmtId="0" fontId="22" fillId="0" borderId="0" xfId="0" applyFont="1"/>
    <xf numFmtId="0" fontId="23" fillId="0" borderId="40" xfId="0" applyFont="1" applyBorder="1"/>
    <xf numFmtId="0" fontId="3" fillId="0" borderId="40" xfId="0" applyFont="1" applyBorder="1"/>
    <xf numFmtId="10" fontId="2" fillId="0" borderId="0" xfId="0" applyNumberFormat="1" applyFont="1"/>
    <xf numFmtId="10" fontId="2" fillId="0" borderId="41" xfId="3" applyNumberFormat="1" applyFont="1" applyBorder="1"/>
    <xf numFmtId="9" fontId="2" fillId="0" borderId="0" xfId="3" applyFont="1" applyBorder="1"/>
    <xf numFmtId="10" fontId="2" fillId="0" borderId="43" xfId="0" applyNumberFormat="1" applyFont="1" applyBorder="1"/>
    <xf numFmtId="0" fontId="23" fillId="0" borderId="0" xfId="0" applyFont="1"/>
    <xf numFmtId="10" fontId="2" fillId="7" borderId="0" xfId="0" applyNumberFormat="1" applyFont="1" applyFill="1"/>
    <xf numFmtId="10" fontId="2" fillId="8" borderId="0" xfId="0" applyNumberFormat="1" applyFont="1" applyFill="1"/>
    <xf numFmtId="10" fontId="2" fillId="8" borderId="41" xfId="3" applyNumberFormat="1" applyFont="1" applyFill="1" applyBorder="1"/>
    <xf numFmtId="0" fontId="3" fillId="0" borderId="52" xfId="0" applyFont="1" applyBorder="1"/>
    <xf numFmtId="165" fontId="3" fillId="0" borderId="45" xfId="0" applyNumberFormat="1" applyFont="1" applyBorder="1" applyAlignment="1">
      <alignment horizontal="center"/>
    </xf>
    <xf numFmtId="43" fontId="12" fillId="0" borderId="41" xfId="4" applyNumberFormat="1" applyFont="1" applyFill="1" applyBorder="1" applyAlignment="1">
      <alignment horizontal="center"/>
    </xf>
    <xf numFmtId="43" fontId="3" fillId="0" borderId="40" xfId="0" applyNumberFormat="1" applyFont="1" applyBorder="1" applyAlignment="1">
      <alignment horizontal="center"/>
    </xf>
    <xf numFmtId="0" fontId="12" fillId="0" borderId="41" xfId="0" applyFont="1" applyBorder="1" applyAlignment="1">
      <alignment horizontal="center"/>
    </xf>
    <xf numFmtId="0" fontId="3" fillId="0" borderId="40" xfId="0" applyFont="1" applyBorder="1" applyAlignment="1">
      <alignment horizontal="center"/>
    </xf>
    <xf numFmtId="41" fontId="3" fillId="0" borderId="45" xfId="0" applyNumberFormat="1" applyFont="1" applyBorder="1"/>
    <xf numFmtId="165" fontId="3" fillId="0" borderId="40" xfId="0" applyNumberFormat="1" applyFont="1" applyBorder="1"/>
    <xf numFmtId="0" fontId="3" fillId="0" borderId="45" xfId="0" applyFont="1" applyBorder="1"/>
    <xf numFmtId="41" fontId="3" fillId="0" borderId="40" xfId="0" applyNumberFormat="1" applyFont="1" applyBorder="1"/>
    <xf numFmtId="165" fontId="3" fillId="0" borderId="45" xfId="0" applyNumberFormat="1" applyFont="1" applyBorder="1"/>
    <xf numFmtId="9" fontId="12" fillId="0" borderId="41" xfId="4" applyNumberFormat="1" applyFont="1" applyFill="1" applyBorder="1" applyAlignment="1">
      <alignment horizontal="center"/>
    </xf>
    <xf numFmtId="166" fontId="12" fillId="0" borderId="41" xfId="4" applyNumberFormat="1" applyFont="1" applyFill="1" applyBorder="1" applyAlignment="1">
      <alignment horizontal="center"/>
    </xf>
    <xf numFmtId="0" fontId="3" fillId="0" borderId="42" xfId="0" applyFont="1" applyBorder="1"/>
    <xf numFmtId="0" fontId="3" fillId="0" borderId="43" xfId="0" applyFont="1" applyBorder="1"/>
    <xf numFmtId="0" fontId="3" fillId="0" borderId="53" xfId="0" applyFont="1" applyBorder="1" applyAlignment="1">
      <alignment horizontal="center"/>
    </xf>
    <xf numFmtId="0" fontId="3" fillId="0" borderId="41" xfId="0" applyFont="1" applyBorder="1" applyAlignment="1">
      <alignment horizontal="center"/>
    </xf>
    <xf numFmtId="0" fontId="12" fillId="0" borderId="47" xfId="0" applyFont="1" applyBorder="1" applyAlignment="1">
      <alignment horizontal="center"/>
    </xf>
    <xf numFmtId="0" fontId="12" fillId="0" borderId="53" xfId="0" applyFont="1" applyBorder="1" applyAlignment="1">
      <alignment horizontal="center"/>
    </xf>
    <xf numFmtId="0" fontId="3" fillId="0" borderId="44" xfId="0" applyFont="1" applyBorder="1" applyAlignment="1">
      <alignment horizontal="center"/>
    </xf>
    <xf numFmtId="9" fontId="12" fillId="0" borderId="41" xfId="3" applyFont="1" applyFill="1" applyBorder="1" applyAlignment="1">
      <alignment horizontal="center"/>
    </xf>
    <xf numFmtId="0" fontId="5" fillId="0" borderId="0" xfId="0" applyFont="1" applyAlignment="1">
      <alignment vertical="center"/>
    </xf>
    <xf numFmtId="0" fontId="24" fillId="0" borderId="0" xfId="0" applyFont="1" applyAlignment="1">
      <alignment vertical="center"/>
    </xf>
    <xf numFmtId="0" fontId="9" fillId="0" borderId="0" xfId="0" applyFont="1"/>
    <xf numFmtId="0" fontId="25" fillId="0" borderId="0" xfId="0" applyFont="1" applyAlignment="1">
      <alignment vertical="center"/>
    </xf>
    <xf numFmtId="0" fontId="26" fillId="0" borderId="0" xfId="0" applyFont="1"/>
    <xf numFmtId="0" fontId="27" fillId="0" borderId="0" xfId="0" applyFont="1" applyAlignment="1">
      <alignment vertical="center"/>
    </xf>
    <xf numFmtId="0" fontId="28" fillId="0" borderId="0" xfId="0" applyFont="1"/>
    <xf numFmtId="0" fontId="29" fillId="0" borderId="0" xfId="0" applyFont="1" applyAlignment="1">
      <alignment vertical="center"/>
    </xf>
    <xf numFmtId="0" fontId="7" fillId="3" borderId="0" xfId="0" applyFont="1" applyFill="1" applyAlignment="1">
      <alignment horizontal="left"/>
    </xf>
    <xf numFmtId="0" fontId="3" fillId="0" borderId="0" xfId="0" applyFont="1" applyAlignment="1">
      <alignment horizontal="left" wrapText="1"/>
    </xf>
    <xf numFmtId="10" fontId="3" fillId="8" borderId="4" xfId="3" applyNumberFormat="1" applyFont="1" applyFill="1" applyBorder="1" applyAlignment="1">
      <alignment horizontal="center"/>
    </xf>
    <xf numFmtId="9" fontId="5" fillId="8" borderId="4" xfId="3" applyFont="1" applyFill="1" applyBorder="1" applyAlignment="1">
      <alignment horizontal="center"/>
    </xf>
    <xf numFmtId="0" fontId="3" fillId="0" borderId="0" xfId="0" applyFont="1" applyAlignment="1">
      <alignment horizontal="center" vertical="center"/>
    </xf>
    <xf numFmtId="10" fontId="3" fillId="0" borderId="0" xfId="0" applyNumberFormat="1" applyFont="1"/>
    <xf numFmtId="165" fontId="3" fillId="0" borderId="7" xfId="0" applyNumberFormat="1" applyFont="1" applyBorder="1"/>
    <xf numFmtId="9" fontId="3" fillId="0" borderId="5" xfId="3" applyFont="1" applyBorder="1"/>
    <xf numFmtId="0" fontId="3" fillId="9" borderId="0" xfId="0" applyFont="1" applyFill="1"/>
    <xf numFmtId="41" fontId="3" fillId="9" borderId="6" xfId="2" applyFont="1" applyFill="1" applyBorder="1"/>
    <xf numFmtId="0" fontId="6" fillId="0" borderId="16" xfId="0" applyFont="1" applyBorder="1"/>
    <xf numFmtId="41" fontId="3" fillId="0" borderId="57" xfId="2" applyFont="1" applyBorder="1"/>
    <xf numFmtId="10" fontId="3" fillId="8" borderId="58" xfId="3" applyNumberFormat="1" applyFont="1" applyFill="1" applyBorder="1" applyAlignment="1">
      <alignment horizontal="center"/>
    </xf>
    <xf numFmtId="9" fontId="5" fillId="8" borderId="58" xfId="3" applyFont="1" applyFill="1" applyBorder="1" applyAlignment="1">
      <alignment horizontal="center"/>
    </xf>
    <xf numFmtId="10" fontId="4" fillId="0" borderId="18" xfId="3" applyNumberFormat="1" applyFont="1" applyBorder="1" applyAlignment="1">
      <alignment horizontal="center"/>
    </xf>
    <xf numFmtId="10" fontId="3" fillId="7" borderId="0" xfId="3" applyNumberFormat="1" applyFont="1" applyFill="1" applyBorder="1"/>
    <xf numFmtId="10" fontId="5" fillId="7" borderId="0" xfId="3" applyNumberFormat="1" applyFont="1" applyFill="1" applyBorder="1"/>
    <xf numFmtId="10" fontId="3" fillId="7" borderId="5" xfId="3" applyNumberFormat="1" applyFont="1" applyFill="1" applyBorder="1"/>
    <xf numFmtId="10" fontId="3" fillId="4" borderId="0" xfId="3" applyNumberFormat="1" applyFont="1" applyFill="1" applyBorder="1"/>
    <xf numFmtId="10" fontId="3" fillId="4" borderId="5" xfId="3" applyNumberFormat="1" applyFont="1" applyFill="1" applyBorder="1"/>
    <xf numFmtId="43" fontId="3" fillId="0" borderId="59" xfId="1" applyFont="1" applyFill="1" applyBorder="1"/>
    <xf numFmtId="10" fontId="3" fillId="0" borderId="60" xfId="3" applyNumberFormat="1" applyFont="1" applyFill="1" applyBorder="1"/>
    <xf numFmtId="10" fontId="3" fillId="0" borderId="61" xfId="3" applyNumberFormat="1" applyFont="1" applyFill="1" applyBorder="1"/>
    <xf numFmtId="10" fontId="2" fillId="4" borderId="62" xfId="3" applyNumberFormat="1" applyFont="1" applyFill="1" applyBorder="1"/>
    <xf numFmtId="10" fontId="14" fillId="7" borderId="63" xfId="3" applyNumberFormat="1" applyFont="1" applyFill="1" applyBorder="1"/>
    <xf numFmtId="10" fontId="3" fillId="0" borderId="64" xfId="3" applyNumberFormat="1" applyFont="1" applyFill="1" applyBorder="1"/>
    <xf numFmtId="10" fontId="14" fillId="0" borderId="62" xfId="3" applyNumberFormat="1" applyFont="1" applyFill="1" applyBorder="1"/>
    <xf numFmtId="165" fontId="2" fillId="0" borderId="11" xfId="0" applyNumberFormat="1" applyFont="1" applyBorder="1"/>
    <xf numFmtId="10" fontId="2" fillId="0" borderId="62" xfId="3" applyNumberFormat="1" applyFont="1" applyFill="1" applyBorder="1"/>
    <xf numFmtId="10" fontId="3" fillId="0" borderId="0" xfId="1" applyNumberFormat="1" applyFont="1" applyFill="1" applyBorder="1"/>
    <xf numFmtId="10" fontId="3" fillId="10" borderId="0" xfId="3" applyNumberFormat="1" applyFont="1" applyFill="1" applyBorder="1"/>
    <xf numFmtId="10" fontId="3" fillId="10" borderId="5" xfId="3" applyNumberFormat="1" applyFont="1" applyFill="1" applyBorder="1"/>
    <xf numFmtId="10" fontId="8" fillId="10" borderId="11" xfId="3" applyNumberFormat="1" applyFont="1" applyFill="1" applyBorder="1"/>
    <xf numFmtId="10" fontId="8" fillId="0" borderId="62" xfId="3" applyNumberFormat="1" applyFont="1" applyFill="1" applyBorder="1"/>
    <xf numFmtId="165" fontId="2" fillId="3" borderId="6" xfId="1" applyNumberFormat="1" applyFont="1" applyFill="1" applyBorder="1"/>
    <xf numFmtId="165" fontId="2" fillId="3" borderId="4" xfId="1" applyNumberFormat="1" applyFont="1" applyFill="1" applyBorder="1"/>
    <xf numFmtId="165" fontId="2" fillId="4" borderId="11" xfId="1" applyNumberFormat="1" applyFont="1" applyFill="1" applyBorder="1"/>
    <xf numFmtId="10" fontId="3" fillId="0" borderId="64" xfId="3" applyNumberFormat="1" applyFont="1" applyBorder="1"/>
    <xf numFmtId="10" fontId="3" fillId="0" borderId="60" xfId="3" applyNumberFormat="1" applyFont="1" applyBorder="1"/>
    <xf numFmtId="10" fontId="3" fillId="0" borderId="61" xfId="3" applyNumberFormat="1" applyFont="1" applyBorder="1"/>
    <xf numFmtId="0" fontId="3" fillId="0" borderId="64" xfId="0" applyFont="1" applyBorder="1"/>
    <xf numFmtId="0" fontId="3" fillId="0" borderId="60" xfId="0" applyFont="1" applyBorder="1"/>
    <xf numFmtId="0" fontId="3" fillId="0" borderId="65" xfId="0" applyFont="1" applyBorder="1"/>
    <xf numFmtId="165" fontId="2" fillId="0" borderId="7" xfId="1" applyNumberFormat="1" applyFont="1" applyBorder="1"/>
    <xf numFmtId="165" fontId="2" fillId="0" borderId="5" xfId="1" applyNumberFormat="1" applyFont="1" applyBorder="1"/>
    <xf numFmtId="10" fontId="2" fillId="10" borderId="0" xfId="3" applyNumberFormat="1" applyFont="1" applyFill="1" applyBorder="1" applyAlignment="1">
      <alignment horizontal="center"/>
    </xf>
    <xf numFmtId="10" fontId="2" fillId="10" borderId="0" xfId="3" applyNumberFormat="1" applyFont="1" applyFill="1"/>
    <xf numFmtId="10" fontId="3" fillId="10" borderId="0" xfId="3" applyNumberFormat="1" applyFont="1" applyFill="1" applyBorder="1" applyAlignment="1">
      <alignment horizontal="center"/>
    </xf>
    <xf numFmtId="10" fontId="3" fillId="10" borderId="0" xfId="3" applyNumberFormat="1" applyFont="1" applyFill="1"/>
    <xf numFmtId="165" fontId="4" fillId="0" borderId="0" xfId="0" applyNumberFormat="1" applyFont="1"/>
    <xf numFmtId="0" fontId="3" fillId="0" borderId="0" xfId="0" applyFont="1" applyAlignment="1">
      <alignment vertical="center" wrapText="1"/>
    </xf>
    <xf numFmtId="165" fontId="3" fillId="0" borderId="0" xfId="0" applyNumberFormat="1" applyFont="1" applyAlignment="1">
      <alignment horizontal="center"/>
    </xf>
    <xf numFmtId="0" fontId="15" fillId="0" borderId="0" xfId="0" applyFont="1"/>
    <xf numFmtId="0" fontId="8" fillId="0" borderId="0" xfId="0" applyFont="1" applyAlignment="1">
      <alignment horizontal="center" vertical="center"/>
    </xf>
    <xf numFmtId="0" fontId="15" fillId="0" borderId="0" xfId="0" applyFont="1" applyAlignment="1">
      <alignment horizontal="center" vertical="center"/>
    </xf>
    <xf numFmtId="0" fontId="15" fillId="0" borderId="0" xfId="0" applyFont="1" applyAlignment="1">
      <alignment horizontal="left" vertical="center" wrapText="1"/>
    </xf>
    <xf numFmtId="0" fontId="2" fillId="0" borderId="0" xfId="0" applyFont="1" applyAlignment="1">
      <alignment vertical="center"/>
    </xf>
    <xf numFmtId="0" fontId="2" fillId="0" borderId="0" xfId="0" applyFont="1" applyAlignment="1">
      <alignment vertical="center" wrapText="1"/>
    </xf>
    <xf numFmtId="0" fontId="12" fillId="0" borderId="0" xfId="0" applyFont="1" applyAlignment="1">
      <alignment horizontal="center" vertical="center"/>
    </xf>
    <xf numFmtId="0" fontId="12" fillId="0" borderId="0" xfId="0" applyFont="1" applyAlignment="1">
      <alignment horizontal="left" vertical="center" wrapText="1"/>
    </xf>
    <xf numFmtId="0" fontId="9" fillId="0" borderId="38" xfId="0" applyFont="1" applyBorder="1"/>
    <xf numFmtId="0" fontId="3" fillId="0" borderId="19" xfId="0" applyFont="1" applyBorder="1"/>
    <xf numFmtId="0" fontId="3" fillId="0" borderId="39" xfId="0" applyFont="1" applyBorder="1"/>
    <xf numFmtId="0" fontId="9" fillId="0" borderId="40" xfId="0" applyFont="1" applyBorder="1"/>
    <xf numFmtId="0" fontId="3" fillId="0" borderId="41" xfId="0" applyFont="1" applyBorder="1"/>
    <xf numFmtId="0" fontId="2" fillId="0" borderId="41" xfId="0" applyFont="1" applyBorder="1"/>
    <xf numFmtId="0" fontId="2" fillId="7" borderId="40" xfId="0" applyFont="1" applyFill="1" applyBorder="1"/>
    <xf numFmtId="0" fontId="3" fillId="7" borderId="0" xfId="0" applyFont="1" applyFill="1"/>
    <xf numFmtId="0" fontId="3" fillId="7" borderId="41" xfId="0" applyFont="1" applyFill="1" applyBorder="1"/>
    <xf numFmtId="0" fontId="4" fillId="0" borderId="0" xfId="0" applyFont="1" applyAlignment="1">
      <alignment horizontal="center"/>
    </xf>
    <xf numFmtId="0" fontId="4" fillId="0" borderId="41" xfId="0" applyFont="1" applyBorder="1" applyAlignment="1">
      <alignment horizontal="center"/>
    </xf>
    <xf numFmtId="0" fontId="2" fillId="0" borderId="41" xfId="0" applyFont="1" applyBorder="1" applyAlignment="1">
      <alignment horizontal="center"/>
    </xf>
    <xf numFmtId="0" fontId="4" fillId="10" borderId="0" xfId="0" applyFont="1" applyFill="1" applyAlignment="1">
      <alignment horizontal="center"/>
    </xf>
    <xf numFmtId="0" fontId="4" fillId="10" borderId="41" xfId="0" applyFont="1" applyFill="1" applyBorder="1" applyAlignment="1">
      <alignment horizontal="center"/>
    </xf>
    <xf numFmtId="0" fontId="14" fillId="0" borderId="40" xfId="0" applyFont="1" applyBorder="1"/>
    <xf numFmtId="0" fontId="14" fillId="0" borderId="41" xfId="0" applyFont="1" applyBorder="1"/>
    <xf numFmtId="0" fontId="2" fillId="7" borderId="0" xfId="0" applyFont="1" applyFill="1"/>
    <xf numFmtId="0" fontId="2" fillId="7" borderId="41" xfId="0" applyFont="1" applyFill="1" applyBorder="1"/>
    <xf numFmtId="0" fontId="2" fillId="2" borderId="40" xfId="0" applyFont="1" applyFill="1" applyBorder="1"/>
    <xf numFmtId="0" fontId="3" fillId="2" borderId="41" xfId="0" applyFont="1" applyFill="1" applyBorder="1"/>
    <xf numFmtId="0" fontId="2" fillId="4" borderId="43" xfId="0" applyFont="1" applyFill="1" applyBorder="1" applyAlignment="1">
      <alignment horizontal="center"/>
    </xf>
    <xf numFmtId="0" fontId="2" fillId="4" borderId="44" xfId="0" applyFont="1" applyFill="1" applyBorder="1" applyAlignment="1">
      <alignment horizontal="center"/>
    </xf>
    <xf numFmtId="0" fontId="7" fillId="2" borderId="40" xfId="0" applyFont="1" applyFill="1" applyBorder="1"/>
    <xf numFmtId="0" fontId="2" fillId="2" borderId="41" xfId="0" applyFont="1" applyFill="1" applyBorder="1"/>
    <xf numFmtId="0" fontId="7" fillId="0" borderId="40" xfId="0" applyFont="1" applyBorder="1"/>
    <xf numFmtId="0" fontId="7" fillId="8" borderId="40" xfId="0" applyFont="1" applyFill="1" applyBorder="1" applyAlignment="1">
      <alignment horizontal="justify" vertical="center"/>
    </xf>
    <xf numFmtId="0" fontId="3" fillId="8" borderId="0" xfId="0" applyFont="1" applyFill="1"/>
    <xf numFmtId="0" fontId="3" fillId="8" borderId="41" xfId="0" applyFont="1" applyFill="1" applyBorder="1"/>
    <xf numFmtId="0" fontId="6" fillId="0" borderId="40" xfId="0" applyFont="1" applyBorder="1"/>
    <xf numFmtId="0" fontId="7" fillId="8" borderId="40" xfId="0" applyFont="1" applyFill="1" applyBorder="1"/>
    <xf numFmtId="0" fontId="2" fillId="8" borderId="0" xfId="0" applyFont="1" applyFill="1"/>
    <xf numFmtId="0" fontId="2" fillId="8" borderId="41" xfId="0" applyFont="1" applyFill="1" applyBorder="1"/>
    <xf numFmtId="0" fontId="7" fillId="3" borderId="42" xfId="0" applyFont="1" applyFill="1" applyBorder="1"/>
    <xf numFmtId="0" fontId="2" fillId="3" borderId="43" xfId="0" applyFont="1" applyFill="1" applyBorder="1"/>
    <xf numFmtId="0" fontId="2" fillId="3" borderId="44" xfId="0" applyFont="1" applyFill="1" applyBorder="1"/>
    <xf numFmtId="0" fontId="3" fillId="7" borderId="40" xfId="0" applyFont="1" applyFill="1" applyBorder="1"/>
    <xf numFmtId="10" fontId="3" fillId="0" borderId="41" xfId="3" applyNumberFormat="1" applyFont="1" applyBorder="1"/>
    <xf numFmtId="10" fontId="3" fillId="0" borderId="47" xfId="3" applyNumberFormat="1" applyFont="1" applyBorder="1"/>
    <xf numFmtId="0" fontId="14" fillId="0" borderId="46" xfId="0" applyFont="1" applyBorder="1"/>
    <xf numFmtId="10" fontId="3" fillId="7" borderId="41" xfId="3" applyNumberFormat="1" applyFont="1" applyFill="1" applyBorder="1"/>
    <xf numFmtId="0" fontId="3" fillId="2" borderId="40" xfId="0" applyFont="1" applyFill="1" applyBorder="1"/>
    <xf numFmtId="10" fontId="3" fillId="2" borderId="0" xfId="3" applyNumberFormat="1" applyFont="1" applyFill="1" applyBorder="1"/>
    <xf numFmtId="10" fontId="3" fillId="2" borderId="41" xfId="3" applyNumberFormat="1" applyFont="1" applyFill="1" applyBorder="1"/>
    <xf numFmtId="0" fontId="7" fillId="8" borderId="0" xfId="0" applyFont="1" applyFill="1" applyAlignment="1">
      <alignment horizontal="justify" vertical="center"/>
    </xf>
    <xf numFmtId="0" fontId="3" fillId="8" borderId="40" xfId="0" applyFont="1" applyFill="1" applyBorder="1"/>
    <xf numFmtId="10" fontId="3" fillId="8" borderId="0" xfId="3" applyNumberFormat="1" applyFont="1" applyFill="1" applyBorder="1"/>
    <xf numFmtId="10" fontId="3" fillId="8" borderId="41" xfId="3" applyNumberFormat="1" applyFont="1" applyFill="1" applyBorder="1"/>
    <xf numFmtId="0" fontId="7" fillId="8" borderId="0" xfId="0" applyFont="1" applyFill="1"/>
    <xf numFmtId="0" fontId="2" fillId="8" borderId="40" xfId="0" applyFont="1" applyFill="1" applyBorder="1"/>
    <xf numFmtId="0" fontId="2" fillId="3" borderId="42" xfId="0" applyFont="1" applyFill="1" applyBorder="1"/>
    <xf numFmtId="10" fontId="3" fillId="0" borderId="43" xfId="3" applyNumberFormat="1" applyFont="1" applyBorder="1"/>
    <xf numFmtId="10" fontId="3" fillId="0" borderId="44" xfId="3" applyNumberFormat="1" applyFont="1" applyBorder="1"/>
    <xf numFmtId="0" fontId="2" fillId="10" borderId="6" xfId="0" applyFont="1" applyFill="1" applyBorder="1"/>
    <xf numFmtId="0" fontId="3" fillId="10" borderId="0" xfId="0" applyFont="1" applyFill="1"/>
    <xf numFmtId="167" fontId="3" fillId="0" borderId="40" xfId="0" applyNumberFormat="1" applyFont="1" applyBorder="1"/>
    <xf numFmtId="0" fontId="3" fillId="10" borderId="5" xfId="0" applyFont="1" applyFill="1" applyBorder="1"/>
    <xf numFmtId="10" fontId="17" fillId="0" borderId="0" xfId="0" applyNumberFormat="1" applyFont="1"/>
    <xf numFmtId="0" fontId="3" fillId="0" borderId="0" xfId="0" applyFont="1" applyAlignment="1">
      <alignment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left"/>
    </xf>
    <xf numFmtId="0" fontId="7" fillId="4" borderId="0" xfId="0" applyFont="1" applyFill="1"/>
    <xf numFmtId="0" fontId="7" fillId="0" borderId="0" xfId="0" applyFont="1" applyAlignment="1">
      <alignment horizontal="center" wrapText="1"/>
    </xf>
    <xf numFmtId="0" fontId="3" fillId="0" borderId="0" xfId="0" applyFont="1" applyAlignment="1">
      <alignment horizontal="left"/>
    </xf>
    <xf numFmtId="0" fontId="3" fillId="0" borderId="4" xfId="0" applyFont="1" applyBorder="1" applyAlignment="1">
      <alignment horizontal="left"/>
    </xf>
    <xf numFmtId="0" fontId="2" fillId="0" borderId="0" xfId="0" applyFont="1" applyAlignment="1">
      <alignment horizontal="left"/>
    </xf>
    <xf numFmtId="0" fontId="7" fillId="2" borderId="0" xfId="0" applyFont="1" applyFill="1" applyAlignment="1">
      <alignment horizontal="left"/>
    </xf>
    <xf numFmtId="0" fontId="7" fillId="3" borderId="0" xfId="0" applyFont="1" applyFill="1" applyAlignment="1">
      <alignment horizontal="left"/>
    </xf>
    <xf numFmtId="0" fontId="13" fillId="4" borderId="0" xfId="0" applyFont="1" applyFill="1" applyAlignment="1">
      <alignment horizontal="left" vertical="center"/>
    </xf>
    <xf numFmtId="0" fontId="6" fillId="0" borderId="0" xfId="0" applyFont="1"/>
    <xf numFmtId="0" fontId="6" fillId="0" borderId="0" xfId="0" applyFont="1" applyAlignment="1">
      <alignment horizontal="left" wrapText="1"/>
    </xf>
    <xf numFmtId="0" fontId="2" fillId="2" borderId="0" xfId="0" applyFont="1" applyFill="1" applyAlignment="1">
      <alignment horizontal="left"/>
    </xf>
    <xf numFmtId="0" fontId="9" fillId="3" borderId="0" xfId="0" applyFont="1" applyFill="1" applyAlignment="1">
      <alignment horizontal="left"/>
    </xf>
    <xf numFmtId="0" fontId="14" fillId="0" borderId="0" xfId="0" applyFont="1" applyAlignment="1">
      <alignment horizontal="left"/>
    </xf>
    <xf numFmtId="0" fontId="4" fillId="0" borderId="0" xfId="0" applyFont="1" applyAlignment="1">
      <alignment horizontal="left"/>
    </xf>
    <xf numFmtId="0" fontId="2" fillId="0" borderId="0" xfId="0" applyFont="1" applyAlignment="1">
      <alignment horizontal="center"/>
    </xf>
    <xf numFmtId="0" fontId="2" fillId="0" borderId="12" xfId="0" applyFont="1" applyBorder="1" applyAlignment="1">
      <alignment horizontal="center"/>
    </xf>
    <xf numFmtId="0" fontId="2" fillId="0" borderId="10" xfId="0" applyFont="1" applyBorder="1" applyAlignment="1">
      <alignment horizontal="center"/>
    </xf>
    <xf numFmtId="0" fontId="6" fillId="0" borderId="6" xfId="0" applyFont="1" applyBorder="1" applyAlignment="1">
      <alignment horizontal="left"/>
    </xf>
    <xf numFmtId="0" fontId="7" fillId="0" borderId="7" xfId="0" applyFont="1" applyBorder="1" applyAlignment="1">
      <alignment horizontal="left"/>
    </xf>
    <xf numFmtId="0" fontId="7" fillId="0" borderId="5" xfId="0" applyFont="1" applyBorder="1" applyAlignment="1">
      <alignment horizontal="left"/>
    </xf>
    <xf numFmtId="0" fontId="10" fillId="0" borderId="0" xfId="0" applyFont="1" applyAlignment="1">
      <alignment horizontal="center" wrapText="1"/>
    </xf>
    <xf numFmtId="0" fontId="2" fillId="0" borderId="9" xfId="0" applyFont="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center"/>
    </xf>
    <xf numFmtId="0" fontId="7" fillId="0" borderId="6" xfId="0" applyFont="1" applyBorder="1" applyAlignment="1">
      <alignment horizontal="left"/>
    </xf>
    <xf numFmtId="0" fontId="7" fillId="0" borderId="0" xfId="0" applyFont="1" applyAlignment="1">
      <alignment horizontal="left"/>
    </xf>
    <xf numFmtId="0" fontId="2" fillId="2" borderId="6" xfId="0" applyFont="1" applyFill="1" applyBorder="1" applyAlignment="1">
      <alignment horizontal="left"/>
    </xf>
    <xf numFmtId="0" fontId="9" fillId="0" borderId="0" xfId="0" applyFont="1" applyAlignment="1">
      <alignment horizontal="center"/>
    </xf>
    <xf numFmtId="0" fontId="3" fillId="0" borderId="5" xfId="0" applyFont="1" applyBorder="1" applyAlignment="1">
      <alignment horizontal="center" wrapText="1"/>
    </xf>
    <xf numFmtId="0" fontId="16" fillId="0" borderId="16" xfId="0" applyFont="1" applyBorder="1" applyAlignment="1">
      <alignment horizontal="center"/>
    </xf>
    <xf numFmtId="0" fontId="16" fillId="0" borderId="17" xfId="0" applyFont="1" applyBorder="1" applyAlignment="1">
      <alignment horizontal="center"/>
    </xf>
    <xf numFmtId="0" fontId="16" fillId="0" borderId="18" xfId="0" applyFont="1" applyBorder="1" applyAlignment="1">
      <alignment horizontal="center"/>
    </xf>
    <xf numFmtId="0" fontId="2" fillId="0" borderId="0" xfId="0" applyFont="1" applyAlignment="1">
      <alignment horizontal="center" vertical="center"/>
    </xf>
    <xf numFmtId="0" fontId="2" fillId="0" borderId="19" xfId="0" applyFont="1" applyBorder="1" applyAlignment="1">
      <alignment horizontal="center" vertical="center"/>
    </xf>
    <xf numFmtId="0" fontId="15" fillId="0" borderId="19" xfId="0" applyFont="1" applyBorder="1" applyAlignment="1">
      <alignment horizontal="center" vertical="center" wrapText="1"/>
    </xf>
    <xf numFmtId="0" fontId="15" fillId="0" borderId="5" xfId="0" applyFont="1" applyBorder="1" applyAlignment="1">
      <alignment horizontal="center" vertical="center" wrapText="1"/>
    </xf>
    <xf numFmtId="0" fontId="10" fillId="0" borderId="9" xfId="0" applyFont="1" applyBorder="1" applyAlignment="1">
      <alignment horizontal="left"/>
    </xf>
    <xf numFmtId="0" fontId="10" fillId="0" borderId="11" xfId="0" applyFont="1" applyBorder="1" applyAlignment="1">
      <alignment horizontal="left"/>
    </xf>
    <xf numFmtId="0" fontId="10" fillId="0" borderId="10" xfId="0" applyFont="1" applyBorder="1" applyAlignment="1">
      <alignment horizontal="left"/>
    </xf>
    <xf numFmtId="0" fontId="3" fillId="0" borderId="6" xfId="0" applyFont="1" applyBorder="1" applyAlignment="1">
      <alignment horizontal="left" vertical="center" wrapText="1"/>
    </xf>
    <xf numFmtId="0" fontId="3" fillId="0" borderId="0" xfId="0" applyFont="1" applyAlignment="1">
      <alignment horizontal="left" vertical="center" wrapText="1"/>
    </xf>
    <xf numFmtId="0" fontId="3" fillId="0" borderId="5" xfId="0" applyFont="1" applyBorder="1" applyAlignment="1">
      <alignment horizontal="center"/>
    </xf>
    <xf numFmtId="0" fontId="3" fillId="0" borderId="6" xfId="0" applyFont="1" applyBorder="1" applyAlignment="1">
      <alignment vertical="center" wrapText="1"/>
    </xf>
    <xf numFmtId="0" fontId="3" fillId="0" borderId="0" xfId="0" applyFont="1" applyAlignment="1">
      <alignment vertical="center" wrapText="1"/>
    </xf>
    <xf numFmtId="0" fontId="3" fillId="0" borderId="0" xfId="0" applyFont="1" applyAlignment="1">
      <alignment horizontal="center"/>
    </xf>
    <xf numFmtId="0" fontId="3" fillId="0" borderId="6" xfId="0" applyFont="1" applyBorder="1" applyAlignment="1">
      <alignment horizontal="left" wrapText="1"/>
    </xf>
    <xf numFmtId="0" fontId="3" fillId="0" borderId="0" xfId="0" applyFont="1" applyAlignment="1">
      <alignment horizontal="left" wrapText="1"/>
    </xf>
    <xf numFmtId="0" fontId="3" fillId="0" borderId="7" xfId="0" applyFont="1" applyBorder="1" applyAlignment="1">
      <alignment horizontal="left" wrapText="1"/>
    </xf>
    <xf numFmtId="0" fontId="3" fillId="0" borderId="5" xfId="0" applyFont="1" applyBorder="1" applyAlignment="1">
      <alignment horizontal="left" wrapText="1"/>
    </xf>
    <xf numFmtId="0" fontId="10" fillId="0" borderId="3" xfId="0" applyFont="1" applyBorder="1" applyAlignment="1">
      <alignment horizontal="left"/>
    </xf>
    <xf numFmtId="0" fontId="10" fillId="0" borderId="1" xfId="0" applyFont="1" applyBorder="1" applyAlignment="1">
      <alignment horizontal="left"/>
    </xf>
    <xf numFmtId="0" fontId="3" fillId="0" borderId="11" xfId="0" applyFont="1" applyBorder="1" applyAlignment="1">
      <alignment horizontal="center"/>
    </xf>
    <xf numFmtId="0" fontId="2" fillId="0" borderId="0" xfId="0" applyFont="1" applyAlignment="1">
      <alignment horizontal="left" vertical="center" wrapText="1"/>
    </xf>
    <xf numFmtId="0" fontId="19" fillId="0" borderId="0" xfId="0" applyFont="1" applyAlignment="1">
      <alignment horizontal="left" vertical="center" wrapText="1"/>
    </xf>
    <xf numFmtId="0" fontId="19" fillId="0" borderId="0" xfId="0" applyFont="1" applyAlignment="1">
      <alignment horizontal="center" vertical="center"/>
    </xf>
    <xf numFmtId="0" fontId="17" fillId="0" borderId="0" xfId="0" applyFont="1" applyAlignment="1">
      <alignment horizontal="left" vertical="center" wrapText="1"/>
    </xf>
    <xf numFmtId="0" fontId="19" fillId="0" borderId="0" xfId="0" applyFont="1" applyAlignment="1">
      <alignment horizontal="left" wrapText="1"/>
    </xf>
    <xf numFmtId="0" fontId="3" fillId="6" borderId="26" xfId="5" applyFont="1" applyBorder="1" applyAlignment="1">
      <alignment horizontal="left" wrapText="1"/>
    </xf>
    <xf numFmtId="0" fontId="3" fillId="6" borderId="20" xfId="5" applyFont="1" applyAlignment="1">
      <alignment horizontal="left" wrapText="1"/>
    </xf>
    <xf numFmtId="0" fontId="19" fillId="6" borderId="26" xfId="5" applyFont="1" applyBorder="1" applyAlignment="1">
      <alignment horizontal="center" wrapText="1"/>
    </xf>
    <xf numFmtId="0" fontId="19" fillId="6" borderId="20" xfId="5" applyFont="1" applyAlignment="1">
      <alignment horizontal="center" wrapText="1"/>
    </xf>
    <xf numFmtId="0" fontId="3" fillId="6" borderId="27" xfId="5" applyFont="1" applyBorder="1" applyAlignment="1">
      <alignment horizontal="left" wrapText="1"/>
    </xf>
    <xf numFmtId="0" fontId="20" fillId="6" borderId="32" xfId="5" applyFont="1" applyBorder="1" applyAlignment="1">
      <alignment horizontal="center"/>
    </xf>
    <xf numFmtId="0" fontId="20" fillId="6" borderId="33" xfId="5" applyFont="1" applyBorder="1" applyAlignment="1">
      <alignment horizontal="center"/>
    </xf>
    <xf numFmtId="0" fontId="20" fillId="6" borderId="34" xfId="5" applyFont="1" applyBorder="1" applyAlignment="1">
      <alignment horizontal="center"/>
    </xf>
    <xf numFmtId="0" fontId="3" fillId="6" borderId="26" xfId="5" applyFont="1" applyBorder="1" applyAlignment="1">
      <alignment horizontal="left"/>
    </xf>
    <xf numFmtId="0" fontId="3" fillId="6" borderId="20" xfId="5" applyFont="1" applyAlignment="1">
      <alignment horizontal="left"/>
    </xf>
    <xf numFmtId="0" fontId="3" fillId="6" borderId="27" xfId="5" applyFont="1" applyBorder="1" applyAlignment="1">
      <alignment horizontal="left"/>
    </xf>
    <xf numFmtId="0" fontId="3" fillId="6" borderId="20" xfId="5" applyFont="1" applyAlignment="1">
      <alignment horizontal="left" vertical="center" wrapText="1"/>
    </xf>
    <xf numFmtId="0" fontId="3" fillId="6" borderId="27" xfId="5" applyFont="1" applyBorder="1" applyAlignment="1">
      <alignment horizontal="left" vertical="center" wrapText="1"/>
    </xf>
    <xf numFmtId="0" fontId="3" fillId="6" borderId="28" xfId="5" applyFont="1" applyBorder="1" applyAlignment="1">
      <alignment horizontal="left" wrapText="1"/>
    </xf>
    <xf numFmtId="0" fontId="3" fillId="6" borderId="29" xfId="5" applyFont="1" applyBorder="1" applyAlignment="1">
      <alignment horizontal="left" wrapText="1"/>
    </xf>
    <xf numFmtId="0" fontId="3" fillId="6" borderId="29" xfId="5" applyFont="1" applyBorder="1" applyAlignment="1">
      <alignment horizontal="left" vertical="center" wrapText="1"/>
    </xf>
    <xf numFmtId="0" fontId="3" fillId="6" borderId="30" xfId="5" applyFont="1" applyBorder="1" applyAlignment="1">
      <alignment horizontal="left" vertical="center" wrapText="1"/>
    </xf>
    <xf numFmtId="0" fontId="20" fillId="6" borderId="23" xfId="5" applyFont="1" applyBorder="1" applyAlignment="1">
      <alignment horizontal="center"/>
    </xf>
    <xf numFmtId="0" fontId="20" fillId="6" borderId="24" xfId="5" applyFont="1" applyBorder="1" applyAlignment="1">
      <alignment horizontal="center"/>
    </xf>
    <xf numFmtId="0" fontId="3" fillId="6" borderId="28" xfId="5" applyFont="1" applyBorder="1" applyAlignment="1">
      <alignment horizontal="left"/>
    </xf>
    <xf numFmtId="0" fontId="3" fillId="6" borderId="29" xfId="5" applyFont="1" applyBorder="1" applyAlignment="1">
      <alignment horizontal="left"/>
    </xf>
    <xf numFmtId="0" fontId="3" fillId="6" borderId="30" xfId="5" applyFont="1" applyBorder="1" applyAlignment="1">
      <alignment horizontal="left"/>
    </xf>
    <xf numFmtId="0" fontId="3" fillId="6" borderId="21" xfId="5" applyFont="1" applyBorder="1" applyAlignment="1">
      <alignment horizontal="center"/>
    </xf>
    <xf numFmtId="0" fontId="3" fillId="6" borderId="22" xfId="5" applyFont="1" applyBorder="1" applyAlignment="1">
      <alignment horizontal="center"/>
    </xf>
    <xf numFmtId="0" fontId="3" fillId="6" borderId="31" xfId="5" applyFont="1" applyBorder="1" applyAlignment="1">
      <alignment horizontal="center"/>
    </xf>
    <xf numFmtId="0" fontId="19" fillId="6" borderId="35" xfId="5" applyFont="1" applyBorder="1" applyAlignment="1">
      <alignment horizontal="center" wrapText="1"/>
    </xf>
    <xf numFmtId="0" fontId="19" fillId="6" borderId="36" xfId="5" applyFont="1" applyBorder="1" applyAlignment="1">
      <alignment horizontal="center" wrapText="1"/>
    </xf>
    <xf numFmtId="0" fontId="19" fillId="6" borderId="37" xfId="5" applyFont="1" applyBorder="1" applyAlignment="1">
      <alignment horizontal="center" wrapText="1"/>
    </xf>
    <xf numFmtId="0" fontId="20" fillId="6" borderId="20" xfId="5" applyFont="1" applyAlignment="1">
      <alignment horizontal="center"/>
    </xf>
    <xf numFmtId="0" fontId="3" fillId="6" borderId="26" xfId="5" applyFont="1" applyBorder="1" applyAlignment="1">
      <alignment horizontal="left" vertical="top" wrapText="1"/>
    </xf>
    <xf numFmtId="0" fontId="3" fillId="6" borderId="20" xfId="5" applyFont="1" applyAlignment="1">
      <alignment horizontal="left" vertical="top" wrapText="1"/>
    </xf>
    <xf numFmtId="0" fontId="3" fillId="6" borderId="27" xfId="5" applyFont="1" applyBorder="1" applyAlignment="1">
      <alignment horizontal="left" vertical="top" wrapText="1"/>
    </xf>
    <xf numFmtId="0" fontId="19" fillId="6" borderId="27" xfId="5" applyFont="1" applyBorder="1" applyAlignment="1">
      <alignment horizontal="center" wrapText="1"/>
    </xf>
    <xf numFmtId="0" fontId="3" fillId="7" borderId="12" xfId="0" applyFont="1" applyFill="1" applyBorder="1" applyAlignment="1">
      <alignment horizontal="left" wrapText="1"/>
    </xf>
    <xf numFmtId="0" fontId="3" fillId="7" borderId="12" xfId="0" applyFont="1" applyFill="1" applyBorder="1" applyAlignment="1">
      <alignment horizontal="left" vertical="top" wrapText="1"/>
    </xf>
    <xf numFmtId="0" fontId="3" fillId="7" borderId="12" xfId="0" applyFont="1" applyFill="1" applyBorder="1" applyAlignment="1">
      <alignment horizontal="left" vertical="center" wrapText="1"/>
    </xf>
    <xf numFmtId="0" fontId="2" fillId="7" borderId="12" xfId="0" applyFont="1" applyFill="1" applyBorder="1" applyAlignment="1">
      <alignment horizontal="left" vertical="center"/>
    </xf>
    <xf numFmtId="0" fontId="3" fillId="0" borderId="0" xfId="0" applyFont="1" applyAlignment="1">
      <alignment horizontal="left" vertical="top" wrapText="1"/>
    </xf>
    <xf numFmtId="0" fontId="22" fillId="0" borderId="0" xfId="0" applyFont="1" applyAlignment="1">
      <alignment horizontal="center" vertical="center"/>
    </xf>
    <xf numFmtId="0" fontId="3" fillId="7" borderId="12" xfId="0" applyFont="1" applyFill="1" applyBorder="1" applyAlignment="1">
      <alignment horizontal="center"/>
    </xf>
    <xf numFmtId="0" fontId="22" fillId="7" borderId="12"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19" fillId="7" borderId="12" xfId="0" applyFont="1" applyFill="1" applyBorder="1" applyAlignment="1">
      <alignment horizontal="left" vertical="center"/>
    </xf>
    <xf numFmtId="0" fontId="22" fillId="0" borderId="0" xfId="0" applyFont="1" applyAlignment="1">
      <alignment horizontal="center" wrapText="1"/>
    </xf>
    <xf numFmtId="0" fontId="22" fillId="0" borderId="0" xfId="0" applyFont="1" applyAlignment="1">
      <alignment horizontal="center" vertical="center" wrapText="1"/>
    </xf>
    <xf numFmtId="0" fontId="19" fillId="0" borderId="0" xfId="0" applyFont="1" applyAlignment="1">
      <alignment horizontal="left"/>
    </xf>
    <xf numFmtId="0" fontId="22" fillId="0" borderId="0" xfId="0" applyFont="1" applyAlignment="1">
      <alignment horizontal="left" wrapText="1"/>
    </xf>
    <xf numFmtId="0" fontId="17" fillId="7" borderId="12" xfId="0" applyFont="1" applyFill="1" applyBorder="1" applyAlignment="1">
      <alignment horizontal="center"/>
    </xf>
    <xf numFmtId="0" fontId="2" fillId="0" borderId="12" xfId="0" applyFont="1" applyBorder="1" applyAlignment="1">
      <alignment horizontal="center" vertical="center" wrapText="1"/>
    </xf>
    <xf numFmtId="0" fontId="3" fillId="0" borderId="12" xfId="0" applyFont="1" applyBorder="1" applyAlignment="1">
      <alignment horizontal="left" vertical="center" wrapText="1"/>
    </xf>
    <xf numFmtId="0" fontId="3" fillId="0" borderId="12" xfId="0" applyFont="1" applyBorder="1" applyAlignment="1">
      <alignment horizontal="left" wrapText="1"/>
    </xf>
    <xf numFmtId="0" fontId="3" fillId="0" borderId="51" xfId="0" applyFont="1" applyBorder="1" applyAlignment="1">
      <alignment horizontal="left" vertical="center" wrapText="1"/>
    </xf>
    <xf numFmtId="0" fontId="9" fillId="0" borderId="50" xfId="0" applyFont="1" applyBorder="1" applyAlignment="1">
      <alignment horizontal="center"/>
    </xf>
    <xf numFmtId="0" fontId="3" fillId="0" borderId="54" xfId="0" applyFont="1" applyBorder="1" applyAlignment="1">
      <alignment horizontal="center" vertical="center" wrapText="1"/>
    </xf>
    <xf numFmtId="0" fontId="3" fillId="0" borderId="55" xfId="0" applyFont="1" applyBorder="1" applyAlignment="1">
      <alignment horizontal="center" vertical="center" wrapText="1"/>
    </xf>
    <xf numFmtId="0" fontId="3" fillId="0" borderId="5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1" xfId="0" applyFont="1" applyBorder="1" applyAlignment="1">
      <alignment horizontal="left" wrapText="1"/>
    </xf>
    <xf numFmtId="0" fontId="3" fillId="10" borderId="5" xfId="0" applyFont="1" applyFill="1" applyBorder="1" applyAlignment="1">
      <alignment horizontal="center"/>
    </xf>
    <xf numFmtId="0" fontId="3" fillId="10" borderId="6" xfId="0" applyFont="1" applyFill="1" applyBorder="1" applyAlignment="1">
      <alignment horizontal="left" wrapText="1"/>
    </xf>
    <xf numFmtId="0" fontId="3" fillId="10" borderId="0" xfId="0" applyFont="1" applyFill="1" applyAlignment="1">
      <alignment horizontal="left" wrapText="1"/>
    </xf>
    <xf numFmtId="0" fontId="3" fillId="10" borderId="7" xfId="0" applyFont="1" applyFill="1" applyBorder="1" applyAlignment="1">
      <alignment horizontal="left" wrapText="1"/>
    </xf>
    <xf numFmtId="0" fontId="3" fillId="10" borderId="5" xfId="0" applyFont="1" applyFill="1" applyBorder="1" applyAlignment="1">
      <alignment horizontal="left" wrapText="1"/>
    </xf>
    <xf numFmtId="0" fontId="3" fillId="10" borderId="0" xfId="0" applyFont="1" applyFill="1" applyAlignment="1">
      <alignment horizontal="center"/>
    </xf>
    <xf numFmtId="0" fontId="3" fillId="0" borderId="6" xfId="0" applyFont="1" applyBorder="1" applyAlignment="1">
      <alignment wrapText="1"/>
    </xf>
    <xf numFmtId="0" fontId="3" fillId="0" borderId="0" xfId="0" applyFont="1" applyAlignment="1">
      <alignment wrapText="1"/>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 fillId="0" borderId="40" xfId="0" applyFont="1" applyBorder="1" applyAlignment="1">
      <alignment horizontal="center" vertical="center"/>
    </xf>
    <xf numFmtId="0" fontId="2" fillId="0" borderId="41" xfId="0" applyFont="1" applyBorder="1" applyAlignment="1">
      <alignment horizontal="center" vertical="center"/>
    </xf>
    <xf numFmtId="0" fontId="2" fillId="0" borderId="3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0" xfId="0" applyFont="1" applyAlignment="1">
      <alignment horizontal="center" vertical="center" wrapText="1"/>
    </xf>
    <xf numFmtId="0" fontId="2" fillId="0" borderId="41"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49" xfId="0" applyFont="1" applyBorder="1" applyAlignment="1">
      <alignment horizontal="center" vertical="center" wrapText="1"/>
    </xf>
    <xf numFmtId="0" fontId="6" fillId="0" borderId="40" xfId="0" applyFont="1" applyBorder="1" applyAlignment="1">
      <alignment horizontal="left"/>
    </xf>
    <xf numFmtId="0" fontId="7" fillId="0" borderId="40" xfId="0" applyFont="1" applyBorder="1" applyAlignment="1">
      <alignment horizontal="left"/>
    </xf>
    <xf numFmtId="0" fontId="2" fillId="4" borderId="42" xfId="0" applyFont="1" applyFill="1" applyBorder="1" applyAlignment="1">
      <alignment horizontal="left"/>
    </xf>
    <xf numFmtId="0" fontId="2" fillId="4" borderId="43" xfId="0" applyFont="1" applyFill="1" applyBorder="1" applyAlignment="1">
      <alignment horizontal="left"/>
    </xf>
    <xf numFmtId="0" fontId="2" fillId="0" borderId="0" xfId="0" applyFont="1" applyAlignment="1">
      <alignment horizontal="left" wrapText="1"/>
    </xf>
    <xf numFmtId="0" fontId="6" fillId="10" borderId="40" xfId="0" applyFont="1" applyFill="1" applyBorder="1" applyAlignment="1">
      <alignment horizontal="left"/>
    </xf>
    <xf numFmtId="0" fontId="6" fillId="10" borderId="0" xfId="0" applyFont="1" applyFill="1" applyAlignment="1">
      <alignment horizontal="left"/>
    </xf>
    <xf numFmtId="0" fontId="7" fillId="0" borderId="40" xfId="0" applyFont="1" applyBorder="1" applyAlignment="1">
      <alignment horizontal="left" wrapText="1"/>
    </xf>
    <xf numFmtId="0" fontId="7" fillId="0" borderId="0" xfId="0" applyFont="1" applyAlignment="1">
      <alignment horizontal="left" wrapText="1"/>
    </xf>
    <xf numFmtId="0" fontId="15" fillId="0" borderId="0" xfId="0" applyFont="1" applyAlignment="1">
      <alignment horizontal="center" vertical="center"/>
    </xf>
    <xf numFmtId="0" fontId="15" fillId="0" borderId="0" xfId="0" applyFont="1" applyAlignment="1">
      <alignment horizontal="left" vertical="center" wrapText="1"/>
    </xf>
    <xf numFmtId="0" fontId="2" fillId="4" borderId="40" xfId="0" applyFont="1" applyFill="1" applyBorder="1" applyAlignment="1">
      <alignment horizontal="left"/>
    </xf>
    <xf numFmtId="0" fontId="2" fillId="4" borderId="0" xfId="0" applyFont="1" applyFill="1" applyAlignment="1">
      <alignment horizontal="left"/>
    </xf>
    <xf numFmtId="0" fontId="2" fillId="0" borderId="40" xfId="0" applyFont="1" applyBorder="1" applyAlignment="1">
      <alignment horizontal="left"/>
    </xf>
    <xf numFmtId="0" fontId="8" fillId="0" borderId="0" xfId="0" applyFont="1" applyAlignment="1">
      <alignment horizontal="center" vertical="center"/>
    </xf>
    <xf numFmtId="0" fontId="8" fillId="0" borderId="0" xfId="0" applyFont="1" applyAlignment="1">
      <alignment horizontal="left" vertical="center" wrapText="1"/>
    </xf>
    <xf numFmtId="0" fontId="2" fillId="0" borderId="0" xfId="0" applyFont="1" applyAlignment="1">
      <alignment horizontal="center" wrapText="1"/>
    </xf>
    <xf numFmtId="41" fontId="2" fillId="9" borderId="6" xfId="2" applyFont="1" applyFill="1" applyBorder="1"/>
    <xf numFmtId="10" fontId="5" fillId="0" borderId="4" xfId="3" applyNumberFormat="1" applyFont="1" applyBorder="1" applyAlignment="1">
      <alignment horizontal="center"/>
    </xf>
    <xf numFmtId="0" fontId="6" fillId="4" borderId="6" xfId="0" applyFont="1" applyFill="1" applyBorder="1"/>
    <xf numFmtId="41" fontId="3" fillId="4" borderId="6" xfId="2" applyFont="1" applyFill="1" applyBorder="1"/>
    <xf numFmtId="0" fontId="7" fillId="4" borderId="6" xfId="0" applyFont="1" applyFill="1" applyBorder="1"/>
    <xf numFmtId="41" fontId="2" fillId="4" borderId="9" xfId="2" applyFont="1" applyFill="1" applyBorder="1"/>
    <xf numFmtId="10" fontId="3" fillId="0" borderId="0" xfId="0" applyNumberFormat="1" applyFont="1" applyAlignment="1">
      <alignment horizontal="center"/>
    </xf>
    <xf numFmtId="0" fontId="30" fillId="0" borderId="1" xfId="0" applyFont="1" applyBorder="1" applyAlignment="1">
      <alignment horizontal="center" vertical="center" wrapText="1"/>
    </xf>
    <xf numFmtId="0" fontId="31" fillId="0" borderId="2" xfId="0" applyFont="1" applyBorder="1" applyAlignment="1">
      <alignment horizontal="center" wrapText="1"/>
    </xf>
    <xf numFmtId="0" fontId="30" fillId="0" borderId="0" xfId="0" applyFont="1" applyAlignment="1">
      <alignment horizontal="center" vertical="center" wrapText="1"/>
    </xf>
    <xf numFmtId="0" fontId="31" fillId="0" borderId="4" xfId="0" applyFont="1" applyBorder="1" applyAlignment="1">
      <alignment horizontal="center" wrapText="1"/>
    </xf>
    <xf numFmtId="10" fontId="3" fillId="11" borderId="0" xfId="3" applyNumberFormat="1" applyFont="1" applyFill="1" applyBorder="1"/>
    <xf numFmtId="10" fontId="14" fillId="11" borderId="66" xfId="3" applyNumberFormat="1" applyFont="1" applyFill="1" applyBorder="1"/>
    <xf numFmtId="10" fontId="14" fillId="11" borderId="11" xfId="3" applyNumberFormat="1" applyFont="1" applyFill="1" applyBorder="1"/>
    <xf numFmtId="0" fontId="3" fillId="0" borderId="2" xfId="0" applyFont="1" applyBorder="1" applyAlignment="1">
      <alignment horizontal="center" vertical="center" wrapText="1"/>
    </xf>
    <xf numFmtId="10" fontId="8" fillId="7" borderId="11" xfId="3" applyNumberFormat="1" applyFont="1" applyFill="1" applyBorder="1"/>
    <xf numFmtId="165" fontId="8" fillId="0" borderId="11" xfId="1" applyNumberFormat="1" applyFont="1" applyFill="1" applyBorder="1"/>
    <xf numFmtId="10" fontId="3" fillId="12" borderId="5" xfId="3" applyNumberFormat="1" applyFont="1" applyFill="1" applyBorder="1"/>
    <xf numFmtId="10" fontId="2" fillId="12" borderId="0" xfId="3" applyNumberFormat="1" applyFont="1" applyFill="1" applyBorder="1"/>
    <xf numFmtId="10" fontId="2" fillId="0" borderId="5" xfId="3" applyNumberFormat="1" applyFont="1" applyBorder="1"/>
    <xf numFmtId="10" fontId="2" fillId="0" borderId="8" xfId="3" applyNumberFormat="1" applyFont="1" applyBorder="1"/>
    <xf numFmtId="165" fontId="2" fillId="3" borderId="5" xfId="0" applyNumberFormat="1" applyFont="1" applyFill="1" applyBorder="1"/>
    <xf numFmtId="10" fontId="8" fillId="3" borderId="66" xfId="3" applyNumberFormat="1" applyFont="1" applyFill="1" applyBorder="1"/>
    <xf numFmtId="0" fontId="3" fillId="0" borderId="59" xfId="0" applyFont="1" applyBorder="1"/>
    <xf numFmtId="0" fontId="3" fillId="2" borderId="0" xfId="0" applyFont="1" applyFill="1" applyAlignment="1">
      <alignment horizontal="center"/>
    </xf>
    <xf numFmtId="0" fontId="3" fillId="3" borderId="0" xfId="0" applyFont="1" applyFill="1" applyAlignment="1">
      <alignment horizontal="center"/>
    </xf>
    <xf numFmtId="0" fontId="3" fillId="4" borderId="0" xfId="0" applyFont="1" applyFill="1" applyAlignment="1">
      <alignment horizontal="center"/>
    </xf>
  </cellXfs>
  <cellStyles count="6">
    <cellStyle name="Incorrecto" xfId="4" builtinId="27"/>
    <cellStyle name="Millares" xfId="1" builtinId="3"/>
    <cellStyle name="Millares [0]" xfId="2" builtinId="6"/>
    <cellStyle name="Normal" xfId="0" builtinId="0"/>
    <cellStyle name="Notas" xfId="5" builtinId="10"/>
    <cellStyle name="Porcentaje" xfId="3" builtinId="5"/>
  </cellStyles>
  <dxfs count="0"/>
  <tableStyles count="0" defaultTableStyle="TableStyleMedium2" defaultPivotStyle="PivotStyleLight16"/>
  <colors>
    <mruColors>
      <color rgb="FFCCFFCC"/>
      <color rgb="FFFF33CC"/>
      <color rgb="FF0000CC"/>
      <color rgb="FFCCECFF"/>
      <color rgb="FFCCFF99"/>
      <color rgb="FFCCFFFF"/>
      <color rgb="FFFF99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57151</xdr:colOff>
      <xdr:row>11</xdr:row>
      <xdr:rowOff>6347</xdr:rowOff>
    </xdr:from>
    <xdr:to>
      <xdr:col>12</xdr:col>
      <xdr:colOff>530370</xdr:colOff>
      <xdr:row>64</xdr:row>
      <xdr:rowOff>64943</xdr:rowOff>
    </xdr:to>
    <xdr:sp macro="" textlink="">
      <xdr:nvSpPr>
        <xdr:cNvPr id="2" name="CuadroTexto 1">
          <a:extLst>
            <a:ext uri="{FF2B5EF4-FFF2-40B4-BE49-F238E27FC236}">
              <a16:creationId xmlns:a16="http://schemas.microsoft.com/office/drawing/2014/main" id="{9C115EDB-8CC6-4709-9481-1FF21A031B37}"/>
            </a:ext>
          </a:extLst>
        </xdr:cNvPr>
        <xdr:cNvSpPr txBox="1"/>
      </xdr:nvSpPr>
      <xdr:spPr>
        <a:xfrm>
          <a:off x="571501" y="2092322"/>
          <a:ext cx="10264919" cy="9650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u="none" strike="noStrike">
              <a:solidFill>
                <a:schemeClr val="dk1"/>
              </a:solidFill>
              <a:effectLst/>
              <a:latin typeface="Arial Nova" panose="020B0504020202020204" pitchFamily="34" charset="0"/>
              <a:ea typeface="+mn-ea"/>
              <a:cs typeface="+mn-cs"/>
            </a:rPr>
            <a:t>I Parte Teórica.</a:t>
          </a:r>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 </a:t>
          </a:r>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A ¿Cuál es la finalidad de utilizar el análisis vertical y horizontal dentro del análisis financiero de unas empresa?</a:t>
          </a:r>
        </a:p>
        <a:p>
          <a:endParaRPr lang="es-ES_tradnl" sz="1100" u="none" strike="noStrike" baseline="0">
            <a:solidFill>
              <a:schemeClr val="dk1"/>
            </a:solidFill>
            <a:effectLst/>
            <a:latin typeface="Arial Nova" panose="020B0504020202020204" pitchFamily="34" charset="0"/>
            <a:ea typeface="+mn-ea"/>
            <a:cs typeface="+mn-cs"/>
          </a:endParaRPr>
        </a:p>
        <a:p>
          <a:endParaRPr lang="en-US" sz="1100" u="none" strike="noStrike" baseline="0">
            <a:solidFill>
              <a:schemeClr val="dk1"/>
            </a:solidFill>
            <a:effectLst/>
            <a:latin typeface="Arial Nova" panose="020B0504020202020204" pitchFamily="34" charset="0"/>
            <a:ea typeface="+mn-ea"/>
            <a:cs typeface="+mn-cs"/>
          </a:endParaRPr>
        </a:p>
        <a:p>
          <a:r>
            <a:rPr lang="es-ES_tradnl" sz="1100" u="none" strike="noStrike">
              <a:solidFill>
                <a:schemeClr val="dk1"/>
              </a:solidFill>
              <a:effectLst/>
              <a:latin typeface="Arial Nova" panose="020B0504020202020204" pitchFamily="34" charset="0"/>
              <a:ea typeface="+mn-ea"/>
              <a:cs typeface="+mn-cs"/>
            </a:rPr>
            <a:t> </a:t>
          </a:r>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B ¿Por qué se comparan los resultados de las razones financieras con el promedio de la industria ?</a:t>
          </a:r>
        </a:p>
        <a:p>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endParaRPr lang="es-ES_tradnl" sz="1100" u="none" strike="noStrike" baseline="0">
            <a:solidFill>
              <a:schemeClr val="dk1"/>
            </a:solidFill>
            <a:effectLst/>
            <a:latin typeface="Arial Nova" panose="020B0504020202020204" pitchFamily="34" charset="0"/>
            <a:ea typeface="+mn-ea"/>
            <a:cs typeface="+mn-cs"/>
          </a:endParaRPr>
        </a:p>
        <a:p>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C</a:t>
          </a:r>
          <a:r>
            <a:rPr lang="es-ES_tradnl" sz="1100" b="1" u="none" strike="noStrike" baseline="0">
              <a:solidFill>
                <a:schemeClr val="dk1"/>
              </a:solidFill>
              <a:effectLst/>
              <a:latin typeface="Arial Nova" panose="020B0504020202020204" pitchFamily="34" charset="0"/>
              <a:ea typeface="+mn-ea"/>
              <a:cs typeface="+mn-cs"/>
            </a:rPr>
            <a:t> </a:t>
          </a:r>
          <a:r>
            <a:rPr lang="es-ES_tradnl" sz="1100" b="1" u="none" strike="noStrike">
              <a:solidFill>
                <a:schemeClr val="dk1"/>
              </a:solidFill>
              <a:effectLst/>
              <a:latin typeface="Arial Nova" panose="020B0504020202020204" pitchFamily="34" charset="0"/>
              <a:ea typeface="+mn-ea"/>
              <a:cs typeface="+mn-cs"/>
            </a:rPr>
            <a:t>¿Mencione tres limitaciones de los índices financieros? </a:t>
          </a:r>
        </a:p>
        <a:p>
          <a:endParaRPr lang="es-ES_tradnl" sz="1100" b="1" u="none" strike="noStrike">
            <a:solidFill>
              <a:schemeClr val="dk1"/>
            </a:solidFill>
            <a:effectLst/>
            <a:latin typeface="Arial Nova" panose="020B0504020202020204" pitchFamily="34" charset="0"/>
            <a:ea typeface="+mn-ea"/>
            <a:cs typeface="+mn-cs"/>
          </a:endParaRPr>
        </a:p>
        <a:p>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D</a:t>
          </a:r>
          <a:r>
            <a:rPr lang="es-ES_tradnl" sz="1100" b="1" u="none" strike="noStrike" baseline="0">
              <a:solidFill>
                <a:schemeClr val="dk1"/>
              </a:solidFill>
              <a:effectLst/>
              <a:latin typeface="Arial Nova" panose="020B0504020202020204" pitchFamily="34" charset="0"/>
              <a:ea typeface="+mn-ea"/>
              <a:cs typeface="+mn-cs"/>
            </a:rPr>
            <a:t> </a:t>
          </a:r>
          <a:r>
            <a:rPr lang="es-ES_tradnl" sz="1100" b="1" u="none" strike="noStrike">
              <a:solidFill>
                <a:schemeClr val="dk1"/>
              </a:solidFill>
              <a:effectLst/>
              <a:latin typeface="Arial Nova" panose="020B0504020202020204" pitchFamily="34" charset="0"/>
              <a:ea typeface="+mn-ea"/>
              <a:cs typeface="+mn-cs"/>
            </a:rPr>
            <a:t>Aserraderos Barbados tiene un activo corriente de ¢ 100 y una deuda de corto plazo de ¢ 50.</a:t>
          </a:r>
        </a:p>
        <a:p>
          <a:endParaRPr lang="es-ES_tradnl" sz="1100" b="1" u="none" strike="noStrike">
            <a:solidFill>
              <a:schemeClr val="dk1"/>
            </a:solidFill>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 ¿Qué ocurriría con su razón de liquidez corriente si tomara un préstamo de corto plazo de ¢ 100 y luego lo destinara a la compra de títulos de corto plazo?</a:t>
          </a:r>
        </a:p>
        <a:p>
          <a:endParaRPr lang="es-ES_tradnl" sz="1100" b="1" u="none" strike="noStrike">
            <a:solidFill>
              <a:schemeClr val="dk1"/>
            </a:solidFill>
            <a:effectLst/>
            <a:latin typeface="Arial Nova" panose="020B0504020202020204" pitchFamily="34" charset="0"/>
            <a:ea typeface="+mn-ea"/>
            <a:cs typeface="+mn-cs"/>
          </a:endParaRPr>
        </a:p>
        <a:p>
          <a:endParaRPr lang="es-ES_tradnl" sz="1100" b="1" u="none" strike="noStrike">
            <a:solidFill>
              <a:schemeClr val="dk1"/>
            </a:solidFill>
            <a:effectLst/>
            <a:latin typeface="Arial Nova" panose="020B0504020202020204" pitchFamily="34" charset="0"/>
            <a:ea typeface="+mn-ea"/>
            <a:cs typeface="+mn-cs"/>
          </a:endParaRPr>
        </a:p>
        <a:p>
          <a:endParaRPr lang="es-ES_tradnl" sz="1100" b="1" u="none" strike="noStrike">
            <a:solidFill>
              <a:schemeClr val="dk1"/>
            </a:solidFill>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¿Qué pasaría si luego vendiera ¢ 50 de títulos y los destinara a cancelar deuda de corto plazo?</a:t>
          </a:r>
        </a:p>
        <a:p>
          <a:endParaRPr lang="es-ES_tradnl" sz="1100" b="1" u="none" strike="noStrike">
            <a:solidFill>
              <a:schemeClr val="dk1"/>
            </a:solidFill>
            <a:effectLst/>
            <a:latin typeface="Arial Nova" panose="020B0504020202020204" pitchFamily="34" charset="0"/>
            <a:ea typeface="+mn-ea"/>
            <a:cs typeface="+mn-cs"/>
          </a:endParaRPr>
        </a:p>
        <a:p>
          <a:endParaRPr lang="es-ES_tradnl" sz="1100" u="none" strike="noStrike">
            <a:solidFill>
              <a:schemeClr val="dk1"/>
            </a:solidFill>
            <a:effectLst/>
            <a:latin typeface="Arial Nova" panose="020B0504020202020204" pitchFamily="34" charset="0"/>
            <a:ea typeface="+mn-ea"/>
            <a:cs typeface="+mn-cs"/>
          </a:endParaRPr>
        </a:p>
        <a:p>
          <a:r>
            <a:rPr lang="es-ES_tradnl" sz="1100" u="none" strike="noStrike">
              <a:solidFill>
                <a:schemeClr val="dk1"/>
              </a:solidFill>
              <a:effectLst/>
              <a:latin typeface="Arial Nova" panose="020B0504020202020204" pitchFamily="34" charset="0"/>
              <a:ea typeface="+mn-ea"/>
              <a:cs typeface="+mn-cs"/>
            </a:rPr>
            <a:t> </a:t>
          </a:r>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E</a:t>
          </a:r>
          <a:r>
            <a:rPr lang="es-ES_tradnl" sz="1100" b="1" u="none" strike="noStrike" baseline="0">
              <a:solidFill>
                <a:schemeClr val="dk1"/>
              </a:solidFill>
              <a:effectLst/>
              <a:latin typeface="Arial Nova" panose="020B0504020202020204" pitchFamily="34" charset="0"/>
              <a:ea typeface="+mn-ea"/>
              <a:cs typeface="+mn-cs"/>
            </a:rPr>
            <a:t> </a:t>
          </a:r>
          <a:r>
            <a:rPr lang="es-ES_tradnl" sz="1100" b="1" u="none" strike="noStrike">
              <a:solidFill>
                <a:schemeClr val="dk1"/>
              </a:solidFill>
              <a:effectLst/>
              <a:latin typeface="Arial Nova" panose="020B0504020202020204" pitchFamily="34" charset="0"/>
              <a:ea typeface="+mn-ea"/>
              <a:cs typeface="+mn-cs"/>
            </a:rPr>
            <a:t>¿Cómo administrador financiero ¿Qué factores quisiera examinar si la tasa de rendimiento de una empresa fuese demasiado baja?  a) en los activos totales, o b) en el patrimonio.</a:t>
          </a:r>
          <a:endParaRPr lang="en-US" sz="1100" b="1"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endParaRPr lang="en-US" sz="1100"/>
        </a:p>
      </xdr:txBody>
    </xdr:sp>
    <xdr:clientData/>
  </xdr:twoCellAnchor>
  <xdr:twoCellAnchor>
    <xdr:from>
      <xdr:col>1</xdr:col>
      <xdr:colOff>57151</xdr:colOff>
      <xdr:row>11</xdr:row>
      <xdr:rowOff>6347</xdr:rowOff>
    </xdr:from>
    <xdr:to>
      <xdr:col>12</xdr:col>
      <xdr:colOff>530370</xdr:colOff>
      <xdr:row>64</xdr:row>
      <xdr:rowOff>64943</xdr:rowOff>
    </xdr:to>
    <xdr:sp macro="" textlink="">
      <xdr:nvSpPr>
        <xdr:cNvPr id="3" name="CuadroTexto 2">
          <a:extLst>
            <a:ext uri="{FF2B5EF4-FFF2-40B4-BE49-F238E27FC236}">
              <a16:creationId xmlns:a16="http://schemas.microsoft.com/office/drawing/2014/main" id="{E3A77AA4-B4E0-4DE8-9BA2-79A65D538A61}"/>
            </a:ext>
          </a:extLst>
        </xdr:cNvPr>
        <xdr:cNvSpPr txBox="1"/>
      </xdr:nvSpPr>
      <xdr:spPr>
        <a:xfrm>
          <a:off x="582931" y="2117087"/>
          <a:ext cx="10554479" cy="9347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u="none" strike="noStrike">
              <a:solidFill>
                <a:schemeClr val="dk1"/>
              </a:solidFill>
              <a:effectLst/>
              <a:latin typeface="Arial Nova" panose="020B0504020202020204" pitchFamily="34" charset="0"/>
              <a:ea typeface="+mn-ea"/>
              <a:cs typeface="+mn-cs"/>
            </a:rPr>
            <a:t>I Parte Teórica.</a:t>
          </a:r>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 </a:t>
          </a:r>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A ¿Cuál es la finalidad de utilizar el análisis vertical y horizontal dentro del análisis financiero de unas empresa?</a:t>
          </a:r>
        </a:p>
        <a:p>
          <a:endParaRPr lang="es-ES_tradnl" sz="1100" u="none" strike="noStrike" baseline="0">
            <a:solidFill>
              <a:schemeClr val="dk1"/>
            </a:solidFill>
            <a:effectLst/>
            <a:latin typeface="Arial Nova" panose="020B0504020202020204" pitchFamily="34" charset="0"/>
            <a:ea typeface="+mn-ea"/>
            <a:cs typeface="+mn-cs"/>
          </a:endParaRPr>
        </a:p>
        <a:p>
          <a:r>
            <a:rPr lang="en-US" sz="1100" u="none" strike="noStrike" baseline="0">
              <a:solidFill>
                <a:schemeClr val="dk1"/>
              </a:solidFill>
              <a:effectLst/>
              <a:latin typeface="Arial Nova" panose="020B0504020202020204" pitchFamily="34" charset="0"/>
              <a:ea typeface="+mn-ea"/>
              <a:cs typeface="+mn-cs"/>
            </a:rPr>
            <a:t>La finalidad   de utilizar el analisis vertical y horizontal dentro de los estados financieros es que por  medio de estos podemos evaluar de una manera precisa y consisa los aspectos de situacion de la líquidez,rentabilidad, endeudamientos ( deudas), que actividad tiene la  compañía y el valor de su patrimonio, además que  nos permite desde el lado de análisis vertical tener una comparación de los índices         de la empresa-compañía comparados con los índices promedios de las industrias, sumado a este podemos decir que de manera horizontal podemos definir y establecer que tendencias notamos u tenemos para  cada uno de los distintos rubros de este balance , de forma horizontal podemos hacer comparaciones contra un año previamente ya determinado, para que su comparación sea de manera procedente y efectiva, debemos fijar un año base , podremos finalmente esclarecer y definir si las ventas tuvieron un aumento o una disminución en relación al año base que se fijó , de la misma maner aplica con los costos, inventarios,los activos fijos, entre otros permitiendonos ver como es su evolución en el tiempo.</a:t>
          </a:r>
        </a:p>
        <a:p>
          <a:r>
            <a:rPr lang="es-ES_tradnl" sz="1100" u="none" strike="noStrike">
              <a:solidFill>
                <a:schemeClr val="dk1"/>
              </a:solidFill>
              <a:effectLst/>
              <a:latin typeface="Arial Nova" panose="020B0504020202020204" pitchFamily="34" charset="0"/>
              <a:ea typeface="+mn-ea"/>
              <a:cs typeface="+mn-cs"/>
            </a:rPr>
            <a:t> </a:t>
          </a:r>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B ¿Por qué se comparan los resultados de las razones financieras con el promedio de la industria ?</a:t>
          </a:r>
        </a:p>
        <a:p>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u="none" strike="noStrike">
              <a:solidFill>
                <a:schemeClr val="dk1"/>
              </a:solidFill>
              <a:effectLst/>
              <a:latin typeface="Arial Nova" panose="020B0504020202020204" pitchFamily="34" charset="0"/>
              <a:ea typeface="+mn-ea"/>
              <a:cs typeface="+mn-cs"/>
            </a:rPr>
            <a:t>Debe mos recalcar</a:t>
          </a:r>
          <a:r>
            <a:rPr lang="es-ES_tradnl" sz="1100" u="none" strike="noStrike" baseline="0">
              <a:solidFill>
                <a:schemeClr val="dk1"/>
              </a:solidFill>
              <a:effectLst/>
              <a:latin typeface="Arial Nova" panose="020B0504020202020204" pitchFamily="34" charset="0"/>
              <a:ea typeface="+mn-ea"/>
              <a:cs typeface="+mn-cs"/>
            </a:rPr>
            <a:t> que siempre existe una dosis de subjetividad en medio de la comparación, comparamos los estados de resultados de  las razones financieras contra el promedio de la indsutria debido a que por medio de esta ccomparación podemsos identificar las fortalezas, debilidades que posee la empresa, además es un plus ya que facilita de manera eficaz la toma de decisiones de una manera informada, ayudando a que se pueda comparar de mejor manera cuál es el desempeño financiero que tiene la empresa en referencia a los estándares de las industrias , buscando que cuenten con activos semejantes y continúen utilizando prácticas de negocio que sean parecidas.</a:t>
          </a:r>
        </a:p>
        <a:p>
          <a:endParaRPr lang="es-ES_tradnl" sz="1100" u="none" strike="noStrike" baseline="0">
            <a:solidFill>
              <a:schemeClr val="dk1"/>
            </a:solidFill>
            <a:effectLst/>
            <a:latin typeface="Arial Nova" panose="020B0504020202020204" pitchFamily="34" charset="0"/>
            <a:ea typeface="+mn-ea"/>
            <a:cs typeface="+mn-cs"/>
          </a:endParaRPr>
        </a:p>
        <a:p>
          <a:r>
            <a:rPr lang="es-ES_tradnl" sz="1100" b="1" u="sng" strike="noStrike" baseline="0">
              <a:solidFill>
                <a:schemeClr val="dk1"/>
              </a:solidFill>
              <a:effectLst/>
              <a:latin typeface="Arial Nova" panose="020B0504020202020204" pitchFamily="34" charset="0"/>
              <a:ea typeface="+mn-ea"/>
              <a:cs typeface="+mn-cs"/>
            </a:rPr>
            <a:t>Nota: </a:t>
          </a:r>
          <a:r>
            <a:rPr lang="es-ES_tradnl" sz="1100" u="none" strike="noStrike" baseline="0">
              <a:solidFill>
                <a:schemeClr val="dk1"/>
              </a:solidFill>
              <a:effectLst/>
              <a:latin typeface="Arial Nova" panose="020B0504020202020204" pitchFamily="34" charset="0"/>
              <a:ea typeface="+mn-ea"/>
              <a:cs typeface="+mn-cs"/>
            </a:rPr>
            <a:t>Recordemos que los inversionistas y accionistas utilizan estas comparaciones en las razones financieras para evaluar el riesgo y la salud financiera de una empresa antes de tomar alguna decisión en temas de inversión o préstamo.</a:t>
          </a:r>
        </a:p>
        <a:p>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C</a:t>
          </a:r>
          <a:r>
            <a:rPr lang="es-ES_tradnl" sz="1100" b="1" u="none" strike="noStrike" baseline="0">
              <a:solidFill>
                <a:schemeClr val="dk1"/>
              </a:solidFill>
              <a:effectLst/>
              <a:latin typeface="Arial Nova" panose="020B0504020202020204" pitchFamily="34" charset="0"/>
              <a:ea typeface="+mn-ea"/>
              <a:cs typeface="+mn-cs"/>
            </a:rPr>
            <a:t> </a:t>
          </a:r>
          <a:r>
            <a:rPr lang="es-ES_tradnl" sz="1100" b="1" u="none" strike="noStrike">
              <a:solidFill>
                <a:schemeClr val="dk1"/>
              </a:solidFill>
              <a:effectLst/>
              <a:latin typeface="Arial Nova" panose="020B0504020202020204" pitchFamily="34" charset="0"/>
              <a:ea typeface="+mn-ea"/>
              <a:cs typeface="+mn-cs"/>
            </a:rPr>
            <a:t>¿Mencione tres limitaciones de los índices financieros? </a:t>
          </a:r>
        </a:p>
        <a:p>
          <a:endParaRPr lang="es-ES_tradnl" sz="1100" b="1" u="none" strike="noStrike">
            <a:solidFill>
              <a:schemeClr val="dk1"/>
            </a:solidFill>
            <a:effectLst/>
            <a:latin typeface="Arial Nova" panose="020B0504020202020204" pitchFamily="34" charset="0"/>
            <a:ea typeface="+mn-ea"/>
            <a:cs typeface="+mn-cs"/>
          </a:endParaRPr>
        </a:p>
        <a:p>
          <a:r>
            <a:rPr lang="es-ES_tradnl" sz="1100" b="0" u="sng" strike="noStrike">
              <a:solidFill>
                <a:schemeClr val="dk1"/>
              </a:solidFill>
              <a:effectLst/>
              <a:latin typeface="Arial Nova" panose="020B0504020202020204" pitchFamily="34" charset="0"/>
              <a:ea typeface="+mn-ea"/>
              <a:cs typeface="+mn-cs"/>
            </a:rPr>
            <a:t>Limitaciones de</a:t>
          </a:r>
          <a:r>
            <a:rPr lang="es-ES_tradnl" sz="1100" b="0" u="sng" strike="noStrike" baseline="0">
              <a:solidFill>
                <a:schemeClr val="dk1"/>
              </a:solidFill>
              <a:effectLst/>
              <a:latin typeface="Arial Nova" panose="020B0504020202020204" pitchFamily="34" charset="0"/>
              <a:ea typeface="+mn-ea"/>
              <a:cs typeface="+mn-cs"/>
            </a:rPr>
            <a:t> los índices financieros son:</a:t>
          </a:r>
        </a:p>
        <a:p>
          <a:endParaRPr lang="es-ES_tradnl" sz="1100" b="0" u="sng" strike="noStrike" baseline="0">
            <a:solidFill>
              <a:schemeClr val="dk1"/>
            </a:solidFill>
            <a:effectLst/>
            <a:latin typeface="Arial Nova" panose="020B0504020202020204" pitchFamily="34" charset="0"/>
            <a:ea typeface="+mn-ea"/>
            <a:cs typeface="+mn-cs"/>
          </a:endParaRPr>
        </a:p>
        <a:p>
          <a:r>
            <a:rPr lang="es-ES_tradnl" sz="1100" b="0" u="none" strike="noStrike">
              <a:solidFill>
                <a:schemeClr val="dk1"/>
              </a:solidFill>
              <a:effectLst/>
              <a:latin typeface="Arial Nova" panose="020B0504020202020204" pitchFamily="34" charset="0"/>
              <a:ea typeface="+mn-ea"/>
              <a:cs typeface="+mn-cs"/>
            </a:rPr>
            <a:t>La distorción</a:t>
          </a:r>
          <a:r>
            <a:rPr lang="es-ES_tradnl" sz="1100" b="0" u="none" strike="noStrike" baseline="0">
              <a:solidFill>
                <a:schemeClr val="dk1"/>
              </a:solidFill>
              <a:effectLst/>
              <a:latin typeface="Arial Nova" panose="020B0504020202020204" pitchFamily="34" charset="0"/>
              <a:ea typeface="+mn-ea"/>
              <a:cs typeface="+mn-cs"/>
            </a:rPr>
            <a:t> que causa la </a:t>
          </a:r>
          <a:r>
            <a:rPr lang="es-ES_tradnl" sz="1100" b="1" i="1" u="sng" strike="noStrike" baseline="0">
              <a:solidFill>
                <a:schemeClr val="dk1"/>
              </a:solidFill>
              <a:effectLst/>
              <a:latin typeface="Arial Nova" panose="020B0504020202020204" pitchFamily="34" charset="0"/>
              <a:ea typeface="+mn-ea"/>
              <a:cs typeface="+mn-cs"/>
            </a:rPr>
            <a:t>Inflación </a:t>
          </a:r>
          <a:r>
            <a:rPr lang="es-ES_tradnl" sz="1100" b="0" i="0" u="none" strike="noStrike" baseline="0">
              <a:solidFill>
                <a:schemeClr val="dk1"/>
              </a:solidFill>
              <a:effectLst/>
              <a:latin typeface="Arial Nova" panose="020B0504020202020204" pitchFamily="34" charset="0"/>
              <a:ea typeface="+mn-ea"/>
              <a:cs typeface="+mn-cs"/>
            </a:rPr>
            <a:t>por la inversiones en  bienes , que son registradas a su costo de adquisición , donde su precio presenta una variación  con el transcurso del tiempo.</a:t>
          </a:r>
        </a:p>
        <a:p>
          <a:endParaRPr lang="es-ES_tradnl" sz="1100" b="0" i="0" u="none" strike="noStrike" baseline="0">
            <a:solidFill>
              <a:schemeClr val="dk1"/>
            </a:solidFill>
            <a:effectLst/>
            <a:latin typeface="Arial Nova" panose="020B0504020202020204" pitchFamily="34" charset="0"/>
            <a:ea typeface="+mn-ea"/>
            <a:cs typeface="+mn-cs"/>
          </a:endParaRPr>
        </a:p>
        <a:p>
          <a:r>
            <a:rPr lang="es-ES_tradnl" sz="1100" b="1" i="1" u="sng" strike="noStrike" baseline="0">
              <a:solidFill>
                <a:schemeClr val="dk1"/>
              </a:solidFill>
              <a:effectLst/>
              <a:latin typeface="Arial Nova" panose="020B0504020202020204" pitchFamily="34" charset="0"/>
              <a:ea typeface="+mn-ea"/>
              <a:cs typeface="+mn-cs"/>
            </a:rPr>
            <a:t>Cosmética contable </a:t>
          </a:r>
          <a:r>
            <a:rPr lang="es-ES_tradnl" sz="1100" b="0" i="0" u="none" strike="noStrike" baseline="0">
              <a:solidFill>
                <a:schemeClr val="dk1"/>
              </a:solidFill>
              <a:effectLst/>
              <a:latin typeface="Arial Nova" panose="020B0504020202020204" pitchFamily="34" charset="0"/>
              <a:ea typeface="+mn-ea"/>
              <a:cs typeface="+mn-cs"/>
            </a:rPr>
            <a:t>esta hace referencia a que las compañías usan gran cantidad de técnicas para mejorar los reportes financieros , los analistas son conscientes de estas técnicas empleadas y es por eso que utilizan una serie de procedimientos ad hoc para su satisfacción.</a:t>
          </a:r>
        </a:p>
        <a:p>
          <a:endParaRPr lang="es-ES_tradnl" sz="1100" b="0" i="0" u="none" strike="noStrike" baseline="0">
            <a:solidFill>
              <a:schemeClr val="dk1"/>
            </a:solidFill>
            <a:effectLst/>
            <a:latin typeface="Arial Nova" panose="020B0504020202020204" pitchFamily="34" charset="0"/>
            <a:ea typeface="+mn-ea"/>
            <a:cs typeface="+mn-cs"/>
          </a:endParaRPr>
        </a:p>
        <a:p>
          <a:r>
            <a:rPr lang="es-ES_tradnl" sz="1100" b="1" i="1" u="sng" strike="noStrike" baseline="0">
              <a:solidFill>
                <a:schemeClr val="dk1"/>
              </a:solidFill>
              <a:effectLst/>
              <a:latin typeface="Arial Nova" panose="020B0504020202020204" pitchFamily="34" charset="0"/>
              <a:ea typeface="+mn-ea"/>
              <a:cs typeface="+mn-cs"/>
            </a:rPr>
            <a:t>Comparación contra promedios</a:t>
          </a:r>
          <a:r>
            <a:rPr lang="es-ES_tradnl" sz="1100" b="0" i="0" u="none" strike="noStrike" baseline="0">
              <a:solidFill>
                <a:schemeClr val="dk1"/>
              </a:solidFill>
              <a:effectLst/>
              <a:latin typeface="Arial Nova" panose="020B0504020202020204" pitchFamily="34" charset="0"/>
              <a:ea typeface="+mn-ea"/>
              <a:cs typeface="+mn-cs"/>
            </a:rPr>
            <a:t> , por medio de estos podemos ver lo mejor y lo peor de la industria, en el caso del directivo financiero es lo mejor para poder comparar sus ratios, es hacerlo contra el mejor de la industria, cabe recalcar que no necesariamente la industria debería buscar como conformar el promedio de la industria debido a que posiblemente existan  buenas razones para apartarse de él.</a:t>
          </a:r>
          <a:endParaRPr lang="es-ES_tradnl" sz="1100" b="0" i="0" u="none" strike="noStrike">
            <a:solidFill>
              <a:schemeClr val="dk1"/>
            </a:solidFill>
            <a:effectLst/>
            <a:latin typeface="Arial Nova" panose="020B0504020202020204" pitchFamily="34" charset="0"/>
            <a:ea typeface="+mn-ea"/>
            <a:cs typeface="+mn-cs"/>
          </a:endParaRPr>
        </a:p>
        <a:p>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D</a:t>
          </a:r>
          <a:r>
            <a:rPr lang="es-ES_tradnl" sz="1100" b="1" u="none" strike="noStrike" baseline="0">
              <a:solidFill>
                <a:schemeClr val="dk1"/>
              </a:solidFill>
              <a:effectLst/>
              <a:latin typeface="Arial Nova" panose="020B0504020202020204" pitchFamily="34" charset="0"/>
              <a:ea typeface="+mn-ea"/>
              <a:cs typeface="+mn-cs"/>
            </a:rPr>
            <a:t> </a:t>
          </a:r>
          <a:r>
            <a:rPr lang="es-ES_tradnl" sz="1100" b="1" u="none" strike="noStrike">
              <a:solidFill>
                <a:schemeClr val="dk1"/>
              </a:solidFill>
              <a:effectLst/>
              <a:latin typeface="Arial Nova" panose="020B0504020202020204" pitchFamily="34" charset="0"/>
              <a:ea typeface="+mn-ea"/>
              <a:cs typeface="+mn-cs"/>
            </a:rPr>
            <a:t>Aserraderos Barbados tiene un activo corriente de ¢ 100 y una deuda de corto plazo de ¢ 50.</a:t>
          </a:r>
        </a:p>
        <a:p>
          <a:endParaRPr lang="es-ES_tradnl" sz="1100" b="1" u="none" strike="noStrike">
            <a:solidFill>
              <a:schemeClr val="dk1"/>
            </a:solidFill>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 ¿Qué ocurriría con su razón de liquidez corriente si tomara un préstamo de corto plazo de ¢ 100 y luego lo destinara a la compra de títulos de corto plazo?</a:t>
          </a:r>
        </a:p>
        <a:p>
          <a:endParaRPr lang="es-ES_tradnl" sz="1100" b="1" u="none" strike="noStrike">
            <a:solidFill>
              <a:schemeClr val="dk1"/>
            </a:solidFill>
            <a:effectLst/>
            <a:latin typeface="Arial Nova" panose="020B0504020202020204" pitchFamily="34" charset="0"/>
            <a:ea typeface="+mn-ea"/>
            <a:cs typeface="+mn-cs"/>
          </a:endParaRPr>
        </a:p>
        <a:p>
          <a:r>
            <a:rPr lang="es-ES_tradnl" sz="1100" b="0" u="none" strike="noStrike">
              <a:solidFill>
                <a:schemeClr val="dk1"/>
              </a:solidFill>
              <a:effectLst/>
              <a:latin typeface="Arial Nova" panose="020B0504020202020204" pitchFamily="34" charset="0"/>
              <a:ea typeface="+mn-ea"/>
              <a:cs typeface="+mn-cs"/>
            </a:rPr>
            <a:t>Con la razón</a:t>
          </a:r>
          <a:r>
            <a:rPr lang="es-ES_tradnl" sz="1100" b="0" u="none" strike="noStrike" baseline="0">
              <a:solidFill>
                <a:schemeClr val="dk1"/>
              </a:solidFill>
              <a:effectLst/>
              <a:latin typeface="Arial Nova" panose="020B0504020202020204" pitchFamily="34" charset="0"/>
              <a:ea typeface="+mn-ea"/>
              <a:cs typeface="+mn-cs"/>
            </a:rPr>
            <a:t> de líquidez corriente ocurre una disminución por consecuencia del aumento que tiene el pasivo  corriente, si decidiera no hacer inversión a corto plazo la razón  continuará disminuyendo.</a:t>
          </a:r>
          <a:endParaRPr lang="es-ES_tradnl" sz="1100" b="0" u="none" strike="noStrike">
            <a:solidFill>
              <a:schemeClr val="dk1"/>
            </a:solidFill>
            <a:effectLst/>
            <a:latin typeface="Arial Nova" panose="020B0504020202020204" pitchFamily="34" charset="0"/>
            <a:ea typeface="+mn-ea"/>
            <a:cs typeface="+mn-cs"/>
          </a:endParaRPr>
        </a:p>
        <a:p>
          <a:endParaRPr lang="es-ES_tradnl" sz="1100" b="1" u="none" strike="noStrike">
            <a:solidFill>
              <a:schemeClr val="dk1"/>
            </a:solidFill>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¿Qué pasaría si luego vendiera ¢ 50 de títulos y los destinara a cancelar deuda de corto plazo?</a:t>
          </a:r>
        </a:p>
        <a:p>
          <a:endParaRPr lang="es-ES_tradnl" sz="1100" b="1" u="none" strike="noStrike">
            <a:solidFill>
              <a:schemeClr val="dk1"/>
            </a:solidFill>
            <a:effectLst/>
            <a:latin typeface="Arial Nova" panose="020B0504020202020204" pitchFamily="34" charset="0"/>
            <a:ea typeface="+mn-ea"/>
            <a:cs typeface="+mn-cs"/>
          </a:endParaRPr>
        </a:p>
        <a:p>
          <a:r>
            <a:rPr lang="en-US" sz="1100" b="0" u="none" strike="noStrike" baseline="0">
              <a:solidFill>
                <a:schemeClr val="dk1"/>
              </a:solidFill>
              <a:effectLst/>
              <a:latin typeface="Arial Nova" panose="020B0504020202020204" pitchFamily="34" charset="0"/>
              <a:ea typeface="+mn-ea"/>
              <a:cs typeface="+mn-cs"/>
            </a:rPr>
            <a:t>Siendo así tiende a aumentar ligeramente por consecuencia de la disminución del activo corriente , si no lo ultizara para  cancelar la deuda que se tiene de corto plazo disminuye más.</a:t>
          </a:r>
        </a:p>
        <a:p>
          <a:r>
            <a:rPr lang="es-ES_tradnl" sz="1100" u="none" strike="noStrike">
              <a:solidFill>
                <a:schemeClr val="dk1"/>
              </a:solidFill>
              <a:effectLst/>
              <a:latin typeface="Arial Nova" panose="020B0504020202020204" pitchFamily="34" charset="0"/>
              <a:ea typeface="+mn-ea"/>
              <a:cs typeface="+mn-cs"/>
            </a:rPr>
            <a:t> </a:t>
          </a:r>
          <a:endParaRPr lang="en-US" sz="110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1" u="none" strike="noStrike">
              <a:solidFill>
                <a:schemeClr val="dk1"/>
              </a:solidFill>
              <a:effectLst/>
              <a:latin typeface="Arial Nova" panose="020B0504020202020204" pitchFamily="34" charset="0"/>
              <a:ea typeface="+mn-ea"/>
              <a:cs typeface="+mn-cs"/>
            </a:rPr>
            <a:t>E</a:t>
          </a:r>
          <a:r>
            <a:rPr lang="es-ES_tradnl" sz="1100" b="1" u="none" strike="noStrike" baseline="0">
              <a:solidFill>
                <a:schemeClr val="dk1"/>
              </a:solidFill>
              <a:effectLst/>
              <a:latin typeface="Arial Nova" panose="020B0504020202020204" pitchFamily="34" charset="0"/>
              <a:ea typeface="+mn-ea"/>
              <a:cs typeface="+mn-cs"/>
            </a:rPr>
            <a:t> </a:t>
          </a:r>
          <a:r>
            <a:rPr lang="es-ES_tradnl" sz="1100" b="1" u="none" strike="noStrike">
              <a:solidFill>
                <a:schemeClr val="dk1"/>
              </a:solidFill>
              <a:effectLst/>
              <a:latin typeface="Arial Nova" panose="020B0504020202020204" pitchFamily="34" charset="0"/>
              <a:ea typeface="+mn-ea"/>
              <a:cs typeface="+mn-cs"/>
            </a:rPr>
            <a:t>¿Cómo administrador financiero ¿Qué factores quisiera examinar si la tasa de rendimiento de una empresa fuese demasiado baja?  a) en los activos totales, o b) en el patrimonio.</a:t>
          </a:r>
          <a:endParaRPr lang="en-US" sz="1100" b="1"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r>
            <a:rPr lang="es-ES_tradnl" sz="1100" b="0" u="none" strike="noStrike">
              <a:solidFill>
                <a:schemeClr val="dk1"/>
              </a:solidFill>
              <a:effectLst/>
              <a:latin typeface="Arial Nova" panose="020B0504020202020204" pitchFamily="34" charset="0"/>
              <a:ea typeface="+mn-ea"/>
              <a:cs typeface="+mn-cs"/>
            </a:rPr>
            <a:t>Se aplicaría las razones financieras</a:t>
          </a:r>
          <a:r>
            <a:rPr lang="es-ES_tradnl" sz="1100" b="0" u="none" strike="noStrike" baseline="0">
              <a:solidFill>
                <a:schemeClr val="dk1"/>
              </a:solidFill>
              <a:effectLst/>
              <a:latin typeface="Arial Nova" panose="020B0504020202020204" pitchFamily="34" charset="0"/>
              <a:ea typeface="+mn-ea"/>
              <a:cs typeface="+mn-cs"/>
            </a:rPr>
            <a:t> respectiva, y compararlas con el promedio de la industria, para poder emitir criterio, para posterior dar recomendaciones. Se debe revisar las cuentas contables para ver dónde puede estar esa afectación para que cada una de las tasas de rendimiento esté dando un resultado que se considere bajo.</a:t>
          </a:r>
          <a:endParaRPr lang="en-US" sz="1200" b="0" u="sng">
            <a:solidFill>
              <a:schemeClr val="dk1"/>
            </a:solidFill>
            <a:effectLst>
              <a:outerShdw blurRad="50800" dist="38100" algn="tr" rotWithShape="0">
                <a:prstClr val="black">
                  <a:alpha val="40000"/>
                </a:prstClr>
              </a:outerShdw>
            </a:effectLst>
            <a:latin typeface="Arial Nova" panose="020B0504020202020204" pitchFamily="34" charset="0"/>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1465384</xdr:colOff>
      <xdr:row>26</xdr:row>
      <xdr:rowOff>158262</xdr:rowOff>
    </xdr:from>
    <xdr:to>
      <xdr:col>4</xdr:col>
      <xdr:colOff>23446</xdr:colOff>
      <xdr:row>37</xdr:row>
      <xdr:rowOff>64477</xdr:rowOff>
    </xdr:to>
    <xdr:cxnSp macro="">
      <xdr:nvCxnSpPr>
        <xdr:cNvPr id="8" name="Conector recto de flecha 7">
          <a:extLst>
            <a:ext uri="{FF2B5EF4-FFF2-40B4-BE49-F238E27FC236}">
              <a16:creationId xmlns:a16="http://schemas.microsoft.com/office/drawing/2014/main" id="{1BC22B42-1102-F48E-7768-4101D1C42479}"/>
            </a:ext>
          </a:extLst>
        </xdr:cNvPr>
        <xdr:cNvCxnSpPr/>
      </xdr:nvCxnSpPr>
      <xdr:spPr>
        <a:xfrm flipH="1">
          <a:off x="2092569" y="4894385"/>
          <a:ext cx="2426677" cy="1893277"/>
        </a:xfrm>
        <a:prstGeom prst="straightConnector1">
          <a:avLst/>
        </a:prstGeom>
        <a:ln w="28575">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1</xdr:col>
      <xdr:colOff>1910861</xdr:colOff>
      <xdr:row>27</xdr:row>
      <xdr:rowOff>23447</xdr:rowOff>
    </xdr:from>
    <xdr:to>
      <xdr:col>6</xdr:col>
      <xdr:colOff>304800</xdr:colOff>
      <xdr:row>32</xdr:row>
      <xdr:rowOff>123093</xdr:rowOff>
    </xdr:to>
    <xdr:cxnSp macro="">
      <xdr:nvCxnSpPr>
        <xdr:cNvPr id="10" name="Conector recto de flecha 9">
          <a:extLst>
            <a:ext uri="{FF2B5EF4-FFF2-40B4-BE49-F238E27FC236}">
              <a16:creationId xmlns:a16="http://schemas.microsoft.com/office/drawing/2014/main" id="{89CCD8DE-7354-6BAD-AF0B-3239061C2D2E}"/>
            </a:ext>
          </a:extLst>
        </xdr:cNvPr>
        <xdr:cNvCxnSpPr/>
      </xdr:nvCxnSpPr>
      <xdr:spPr>
        <a:xfrm flipH="1">
          <a:off x="2538046" y="4958862"/>
          <a:ext cx="3622431" cy="990600"/>
        </a:xfrm>
        <a:prstGeom prst="straightConnector1">
          <a:avLst/>
        </a:prstGeom>
        <a:ln w="28575">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111369</xdr:colOff>
      <xdr:row>40</xdr:row>
      <xdr:rowOff>87923</xdr:rowOff>
    </xdr:from>
    <xdr:to>
      <xdr:col>4</xdr:col>
      <xdr:colOff>58615</xdr:colOff>
      <xdr:row>57</xdr:row>
      <xdr:rowOff>99646</xdr:rowOff>
    </xdr:to>
    <xdr:cxnSp macro="">
      <xdr:nvCxnSpPr>
        <xdr:cNvPr id="12" name="Conector recto de flecha 11">
          <a:extLst>
            <a:ext uri="{FF2B5EF4-FFF2-40B4-BE49-F238E27FC236}">
              <a16:creationId xmlns:a16="http://schemas.microsoft.com/office/drawing/2014/main" id="{610607C1-F347-09D1-50C2-CADF285721FF}"/>
            </a:ext>
          </a:extLst>
        </xdr:cNvPr>
        <xdr:cNvCxnSpPr/>
      </xdr:nvCxnSpPr>
      <xdr:spPr>
        <a:xfrm flipH="1">
          <a:off x="4015154" y="7385538"/>
          <a:ext cx="656492" cy="3341077"/>
        </a:xfrm>
        <a:prstGeom prst="straightConnector1">
          <a:avLst/>
        </a:prstGeom>
        <a:ln w="19050">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615461</xdr:colOff>
      <xdr:row>52</xdr:row>
      <xdr:rowOff>46892</xdr:rowOff>
    </xdr:from>
    <xdr:to>
      <xdr:col>4</xdr:col>
      <xdr:colOff>322384</xdr:colOff>
      <xdr:row>56</xdr:row>
      <xdr:rowOff>140677</xdr:rowOff>
    </xdr:to>
    <xdr:cxnSp macro="">
      <xdr:nvCxnSpPr>
        <xdr:cNvPr id="15" name="Conector recto de flecha 14">
          <a:extLst>
            <a:ext uri="{FF2B5EF4-FFF2-40B4-BE49-F238E27FC236}">
              <a16:creationId xmlns:a16="http://schemas.microsoft.com/office/drawing/2014/main" id="{79417831-DFA1-0569-92C4-7E666BEB8023}"/>
            </a:ext>
          </a:extLst>
        </xdr:cNvPr>
        <xdr:cNvCxnSpPr/>
      </xdr:nvCxnSpPr>
      <xdr:spPr>
        <a:xfrm flipH="1">
          <a:off x="4519246" y="9525000"/>
          <a:ext cx="416169" cy="1066800"/>
        </a:xfrm>
        <a:prstGeom prst="straightConnector1">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427892</xdr:colOff>
      <xdr:row>40</xdr:row>
      <xdr:rowOff>64477</xdr:rowOff>
    </xdr:from>
    <xdr:to>
      <xdr:col>6</xdr:col>
      <xdr:colOff>298938</xdr:colOff>
      <xdr:row>45</xdr:row>
      <xdr:rowOff>140677</xdr:rowOff>
    </xdr:to>
    <xdr:cxnSp macro="">
      <xdr:nvCxnSpPr>
        <xdr:cNvPr id="17" name="Conector recto de flecha 16">
          <a:extLst>
            <a:ext uri="{FF2B5EF4-FFF2-40B4-BE49-F238E27FC236}">
              <a16:creationId xmlns:a16="http://schemas.microsoft.com/office/drawing/2014/main" id="{C199648C-711E-8F4B-9122-5B4727DF764B}"/>
            </a:ext>
          </a:extLst>
        </xdr:cNvPr>
        <xdr:cNvCxnSpPr/>
      </xdr:nvCxnSpPr>
      <xdr:spPr>
        <a:xfrm flipH="1">
          <a:off x="4331677" y="7362092"/>
          <a:ext cx="1940169" cy="967154"/>
        </a:xfrm>
        <a:prstGeom prst="straightConnector1">
          <a:avLst/>
        </a:prstGeom>
        <a:ln w="19050">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xdr:col>
      <xdr:colOff>527537</xdr:colOff>
      <xdr:row>51</xdr:row>
      <xdr:rowOff>111369</xdr:rowOff>
    </xdr:from>
    <xdr:to>
      <xdr:col>6</xdr:col>
      <xdr:colOff>240322</xdr:colOff>
      <xdr:row>55</xdr:row>
      <xdr:rowOff>105508</xdr:rowOff>
    </xdr:to>
    <xdr:cxnSp macro="">
      <xdr:nvCxnSpPr>
        <xdr:cNvPr id="19" name="Conector recto de flecha 18">
          <a:extLst>
            <a:ext uri="{FF2B5EF4-FFF2-40B4-BE49-F238E27FC236}">
              <a16:creationId xmlns:a16="http://schemas.microsoft.com/office/drawing/2014/main" id="{297E7157-4B9E-DABB-AD02-69EAFD5B1414}"/>
            </a:ext>
          </a:extLst>
        </xdr:cNvPr>
        <xdr:cNvCxnSpPr/>
      </xdr:nvCxnSpPr>
      <xdr:spPr>
        <a:xfrm flipH="1">
          <a:off x="4431322" y="9384323"/>
          <a:ext cx="1781908" cy="990600"/>
        </a:xfrm>
        <a:prstGeom prst="straightConnector1">
          <a:avLst/>
        </a:prstGeom>
        <a:ln w="19050">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4</xdr:col>
      <xdr:colOff>114301</xdr:colOff>
      <xdr:row>29</xdr:row>
      <xdr:rowOff>44737</xdr:rowOff>
    </xdr:from>
    <xdr:to>
      <xdr:col>6</xdr:col>
      <xdr:colOff>258087</xdr:colOff>
      <xdr:row>32</xdr:row>
      <xdr:rowOff>130629</xdr:rowOff>
    </xdr:to>
    <xdr:cxnSp macro="">
      <xdr:nvCxnSpPr>
        <xdr:cNvPr id="3" name="Conector recto 2">
          <a:extLst>
            <a:ext uri="{FF2B5EF4-FFF2-40B4-BE49-F238E27FC236}">
              <a16:creationId xmlns:a16="http://schemas.microsoft.com/office/drawing/2014/main" id="{404A7B58-E62B-4525-A215-D6F6CFB9B8D6}"/>
            </a:ext>
          </a:extLst>
        </xdr:cNvPr>
        <xdr:cNvCxnSpPr/>
      </xdr:nvCxnSpPr>
      <xdr:spPr>
        <a:xfrm flipH="1">
          <a:off x="4602481" y="5790217"/>
          <a:ext cx="1446806" cy="619292"/>
        </a:xfrm>
        <a:prstGeom prst="line">
          <a:avLst/>
        </a:prstGeom>
        <a:gradFill>
          <a:gsLst>
            <a:gs pos="1000">
              <a:srgbClr val="489CD1">
                <a:alpha val="5000"/>
              </a:srgbClr>
            </a:gs>
            <a:gs pos="25000">
              <a:srgbClr val="A9D7B2">
                <a:alpha val="5000"/>
              </a:srgbClr>
            </a:gs>
            <a:gs pos="50000">
              <a:srgbClr val="B92B65">
                <a:alpha val="5000"/>
              </a:srgbClr>
            </a:gs>
            <a:gs pos="76000">
              <a:srgbClr val="9B2486">
                <a:alpha val="5000"/>
              </a:srgbClr>
            </a:gs>
            <a:gs pos="100000">
              <a:srgbClr val="244F85">
                <a:alpha val="5000"/>
              </a:srgbClr>
            </a:gs>
          </a:gsLst>
        </a:gradFill>
        <a:ln w="36000">
          <a:gradFill>
            <a:gsLst>
              <a:gs pos="1000">
                <a:srgbClr val="489CD1"/>
              </a:gs>
              <a:gs pos="25000">
                <a:srgbClr val="A9D7B2"/>
              </a:gs>
              <a:gs pos="50000">
                <a:srgbClr val="B92B65"/>
              </a:gs>
              <a:gs pos="76000">
                <a:srgbClr val="9B2486"/>
              </a:gs>
              <a:gs pos="100000">
                <a:srgbClr val="244F85"/>
              </a:gs>
            </a:gsLst>
          </a:gra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78807</xdr:colOff>
      <xdr:row>34</xdr:row>
      <xdr:rowOff>130628</xdr:rowOff>
    </xdr:from>
    <xdr:to>
      <xdr:col>6</xdr:col>
      <xdr:colOff>92528</xdr:colOff>
      <xdr:row>36</xdr:row>
      <xdr:rowOff>92534</xdr:rowOff>
    </xdr:to>
    <xdr:cxnSp macro="">
      <xdr:nvCxnSpPr>
        <xdr:cNvPr id="5" name="Conector recto 4">
          <a:extLst>
            <a:ext uri="{FF2B5EF4-FFF2-40B4-BE49-F238E27FC236}">
              <a16:creationId xmlns:a16="http://schemas.microsoft.com/office/drawing/2014/main" id="{5E3E153A-13C4-4F03-BA18-2B33407254E1}"/>
            </a:ext>
          </a:extLst>
        </xdr:cNvPr>
        <xdr:cNvCxnSpPr/>
      </xdr:nvCxnSpPr>
      <xdr:spPr>
        <a:xfrm flipH="1">
          <a:off x="4566987" y="6760028"/>
          <a:ext cx="1316741" cy="312426"/>
        </a:xfrm>
        <a:prstGeom prst="line">
          <a:avLst/>
        </a:prstGeom>
        <a:solidFill>
          <a:srgbClr val="AB008B">
            <a:alpha val="5000"/>
          </a:srgbClr>
        </a:solidFill>
        <a:ln w="36000">
          <a:solidFill>
            <a:srgbClr val="AB008B"/>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598714</xdr:colOff>
      <xdr:row>43</xdr:row>
      <xdr:rowOff>80841</xdr:rowOff>
    </xdr:from>
    <xdr:to>
      <xdr:col>6</xdr:col>
      <xdr:colOff>61508</xdr:colOff>
      <xdr:row>46</xdr:row>
      <xdr:rowOff>16329</xdr:rowOff>
    </xdr:to>
    <xdr:cxnSp macro="">
      <xdr:nvCxnSpPr>
        <xdr:cNvPr id="7" name="Conector recto 6">
          <a:extLst>
            <a:ext uri="{FF2B5EF4-FFF2-40B4-BE49-F238E27FC236}">
              <a16:creationId xmlns:a16="http://schemas.microsoft.com/office/drawing/2014/main" id="{BACD2EDA-7B1B-4C45-BA06-63805AEAD5AD}"/>
            </a:ext>
          </a:extLst>
        </xdr:cNvPr>
        <xdr:cNvCxnSpPr/>
      </xdr:nvCxnSpPr>
      <xdr:spPr>
        <a:xfrm flipH="1">
          <a:off x="4378234" y="8500941"/>
          <a:ext cx="1474474" cy="461268"/>
        </a:xfrm>
        <a:prstGeom prst="line">
          <a:avLst/>
        </a:prstGeom>
        <a:solidFill>
          <a:srgbClr val="008C3A">
            <a:alpha val="5000"/>
          </a:srgbClr>
        </a:solidFill>
        <a:ln w="36000">
          <a:solidFill>
            <a:srgbClr val="008C3A"/>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1465384</xdr:colOff>
      <xdr:row>26</xdr:row>
      <xdr:rowOff>158262</xdr:rowOff>
    </xdr:from>
    <xdr:to>
      <xdr:col>4</xdr:col>
      <xdr:colOff>23446</xdr:colOff>
      <xdr:row>37</xdr:row>
      <xdr:rowOff>64477</xdr:rowOff>
    </xdr:to>
    <xdr:cxnSp macro="">
      <xdr:nvCxnSpPr>
        <xdr:cNvPr id="2" name="Conector recto de flecha 1">
          <a:extLst>
            <a:ext uri="{FF2B5EF4-FFF2-40B4-BE49-F238E27FC236}">
              <a16:creationId xmlns:a16="http://schemas.microsoft.com/office/drawing/2014/main" id="{2716EC2D-2991-45BB-86BA-8A477E29181D}"/>
            </a:ext>
          </a:extLst>
        </xdr:cNvPr>
        <xdr:cNvCxnSpPr/>
      </xdr:nvCxnSpPr>
      <xdr:spPr>
        <a:xfrm flipH="1">
          <a:off x="2090224" y="4882662"/>
          <a:ext cx="2543322" cy="1895035"/>
        </a:xfrm>
        <a:prstGeom prst="straightConnector1">
          <a:avLst/>
        </a:prstGeom>
        <a:ln w="28575">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1</xdr:col>
      <xdr:colOff>1910861</xdr:colOff>
      <xdr:row>27</xdr:row>
      <xdr:rowOff>23447</xdr:rowOff>
    </xdr:from>
    <xdr:to>
      <xdr:col>6</xdr:col>
      <xdr:colOff>304800</xdr:colOff>
      <xdr:row>32</xdr:row>
      <xdr:rowOff>123093</xdr:rowOff>
    </xdr:to>
    <xdr:cxnSp macro="">
      <xdr:nvCxnSpPr>
        <xdr:cNvPr id="3" name="Conector recto de flecha 2">
          <a:extLst>
            <a:ext uri="{FF2B5EF4-FFF2-40B4-BE49-F238E27FC236}">
              <a16:creationId xmlns:a16="http://schemas.microsoft.com/office/drawing/2014/main" id="{995EAA1C-0621-478A-863E-4D4A01A6FF17}"/>
            </a:ext>
          </a:extLst>
        </xdr:cNvPr>
        <xdr:cNvCxnSpPr/>
      </xdr:nvCxnSpPr>
      <xdr:spPr>
        <a:xfrm flipH="1">
          <a:off x="2535701" y="4945967"/>
          <a:ext cx="3735559" cy="991186"/>
        </a:xfrm>
        <a:prstGeom prst="straightConnector1">
          <a:avLst/>
        </a:prstGeom>
        <a:ln w="28575">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111369</xdr:colOff>
      <xdr:row>40</xdr:row>
      <xdr:rowOff>87923</xdr:rowOff>
    </xdr:from>
    <xdr:to>
      <xdr:col>4</xdr:col>
      <xdr:colOff>58615</xdr:colOff>
      <xdr:row>57</xdr:row>
      <xdr:rowOff>99646</xdr:rowOff>
    </xdr:to>
    <xdr:cxnSp macro="">
      <xdr:nvCxnSpPr>
        <xdr:cNvPr id="4" name="Conector recto de flecha 3">
          <a:extLst>
            <a:ext uri="{FF2B5EF4-FFF2-40B4-BE49-F238E27FC236}">
              <a16:creationId xmlns:a16="http://schemas.microsoft.com/office/drawing/2014/main" id="{F88950C3-1A1B-4E22-8E85-78ED9ECC49B1}"/>
            </a:ext>
          </a:extLst>
        </xdr:cNvPr>
        <xdr:cNvCxnSpPr/>
      </xdr:nvCxnSpPr>
      <xdr:spPr>
        <a:xfrm flipH="1">
          <a:off x="4012809" y="7372643"/>
          <a:ext cx="655906" cy="3341663"/>
        </a:xfrm>
        <a:prstGeom prst="straightConnector1">
          <a:avLst/>
        </a:prstGeom>
        <a:ln w="19050">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615461</xdr:colOff>
      <xdr:row>52</xdr:row>
      <xdr:rowOff>46892</xdr:rowOff>
    </xdr:from>
    <xdr:to>
      <xdr:col>4</xdr:col>
      <xdr:colOff>322384</xdr:colOff>
      <xdr:row>56</xdr:row>
      <xdr:rowOff>140677</xdr:rowOff>
    </xdr:to>
    <xdr:cxnSp macro="">
      <xdr:nvCxnSpPr>
        <xdr:cNvPr id="5" name="Conector recto de flecha 4">
          <a:extLst>
            <a:ext uri="{FF2B5EF4-FFF2-40B4-BE49-F238E27FC236}">
              <a16:creationId xmlns:a16="http://schemas.microsoft.com/office/drawing/2014/main" id="{7AFE1636-2AF4-46C5-8588-49974C5A303E}"/>
            </a:ext>
          </a:extLst>
        </xdr:cNvPr>
        <xdr:cNvCxnSpPr/>
      </xdr:nvCxnSpPr>
      <xdr:spPr>
        <a:xfrm flipH="1">
          <a:off x="4516901" y="9510932"/>
          <a:ext cx="415583" cy="1069145"/>
        </a:xfrm>
        <a:prstGeom prst="straightConnector1">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392723</xdr:colOff>
      <xdr:row>39</xdr:row>
      <xdr:rowOff>193431</xdr:rowOff>
    </xdr:from>
    <xdr:to>
      <xdr:col>6</xdr:col>
      <xdr:colOff>263769</xdr:colOff>
      <xdr:row>45</xdr:row>
      <xdr:rowOff>70339</xdr:rowOff>
    </xdr:to>
    <xdr:cxnSp macro="">
      <xdr:nvCxnSpPr>
        <xdr:cNvPr id="6" name="Conector recto de flecha 5">
          <a:extLst>
            <a:ext uri="{FF2B5EF4-FFF2-40B4-BE49-F238E27FC236}">
              <a16:creationId xmlns:a16="http://schemas.microsoft.com/office/drawing/2014/main" id="{95AD4C33-1DF5-45CE-856C-0EA755A4153C}"/>
            </a:ext>
          </a:extLst>
        </xdr:cNvPr>
        <xdr:cNvCxnSpPr/>
      </xdr:nvCxnSpPr>
      <xdr:spPr>
        <a:xfrm flipH="1">
          <a:off x="4294163" y="7280031"/>
          <a:ext cx="1936066" cy="966568"/>
        </a:xfrm>
        <a:prstGeom prst="straightConnector1">
          <a:avLst/>
        </a:prstGeom>
        <a:ln w="19050">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3</xdr:col>
      <xdr:colOff>527537</xdr:colOff>
      <xdr:row>51</xdr:row>
      <xdr:rowOff>111369</xdr:rowOff>
    </xdr:from>
    <xdr:to>
      <xdr:col>6</xdr:col>
      <xdr:colOff>240322</xdr:colOff>
      <xdr:row>55</xdr:row>
      <xdr:rowOff>105508</xdr:rowOff>
    </xdr:to>
    <xdr:cxnSp macro="">
      <xdr:nvCxnSpPr>
        <xdr:cNvPr id="7" name="Conector recto de flecha 6">
          <a:extLst>
            <a:ext uri="{FF2B5EF4-FFF2-40B4-BE49-F238E27FC236}">
              <a16:creationId xmlns:a16="http://schemas.microsoft.com/office/drawing/2014/main" id="{10B350C3-6FF5-4ABC-9202-A0C12E1DE49A}"/>
            </a:ext>
          </a:extLst>
        </xdr:cNvPr>
        <xdr:cNvCxnSpPr/>
      </xdr:nvCxnSpPr>
      <xdr:spPr>
        <a:xfrm flipH="1">
          <a:off x="4428977" y="9369669"/>
          <a:ext cx="1777805" cy="992359"/>
        </a:xfrm>
        <a:prstGeom prst="straightConnector1">
          <a:avLst/>
        </a:prstGeom>
        <a:ln w="19050">
          <a:tailEnd type="triangle"/>
        </a:ln>
      </xdr:spPr>
      <xdr:style>
        <a:lnRef idx="2">
          <a:schemeClr val="accent4"/>
        </a:lnRef>
        <a:fillRef idx="0">
          <a:schemeClr val="accent4"/>
        </a:fillRef>
        <a:effectRef idx="1">
          <a:schemeClr val="accent4"/>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48B-E5C8-4AA0-A4B6-FF206196A2C9}">
  <sheetPr>
    <pageSetUpPr fitToPage="1"/>
  </sheetPr>
  <dimension ref="B2:M11"/>
  <sheetViews>
    <sheetView workbookViewId="0">
      <selection activeCell="B10" sqref="B10"/>
    </sheetView>
  </sheetViews>
  <sheetFormatPr baseColWidth="10" defaultColWidth="11.44140625" defaultRowHeight="13.8" x14ac:dyDescent="0.25"/>
  <cols>
    <col min="1" max="1" width="7.6640625" style="2" customWidth="1"/>
    <col min="2" max="2" width="11.44140625" style="2"/>
    <col min="3" max="3" width="33.33203125" style="2" customWidth="1"/>
    <col min="4" max="10" width="11.44140625" style="2"/>
    <col min="11" max="11" width="10.6640625" style="2" bestFit="1" customWidth="1"/>
    <col min="12" max="16384" width="11.44140625" style="2"/>
  </cols>
  <sheetData>
    <row r="2" spans="2:13" ht="15.6" x14ac:dyDescent="0.3">
      <c r="B2" s="394" t="s">
        <v>217</v>
      </c>
      <c r="C2" s="394"/>
      <c r="D2" s="394"/>
      <c r="E2" s="394"/>
      <c r="F2" s="394"/>
      <c r="G2" s="394"/>
      <c r="H2" s="394"/>
      <c r="I2" s="394"/>
      <c r="J2" s="394"/>
      <c r="K2" s="394"/>
      <c r="L2" s="394"/>
      <c r="M2" s="394"/>
    </row>
    <row r="3" spans="2:13" ht="15.6" x14ac:dyDescent="0.3">
      <c r="B3" s="394" t="s">
        <v>212</v>
      </c>
      <c r="C3" s="394"/>
      <c r="D3" s="394"/>
      <c r="E3" s="394"/>
      <c r="F3" s="394"/>
      <c r="G3" s="394"/>
      <c r="H3" s="394"/>
      <c r="I3" s="394"/>
      <c r="J3" s="394"/>
      <c r="K3" s="394"/>
      <c r="L3" s="394"/>
      <c r="M3" s="394"/>
    </row>
    <row r="4" spans="2:13" ht="15.6" x14ac:dyDescent="0.3">
      <c r="B4" s="394" t="s">
        <v>213</v>
      </c>
      <c r="C4" s="394"/>
      <c r="D4" s="394"/>
      <c r="E4" s="394"/>
      <c r="F4" s="394"/>
      <c r="G4" s="394"/>
      <c r="H4" s="394"/>
      <c r="I4" s="394"/>
      <c r="J4" s="394"/>
      <c r="K4" s="394"/>
      <c r="L4" s="394"/>
      <c r="M4" s="394"/>
    </row>
    <row r="5" spans="2:13" ht="15.6" x14ac:dyDescent="0.3">
      <c r="B5" s="394" t="s">
        <v>315</v>
      </c>
      <c r="C5" s="394"/>
      <c r="D5" s="394"/>
      <c r="E5" s="394"/>
      <c r="F5" s="394"/>
      <c r="G5" s="394"/>
      <c r="H5" s="394"/>
      <c r="I5" s="394"/>
      <c r="J5" s="394"/>
      <c r="K5" s="394"/>
      <c r="L5" s="394"/>
      <c r="M5" s="394"/>
    </row>
    <row r="6" spans="2:13" ht="15.6" x14ac:dyDescent="0.3">
      <c r="B6" s="394"/>
      <c r="C6" s="394"/>
      <c r="D6" s="394"/>
      <c r="E6" s="394"/>
      <c r="F6" s="394"/>
      <c r="G6" s="394"/>
      <c r="H6" s="394"/>
      <c r="I6" s="394"/>
      <c r="J6" s="394"/>
      <c r="K6" s="394"/>
      <c r="L6" s="394"/>
      <c r="M6" s="394"/>
    </row>
    <row r="8" spans="2:13" ht="15.6" x14ac:dyDescent="0.3">
      <c r="B8" s="237" t="s">
        <v>218</v>
      </c>
      <c r="C8" s="238"/>
      <c r="D8" s="239" t="s">
        <v>214</v>
      </c>
      <c r="E8" s="239" t="s">
        <v>215</v>
      </c>
      <c r="F8" s="238"/>
      <c r="G8" s="238"/>
      <c r="H8" s="237"/>
      <c r="I8" s="238"/>
      <c r="J8" s="238"/>
      <c r="K8" s="238"/>
      <c r="L8" s="238"/>
      <c r="M8" s="238"/>
    </row>
    <row r="9" spans="2:13" ht="15.6" x14ac:dyDescent="0.3">
      <c r="B9" s="394" t="s">
        <v>315</v>
      </c>
      <c r="C9" s="394"/>
      <c r="D9" s="394"/>
      <c r="E9" s="394"/>
      <c r="F9" s="394"/>
      <c r="G9" s="394"/>
      <c r="H9" s="394"/>
      <c r="I9" s="394"/>
      <c r="J9" s="394"/>
      <c r="K9" s="394"/>
      <c r="L9" s="394"/>
      <c r="M9" s="394"/>
    </row>
    <row r="10" spans="2:13" ht="15.6" x14ac:dyDescent="0.3">
      <c r="B10" s="241"/>
      <c r="C10" s="242"/>
      <c r="D10" s="240"/>
      <c r="E10" s="243" t="s">
        <v>216</v>
      </c>
      <c r="F10" s="243"/>
      <c r="G10" s="240"/>
      <c r="H10" s="240"/>
      <c r="I10" s="240"/>
      <c r="J10" s="240"/>
      <c r="K10" s="240"/>
      <c r="L10" s="240"/>
      <c r="M10" s="240"/>
    </row>
    <row r="11" spans="2:13" x14ac:dyDescent="0.25">
      <c r="B11" s="236"/>
    </row>
  </sheetData>
  <mergeCells count="6">
    <mergeCell ref="B9:M9"/>
    <mergeCell ref="B2:M2"/>
    <mergeCell ref="B3:M3"/>
    <mergeCell ref="B4:M4"/>
    <mergeCell ref="B5:M5"/>
    <mergeCell ref="B6:M6"/>
  </mergeCells>
  <pageMargins left="0.7" right="0.7" top="0.75" bottom="0.75" header="0.3" footer="0.3"/>
  <pageSetup scale="7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99"/>
    <pageSetUpPr fitToPage="1"/>
  </sheetPr>
  <dimension ref="B1:V63"/>
  <sheetViews>
    <sheetView zoomScaleNormal="100" workbookViewId="0">
      <selection activeCell="C18" sqref="C18"/>
    </sheetView>
  </sheetViews>
  <sheetFormatPr baseColWidth="10" defaultColWidth="9.109375" defaultRowHeight="13.8" x14ac:dyDescent="0.25"/>
  <cols>
    <col min="1" max="1" width="9.109375" style="2"/>
    <col min="2" max="2" width="36.109375" style="2" bestFit="1" customWidth="1"/>
    <col min="3" max="3" width="9.88671875" style="2" bestFit="1" customWidth="1"/>
    <col min="4" max="4" width="10.33203125" style="2" bestFit="1" customWidth="1"/>
    <col min="5" max="5" width="9.88671875" style="2" bestFit="1" customWidth="1"/>
    <col min="6" max="6" width="9.109375" style="2" bestFit="1" customWidth="1"/>
    <col min="7" max="8" width="10.33203125" style="2" bestFit="1" customWidth="1"/>
    <col min="9" max="9" width="9.88671875" style="2" bestFit="1" customWidth="1"/>
    <col min="10" max="10" width="9.109375" style="2" bestFit="1" customWidth="1"/>
    <col min="11" max="11" width="10.33203125" style="2" bestFit="1" customWidth="1"/>
    <col min="12" max="13" width="9.109375" style="2"/>
    <col min="14" max="14" width="11.33203125" style="2" customWidth="1"/>
    <col min="15" max="15" width="15.109375" style="2" customWidth="1"/>
    <col min="16" max="16" width="12.88671875" style="2" customWidth="1"/>
    <col min="17" max="17" width="12" style="2" customWidth="1"/>
    <col min="18" max="18" width="13.33203125" style="2" customWidth="1"/>
    <col min="19" max="19" width="13" style="2" customWidth="1"/>
    <col min="20" max="20" width="11.33203125" style="2" customWidth="1"/>
    <col min="21" max="21" width="13.109375" style="2" customWidth="1"/>
    <col min="22" max="16384" width="9.109375" style="2"/>
  </cols>
  <sheetData>
    <row r="1" spans="2:18" ht="17.399999999999999" x14ac:dyDescent="0.3">
      <c r="B1" s="48" t="s">
        <v>0</v>
      </c>
      <c r="J1" s="48" t="s">
        <v>52</v>
      </c>
    </row>
    <row r="2" spans="2:18" ht="30" customHeight="1" x14ac:dyDescent="0.25">
      <c r="B2" s="522" t="s">
        <v>316</v>
      </c>
      <c r="C2" s="522"/>
      <c r="D2" s="522"/>
      <c r="E2" s="522"/>
      <c r="F2" s="522"/>
      <c r="G2" s="522"/>
      <c r="H2" s="522"/>
      <c r="J2" s="522" t="s">
        <v>316</v>
      </c>
      <c r="K2" s="522"/>
      <c r="L2" s="522"/>
      <c r="M2" s="522"/>
      <c r="N2" s="522"/>
      <c r="O2" s="522"/>
      <c r="P2" s="522"/>
    </row>
    <row r="3" spans="2:18" x14ac:dyDescent="0.25">
      <c r="B3" s="381" t="s">
        <v>9</v>
      </c>
      <c r="C3" s="381"/>
      <c r="D3" s="381"/>
      <c r="E3" s="381"/>
      <c r="F3" s="381"/>
      <c r="G3" s="381"/>
      <c r="H3" s="381"/>
      <c r="J3" s="381" t="s">
        <v>9</v>
      </c>
      <c r="K3" s="381"/>
      <c r="L3" s="381"/>
      <c r="M3" s="381"/>
      <c r="N3" s="381"/>
      <c r="O3" s="381"/>
      <c r="P3" s="381"/>
    </row>
    <row r="4" spans="2:18" x14ac:dyDescent="0.25">
      <c r="B4" s="381" t="s">
        <v>7</v>
      </c>
      <c r="C4" s="381"/>
      <c r="D4" s="381"/>
      <c r="E4" s="381"/>
      <c r="F4" s="381"/>
      <c r="G4" s="381"/>
      <c r="H4" s="381"/>
      <c r="J4" s="381" t="s">
        <v>7</v>
      </c>
      <c r="K4" s="381"/>
      <c r="L4" s="381"/>
      <c r="M4" s="381"/>
      <c r="N4" s="381"/>
      <c r="O4" s="381"/>
      <c r="P4" s="381"/>
    </row>
    <row r="5" spans="2:18" x14ac:dyDescent="0.25">
      <c r="B5" s="3"/>
      <c r="C5" s="3"/>
      <c r="D5" s="3"/>
      <c r="E5" s="3"/>
      <c r="F5" s="3"/>
      <c r="G5" s="3"/>
      <c r="H5" s="3"/>
      <c r="P5" s="53" t="s">
        <v>20</v>
      </c>
      <c r="Q5" s="53" t="s">
        <v>20</v>
      </c>
      <c r="R5" s="1"/>
    </row>
    <row r="6" spans="2:18" x14ac:dyDescent="0.25">
      <c r="B6" s="89"/>
      <c r="C6" s="388" t="s">
        <v>1</v>
      </c>
      <c r="D6" s="383"/>
      <c r="E6" s="388" t="s">
        <v>2</v>
      </c>
      <c r="F6" s="383"/>
      <c r="G6" s="53" t="s">
        <v>20</v>
      </c>
      <c r="J6" s="389"/>
      <c r="K6" s="390"/>
      <c r="L6" s="390"/>
      <c r="M6" s="390"/>
      <c r="N6" s="137" t="s">
        <v>53</v>
      </c>
      <c r="O6" s="138" t="s">
        <v>57</v>
      </c>
      <c r="P6" s="135" t="s">
        <v>54</v>
      </c>
      <c r="Q6" s="53" t="s">
        <v>55</v>
      </c>
      <c r="R6" s="53" t="s">
        <v>56</v>
      </c>
    </row>
    <row r="7" spans="2:18" x14ac:dyDescent="0.25">
      <c r="B7" s="125" t="s">
        <v>4</v>
      </c>
      <c r="C7" s="523">
        <v>1550</v>
      </c>
      <c r="D7" s="5">
        <v>1</v>
      </c>
      <c r="E7" s="523">
        <v>2000</v>
      </c>
      <c r="F7" s="5">
        <v>1</v>
      </c>
      <c r="G7" s="6"/>
      <c r="H7" s="6"/>
      <c r="I7" s="7"/>
      <c r="J7" s="393" t="s">
        <v>4</v>
      </c>
      <c r="K7" s="377"/>
      <c r="L7" s="377"/>
      <c r="M7" s="377"/>
      <c r="N7" s="4">
        <v>1550</v>
      </c>
      <c r="O7" s="139">
        <v>2000</v>
      </c>
      <c r="P7" s="124">
        <f>+O7-N7</f>
        <v>450</v>
      </c>
      <c r="Q7" s="136">
        <f>+P7/N7</f>
        <v>0.29032258064516131</v>
      </c>
      <c r="R7" s="123">
        <f>+(O7-N7)/N7</f>
        <v>0.29032258064516131</v>
      </c>
    </row>
    <row r="8" spans="2:18" x14ac:dyDescent="0.25">
      <c r="B8" s="126" t="s">
        <v>6</v>
      </c>
      <c r="C8" s="8">
        <v>1030</v>
      </c>
      <c r="D8" s="9">
        <f t="shared" ref="D8:D18" si="0">+C8/$C$7</f>
        <v>0.6645161290322581</v>
      </c>
      <c r="E8" s="8">
        <v>1200</v>
      </c>
      <c r="F8" s="524">
        <f>+E8/$E$7</f>
        <v>0.6</v>
      </c>
      <c r="G8" s="51">
        <f>+F8-D8</f>
        <v>-6.4516129032258118E-2</v>
      </c>
      <c r="H8" s="11"/>
      <c r="I8" s="10"/>
      <c r="J8" s="384" t="s">
        <v>6</v>
      </c>
      <c r="K8" s="366"/>
      <c r="L8" s="366"/>
      <c r="M8" s="366"/>
      <c r="N8" s="8">
        <v>1030</v>
      </c>
      <c r="O8" s="140">
        <v>1200</v>
      </c>
      <c r="P8" s="121">
        <f t="shared" ref="P8:P18" si="1">+O8-N8</f>
        <v>170</v>
      </c>
      <c r="Q8" s="11">
        <f t="shared" ref="Q8:Q18" si="2">+P8/N8</f>
        <v>0.1650485436893204</v>
      </c>
      <c r="R8" s="122">
        <f t="shared" ref="R8:R18" si="3">+(O8-N8)/N8</f>
        <v>0.1650485436893204</v>
      </c>
    </row>
    <row r="9" spans="2:18" x14ac:dyDescent="0.25">
      <c r="B9" s="128" t="s">
        <v>10</v>
      </c>
      <c r="C9" s="43">
        <f>+C7-C8</f>
        <v>520</v>
      </c>
      <c r="D9" s="9">
        <f t="shared" si="0"/>
        <v>0.33548387096774196</v>
      </c>
      <c r="E9" s="43">
        <f>+E7-E8</f>
        <v>800</v>
      </c>
      <c r="F9" s="524">
        <f t="shared" ref="F9:F18" si="4">+E9/$E$7</f>
        <v>0.4</v>
      </c>
      <c r="G9" s="52">
        <f>+F9-D9</f>
        <v>6.4516129032258063E-2</v>
      </c>
      <c r="H9" s="11"/>
      <c r="I9" s="13"/>
      <c r="J9" s="391" t="s">
        <v>10</v>
      </c>
      <c r="K9" s="392"/>
      <c r="L9" s="392"/>
      <c r="M9" s="392"/>
      <c r="N9" s="43">
        <f>+N7-N8</f>
        <v>520</v>
      </c>
      <c r="O9" s="141">
        <f>+O7-O8</f>
        <v>800</v>
      </c>
      <c r="P9" s="124">
        <f t="shared" si="1"/>
        <v>280</v>
      </c>
      <c r="Q9" s="136">
        <f t="shared" si="2"/>
        <v>0.53846153846153844</v>
      </c>
      <c r="R9" s="123">
        <f t="shared" si="3"/>
        <v>0.53846153846153844</v>
      </c>
    </row>
    <row r="10" spans="2:18" x14ac:dyDescent="0.25">
      <c r="B10" s="525" t="s">
        <v>11</v>
      </c>
      <c r="C10" s="526">
        <v>150</v>
      </c>
      <c r="D10" s="9">
        <f t="shared" si="0"/>
        <v>9.6774193548387094E-2</v>
      </c>
      <c r="E10" s="8">
        <v>165</v>
      </c>
      <c r="F10" s="524">
        <f t="shared" si="4"/>
        <v>8.2500000000000004E-2</v>
      </c>
      <c r="G10" s="51">
        <f>+F10-D10</f>
        <v>-1.427419354838709E-2</v>
      </c>
      <c r="H10" s="11"/>
      <c r="I10" s="10"/>
      <c r="J10" s="384" t="s">
        <v>11</v>
      </c>
      <c r="K10" s="366"/>
      <c r="L10" s="366"/>
      <c r="M10" s="366"/>
      <c r="N10" s="8">
        <v>150</v>
      </c>
      <c r="O10" s="140">
        <v>165</v>
      </c>
      <c r="P10" s="121">
        <f t="shared" si="1"/>
        <v>15</v>
      </c>
      <c r="Q10" s="11">
        <f t="shared" si="2"/>
        <v>0.1</v>
      </c>
      <c r="R10" s="122">
        <f t="shared" si="3"/>
        <v>0.1</v>
      </c>
    </row>
    <row r="11" spans="2:18" x14ac:dyDescent="0.25">
      <c r="B11" s="525" t="s">
        <v>12</v>
      </c>
      <c r="C11" s="526">
        <v>270</v>
      </c>
      <c r="D11" s="9">
        <f t="shared" si="0"/>
        <v>0.17419354838709677</v>
      </c>
      <c r="E11" s="8">
        <v>285</v>
      </c>
      <c r="F11" s="524">
        <f t="shared" si="4"/>
        <v>0.14249999999999999</v>
      </c>
      <c r="G11" s="51">
        <f>+F11-D11</f>
        <v>-3.1693548387096787E-2</v>
      </c>
      <c r="H11" s="11"/>
      <c r="I11" s="10"/>
      <c r="J11" s="384" t="s">
        <v>12</v>
      </c>
      <c r="K11" s="366"/>
      <c r="L11" s="366"/>
      <c r="M11" s="366"/>
      <c r="N11" s="8">
        <v>270</v>
      </c>
      <c r="O11" s="140">
        <v>285</v>
      </c>
      <c r="P11" s="121">
        <f t="shared" si="1"/>
        <v>15</v>
      </c>
      <c r="Q11" s="11">
        <f t="shared" si="2"/>
        <v>5.5555555555555552E-2</v>
      </c>
      <c r="R11" s="122">
        <f t="shared" si="3"/>
        <v>5.5555555555555552E-2</v>
      </c>
    </row>
    <row r="12" spans="2:18" x14ac:dyDescent="0.25">
      <c r="B12" s="525" t="s">
        <v>13</v>
      </c>
      <c r="C12" s="526">
        <v>16</v>
      </c>
      <c r="D12" s="9">
        <f t="shared" si="0"/>
        <v>1.032258064516129E-2</v>
      </c>
      <c r="E12" s="8">
        <v>20</v>
      </c>
      <c r="F12" s="524">
        <f t="shared" si="4"/>
        <v>0.01</v>
      </c>
      <c r="G12" s="51">
        <f t="shared" ref="G12:G18" si="5">+F12-D12</f>
        <v>-3.2258064516129011E-4</v>
      </c>
      <c r="H12" s="11"/>
      <c r="I12" s="10"/>
      <c r="J12" s="384" t="s">
        <v>13</v>
      </c>
      <c r="K12" s="366"/>
      <c r="L12" s="366"/>
      <c r="M12" s="366"/>
      <c r="N12" s="8">
        <v>16</v>
      </c>
      <c r="O12" s="140">
        <v>20</v>
      </c>
      <c r="P12" s="121">
        <f t="shared" si="1"/>
        <v>4</v>
      </c>
      <c r="Q12" s="11">
        <f t="shared" si="2"/>
        <v>0.25</v>
      </c>
      <c r="R12" s="122">
        <f t="shared" si="3"/>
        <v>0.25</v>
      </c>
    </row>
    <row r="13" spans="2:18" x14ac:dyDescent="0.25">
      <c r="B13" s="527" t="s">
        <v>14</v>
      </c>
      <c r="C13" s="528">
        <f>+C10+C11+C12</f>
        <v>436</v>
      </c>
      <c r="D13" s="9">
        <f t="shared" si="0"/>
        <v>0.28129032258064518</v>
      </c>
      <c r="E13" s="46">
        <f>+E10+E11+E12</f>
        <v>470</v>
      </c>
      <c r="F13" s="524">
        <f t="shared" si="4"/>
        <v>0.23499999999999999</v>
      </c>
      <c r="G13" s="51">
        <f t="shared" si="5"/>
        <v>-4.6290322580645193E-2</v>
      </c>
      <c r="H13" s="11"/>
      <c r="I13" s="13"/>
      <c r="J13" s="391" t="s">
        <v>14</v>
      </c>
      <c r="K13" s="392"/>
      <c r="L13" s="392"/>
      <c r="M13" s="392"/>
      <c r="N13" s="42">
        <f>+N10+N11+N12</f>
        <v>436</v>
      </c>
      <c r="O13" s="142">
        <f>+O10+O11+O12</f>
        <v>470</v>
      </c>
      <c r="P13" s="124">
        <f t="shared" si="1"/>
        <v>34</v>
      </c>
      <c r="Q13" s="136">
        <f t="shared" si="2"/>
        <v>7.7981651376146793E-2</v>
      </c>
      <c r="R13" s="122">
        <f t="shared" si="3"/>
        <v>7.7981651376146793E-2</v>
      </c>
    </row>
    <row r="14" spans="2:18" x14ac:dyDescent="0.25">
      <c r="B14" s="126" t="s">
        <v>15</v>
      </c>
      <c r="C14" s="8">
        <f>+C9-C13</f>
        <v>84</v>
      </c>
      <c r="D14" s="9">
        <f t="shared" si="0"/>
        <v>5.4193548387096772E-2</v>
      </c>
      <c r="E14" s="8">
        <f>+E9-E13</f>
        <v>330</v>
      </c>
      <c r="F14" s="524">
        <f t="shared" si="4"/>
        <v>0.16500000000000001</v>
      </c>
      <c r="G14" s="52">
        <f t="shared" si="5"/>
        <v>0.11080645161290323</v>
      </c>
      <c r="H14" s="11"/>
      <c r="I14" s="10"/>
      <c r="J14" s="384" t="s">
        <v>15</v>
      </c>
      <c r="K14" s="366"/>
      <c r="L14" s="366"/>
      <c r="M14" s="366"/>
      <c r="N14" s="8">
        <f>+N9-N13</f>
        <v>84</v>
      </c>
      <c r="O14" s="140">
        <f>+O9-O13</f>
        <v>330</v>
      </c>
      <c r="P14" s="121">
        <f t="shared" si="1"/>
        <v>246</v>
      </c>
      <c r="Q14" s="11">
        <f t="shared" si="2"/>
        <v>2.9285714285714284</v>
      </c>
      <c r="R14" s="123">
        <f t="shared" si="3"/>
        <v>2.9285714285714284</v>
      </c>
    </row>
    <row r="15" spans="2:18" x14ac:dyDescent="0.25">
      <c r="B15" s="126" t="s">
        <v>16</v>
      </c>
      <c r="C15" s="8">
        <v>29</v>
      </c>
      <c r="D15" s="9">
        <f t="shared" si="0"/>
        <v>1.870967741935484E-2</v>
      </c>
      <c r="E15" s="8">
        <v>59</v>
      </c>
      <c r="F15" s="524">
        <f t="shared" si="4"/>
        <v>2.9499999999999998E-2</v>
      </c>
      <c r="G15" s="52">
        <f t="shared" si="5"/>
        <v>1.0790322580645158E-2</v>
      </c>
      <c r="H15" s="11"/>
      <c r="I15" s="13"/>
      <c r="J15" s="384" t="s">
        <v>16</v>
      </c>
      <c r="K15" s="366"/>
      <c r="L15" s="366"/>
      <c r="M15" s="366"/>
      <c r="N15" s="8">
        <v>29</v>
      </c>
      <c r="O15" s="140">
        <v>59</v>
      </c>
      <c r="P15" s="121">
        <f t="shared" si="1"/>
        <v>30</v>
      </c>
      <c r="Q15" s="11">
        <f t="shared" si="2"/>
        <v>1.0344827586206897</v>
      </c>
      <c r="R15" s="122">
        <f t="shared" si="3"/>
        <v>1.0344827586206897</v>
      </c>
    </row>
    <row r="16" spans="2:18" x14ac:dyDescent="0.25">
      <c r="B16" s="130" t="s">
        <v>17</v>
      </c>
      <c r="C16" s="43">
        <f>+C14-C15</f>
        <v>55</v>
      </c>
      <c r="D16" s="9">
        <f t="shared" si="0"/>
        <v>3.5483870967741936E-2</v>
      </c>
      <c r="E16" s="47">
        <f>+E14-E15</f>
        <v>271</v>
      </c>
      <c r="F16" s="524">
        <f t="shared" si="4"/>
        <v>0.13550000000000001</v>
      </c>
      <c r="G16" s="52">
        <f t="shared" si="5"/>
        <v>0.10001612903225807</v>
      </c>
      <c r="H16" s="11"/>
      <c r="I16" s="10"/>
      <c r="J16" s="391" t="s">
        <v>17</v>
      </c>
      <c r="K16" s="392"/>
      <c r="L16" s="392"/>
      <c r="M16" s="392"/>
      <c r="N16" s="43">
        <f>+N14-N15</f>
        <v>55</v>
      </c>
      <c r="O16" s="143">
        <f>+O14-O15</f>
        <v>271</v>
      </c>
      <c r="P16" s="124">
        <f t="shared" si="1"/>
        <v>216</v>
      </c>
      <c r="Q16" s="136">
        <f t="shared" si="2"/>
        <v>3.9272727272727272</v>
      </c>
      <c r="R16" s="123">
        <f t="shared" si="3"/>
        <v>3.9272727272727272</v>
      </c>
    </row>
    <row r="17" spans="2:22" x14ac:dyDescent="0.25">
      <c r="B17" s="126" t="s">
        <v>18</v>
      </c>
      <c r="C17" s="8">
        <f>+C16*21.8%</f>
        <v>11.99</v>
      </c>
      <c r="D17" s="9">
        <f t="shared" si="0"/>
        <v>7.735483870967742E-3</v>
      </c>
      <c r="E17" s="8">
        <f>+E16*21.8%</f>
        <v>59.078000000000003</v>
      </c>
      <c r="F17" s="524">
        <f t="shared" si="4"/>
        <v>2.9539000000000003E-2</v>
      </c>
      <c r="G17" s="52">
        <f t="shared" si="5"/>
        <v>2.1803516129032259E-2</v>
      </c>
      <c r="H17" s="11"/>
      <c r="I17" s="13"/>
      <c r="J17" s="384" t="s">
        <v>18</v>
      </c>
      <c r="K17" s="366"/>
      <c r="L17" s="366"/>
      <c r="M17" s="366"/>
      <c r="N17" s="8">
        <f>+N16*21.8%</f>
        <v>11.99</v>
      </c>
      <c r="O17" s="140">
        <f>+O16*21.8%</f>
        <v>59.078000000000003</v>
      </c>
      <c r="P17" s="121">
        <f t="shared" si="1"/>
        <v>47.088000000000001</v>
      </c>
      <c r="Q17" s="11">
        <f t="shared" si="2"/>
        <v>3.9272727272727272</v>
      </c>
      <c r="R17" s="122">
        <f t="shared" si="3"/>
        <v>3.9272727272727272</v>
      </c>
    </row>
    <row r="18" spans="2:22" x14ac:dyDescent="0.25">
      <c r="B18" s="133" t="s">
        <v>19</v>
      </c>
      <c r="C18" s="42">
        <f>+C16-C17</f>
        <v>43.01</v>
      </c>
      <c r="D18" s="9">
        <f t="shared" si="0"/>
        <v>2.7748387096774192E-2</v>
      </c>
      <c r="E18" s="46">
        <f>+E16-E17</f>
        <v>211.922</v>
      </c>
      <c r="F18" s="524">
        <f t="shared" si="4"/>
        <v>0.105961</v>
      </c>
      <c r="G18" s="52">
        <f t="shared" si="5"/>
        <v>7.8212612903225814E-2</v>
      </c>
      <c r="H18" s="529"/>
      <c r="J18" s="385" t="s">
        <v>19</v>
      </c>
      <c r="K18" s="386"/>
      <c r="L18" s="386"/>
      <c r="M18" s="386"/>
      <c r="N18" s="42">
        <f>+N16-N17</f>
        <v>43.01</v>
      </c>
      <c r="O18" s="142">
        <f>+O16-O17</f>
        <v>211.922</v>
      </c>
      <c r="P18" s="124">
        <f t="shared" si="1"/>
        <v>168.91200000000001</v>
      </c>
      <c r="Q18" s="136">
        <f t="shared" si="2"/>
        <v>3.9272727272727277</v>
      </c>
      <c r="R18" s="123">
        <f t="shared" si="3"/>
        <v>3.9272727272727277</v>
      </c>
    </row>
    <row r="19" spans="2:22" x14ac:dyDescent="0.25">
      <c r="D19" s="16"/>
      <c r="F19" s="16"/>
      <c r="G19" s="50"/>
    </row>
    <row r="21" spans="2:22" ht="28.8" customHeight="1" x14ac:dyDescent="0.35">
      <c r="B21" s="49" t="s">
        <v>3</v>
      </c>
      <c r="D21" s="522" t="s">
        <v>317</v>
      </c>
      <c r="E21" s="522"/>
      <c r="F21" s="522"/>
      <c r="G21" s="522"/>
      <c r="H21" s="522"/>
      <c r="I21" s="522"/>
      <c r="J21" s="522"/>
      <c r="K21" s="522"/>
      <c r="M21" s="387" t="s">
        <v>52</v>
      </c>
      <c r="N21" s="387"/>
      <c r="O21" s="522" t="s">
        <v>317</v>
      </c>
      <c r="P21" s="522"/>
      <c r="Q21" s="522"/>
      <c r="R21" s="522"/>
      <c r="S21" s="522"/>
      <c r="T21" s="522"/>
      <c r="U21" s="522"/>
      <c r="V21" s="522"/>
    </row>
    <row r="22" spans="2:22" x14ac:dyDescent="0.25">
      <c r="D22" s="381" t="s">
        <v>22</v>
      </c>
      <c r="E22" s="381"/>
      <c r="F22" s="381"/>
      <c r="G22" s="381"/>
      <c r="H22" s="381"/>
      <c r="I22" s="381"/>
      <c r="J22" s="381"/>
      <c r="K22" s="381"/>
      <c r="M22" s="387"/>
      <c r="N22" s="387"/>
      <c r="O22" s="381" t="s">
        <v>22</v>
      </c>
      <c r="P22" s="381"/>
      <c r="Q22" s="381"/>
      <c r="R22" s="381"/>
      <c r="S22" s="381"/>
      <c r="T22" s="381"/>
      <c r="U22" s="381"/>
      <c r="V22" s="381"/>
    </row>
    <row r="23" spans="2:22" x14ac:dyDescent="0.25">
      <c r="D23" s="381" t="s">
        <v>23</v>
      </c>
      <c r="E23" s="381"/>
      <c r="F23" s="381"/>
      <c r="G23" s="381"/>
      <c r="H23" s="381"/>
      <c r="I23" s="381"/>
      <c r="J23" s="381"/>
      <c r="K23" s="381"/>
      <c r="O23" s="381" t="s">
        <v>23</v>
      </c>
      <c r="P23" s="381"/>
      <c r="Q23" s="381"/>
      <c r="R23" s="381"/>
      <c r="S23" s="381"/>
      <c r="T23" s="381"/>
      <c r="U23" s="381"/>
      <c r="V23" s="381"/>
    </row>
    <row r="24" spans="2:22" x14ac:dyDescent="0.25">
      <c r="D24" s="381" t="s">
        <v>7</v>
      </c>
      <c r="E24" s="381"/>
      <c r="F24" s="381"/>
      <c r="G24" s="381"/>
      <c r="H24" s="381"/>
      <c r="I24" s="381"/>
      <c r="J24" s="381"/>
      <c r="K24" s="381"/>
      <c r="O24" s="381" t="s">
        <v>7</v>
      </c>
      <c r="P24" s="381"/>
      <c r="Q24" s="381"/>
      <c r="R24" s="381"/>
      <c r="S24" s="381"/>
      <c r="T24" s="381"/>
      <c r="U24" s="381"/>
      <c r="V24" s="381"/>
    </row>
    <row r="25" spans="2:22" x14ac:dyDescent="0.25">
      <c r="D25" s="3"/>
      <c r="E25" s="3"/>
      <c r="F25" s="3"/>
      <c r="G25" s="3"/>
      <c r="H25" s="3"/>
      <c r="I25" s="3"/>
      <c r="J25" s="3"/>
      <c r="K25" s="3"/>
      <c r="T25" s="53" t="s">
        <v>20</v>
      </c>
      <c r="U25" s="53" t="s">
        <v>20</v>
      </c>
      <c r="V25" s="1"/>
    </row>
    <row r="26" spans="2:22" ht="15.6" x14ac:dyDescent="0.3">
      <c r="D26" s="382" t="s">
        <v>1</v>
      </c>
      <c r="E26" s="382"/>
      <c r="F26" s="382"/>
      <c r="G26" s="382"/>
      <c r="H26" s="383" t="s">
        <v>2</v>
      </c>
      <c r="I26" s="382"/>
      <c r="J26" s="382"/>
      <c r="K26" s="382"/>
      <c r="O26" s="70" t="s">
        <v>24</v>
      </c>
      <c r="P26" s="74"/>
      <c r="Q26" s="74"/>
      <c r="R26" s="144" t="s">
        <v>53</v>
      </c>
      <c r="S26" s="138" t="s">
        <v>57</v>
      </c>
      <c r="T26" s="135" t="s">
        <v>54</v>
      </c>
      <c r="U26" s="53" t="s">
        <v>55</v>
      </c>
      <c r="V26" s="53" t="s">
        <v>56</v>
      </c>
    </row>
    <row r="27" spans="2:22" ht="15.6" x14ac:dyDescent="0.3">
      <c r="B27" s="70" t="s">
        <v>24</v>
      </c>
      <c r="C27" s="74"/>
      <c r="D27" s="17"/>
      <c r="E27" s="530" t="s">
        <v>318</v>
      </c>
      <c r="F27" s="3"/>
      <c r="G27" s="531" t="s">
        <v>319</v>
      </c>
      <c r="H27" s="3"/>
      <c r="I27" s="530" t="s">
        <v>318</v>
      </c>
      <c r="J27" s="3"/>
      <c r="K27" s="531" t="s">
        <v>319</v>
      </c>
      <c r="O27" s="369" t="s">
        <v>25</v>
      </c>
      <c r="P27" s="369"/>
      <c r="Q27" s="369"/>
      <c r="R27" s="17"/>
      <c r="S27" s="20"/>
    </row>
    <row r="28" spans="2:22" ht="27.6" customHeight="1" x14ac:dyDescent="0.25">
      <c r="B28" s="361" t="s">
        <v>320</v>
      </c>
      <c r="D28" s="19"/>
      <c r="E28" s="532"/>
      <c r="G28" s="533"/>
      <c r="I28" s="532"/>
      <c r="K28" s="533"/>
      <c r="O28" s="369" t="s">
        <v>26</v>
      </c>
      <c r="P28" s="369"/>
      <c r="Q28" s="369"/>
      <c r="R28" s="21">
        <v>12</v>
      </c>
      <c r="S28" s="145">
        <v>39</v>
      </c>
      <c r="T28" s="57">
        <f>+S28-R28</f>
        <v>27</v>
      </c>
      <c r="U28" s="122">
        <f>+T28/R28</f>
        <v>2.25</v>
      </c>
      <c r="V28" s="122">
        <f>+(S28-R28)/R28</f>
        <v>2.25</v>
      </c>
    </row>
    <row r="29" spans="2:22" x14ac:dyDescent="0.25">
      <c r="B29" s="2" t="s">
        <v>26</v>
      </c>
      <c r="D29" s="21">
        <v>12</v>
      </c>
      <c r="E29" s="534">
        <f>+D29/$D$38</f>
        <v>2.1699819168173599E-2</v>
      </c>
      <c r="F29" s="23"/>
      <c r="G29" s="24">
        <f>+D29/D33</f>
        <v>2.8503562945368172E-2</v>
      </c>
      <c r="H29" s="56">
        <v>39</v>
      </c>
      <c r="I29" s="534">
        <f>+H29/$H$38</f>
        <v>5.4317548746518104E-2</v>
      </c>
      <c r="J29" s="23"/>
      <c r="K29" s="24">
        <f>+H29/$H$33</f>
        <v>6.8421052631578952E-2</v>
      </c>
      <c r="O29" s="369" t="s">
        <v>27</v>
      </c>
      <c r="P29" s="369"/>
      <c r="Q29" s="369"/>
      <c r="R29" s="21">
        <v>66</v>
      </c>
      <c r="S29" s="145">
        <v>92</v>
      </c>
      <c r="T29" s="57">
        <f t="shared" ref="T29:T56" si="6">+S29-R29</f>
        <v>26</v>
      </c>
      <c r="U29" s="122">
        <f t="shared" ref="U29:U57" si="7">+T29/R29</f>
        <v>0.39393939393939392</v>
      </c>
      <c r="V29" s="122">
        <f t="shared" ref="V29:V57" si="8">+(S29-R29)/R29</f>
        <v>0.39393939393939392</v>
      </c>
    </row>
    <row r="30" spans="2:22" x14ac:dyDescent="0.25">
      <c r="B30" s="2" t="s">
        <v>27</v>
      </c>
      <c r="D30" s="21">
        <v>66</v>
      </c>
      <c r="E30" s="534">
        <f t="shared" ref="E30:E32" si="9">+D30/$D$38</f>
        <v>0.11934900542495479</v>
      </c>
      <c r="F30" s="23"/>
      <c r="G30" s="24">
        <f>+D30/D33</f>
        <v>0.15676959619952494</v>
      </c>
      <c r="H30" s="56">
        <v>92</v>
      </c>
      <c r="I30" s="534">
        <f t="shared" ref="I30:I32" si="10">+H30/$H$38</f>
        <v>0.12813370473537605</v>
      </c>
      <c r="J30" s="23"/>
      <c r="K30" s="24">
        <f t="shared" ref="K30:K32" si="11">+H30/$H$33</f>
        <v>0.16140350877192983</v>
      </c>
      <c r="O30" s="369" t="s">
        <v>28</v>
      </c>
      <c r="P30" s="369"/>
      <c r="Q30" s="369"/>
      <c r="R30" s="62">
        <v>152</v>
      </c>
      <c r="S30" s="146">
        <v>194</v>
      </c>
      <c r="T30" s="57">
        <f t="shared" si="6"/>
        <v>42</v>
      </c>
      <c r="U30" s="122">
        <f t="shared" si="7"/>
        <v>0.27631578947368424</v>
      </c>
      <c r="V30" s="122">
        <f t="shared" si="8"/>
        <v>0.27631578947368424</v>
      </c>
    </row>
    <row r="31" spans="2:22" x14ac:dyDescent="0.25">
      <c r="B31" s="2" t="s">
        <v>28</v>
      </c>
      <c r="D31" s="62">
        <v>152</v>
      </c>
      <c r="E31" s="534">
        <f t="shared" si="9"/>
        <v>0.27486437613019893</v>
      </c>
      <c r="F31" s="59"/>
      <c r="G31" s="24">
        <f>+D31/D33</f>
        <v>0.36104513064133015</v>
      </c>
      <c r="H31" s="58">
        <v>194</v>
      </c>
      <c r="I31" s="534">
        <f t="shared" si="10"/>
        <v>0.27019498607242337</v>
      </c>
      <c r="J31" s="59"/>
      <c r="K31" s="24">
        <f t="shared" si="11"/>
        <v>0.34035087719298246</v>
      </c>
      <c r="O31" s="369" t="s">
        <v>29</v>
      </c>
      <c r="P31" s="369"/>
      <c r="Q31" s="369"/>
      <c r="R31" s="63">
        <v>191</v>
      </c>
      <c r="S31" s="147">
        <v>245</v>
      </c>
      <c r="T31" s="57">
        <f t="shared" si="6"/>
        <v>54</v>
      </c>
      <c r="U31" s="122">
        <f t="shared" si="7"/>
        <v>0.28272251308900526</v>
      </c>
      <c r="V31" s="122">
        <f t="shared" si="8"/>
        <v>0.28272251308900526</v>
      </c>
    </row>
    <row r="32" spans="2:22" ht="14.4" thickBot="1" x14ac:dyDescent="0.3">
      <c r="B32" s="2" t="s">
        <v>29</v>
      </c>
      <c r="D32" s="63">
        <v>191</v>
      </c>
      <c r="E32" s="534">
        <f t="shared" si="9"/>
        <v>0.34538878842676313</v>
      </c>
      <c r="F32" s="22"/>
      <c r="G32" s="24">
        <f>+D32/D33</f>
        <v>0.45368171021377673</v>
      </c>
      <c r="H32" s="60">
        <v>245</v>
      </c>
      <c r="I32" s="534">
        <f t="shared" si="10"/>
        <v>0.34122562674094709</v>
      </c>
      <c r="J32" s="61"/>
      <c r="K32" s="24">
        <f t="shared" si="11"/>
        <v>0.42982456140350878</v>
      </c>
      <c r="O32" s="379" t="s">
        <v>30</v>
      </c>
      <c r="P32" s="379"/>
      <c r="Q32" s="379"/>
      <c r="R32" s="82">
        <v>421</v>
      </c>
      <c r="S32" s="148">
        <v>570</v>
      </c>
      <c r="T32" s="57">
        <f t="shared" si="6"/>
        <v>149</v>
      </c>
      <c r="U32" s="122">
        <f t="shared" si="7"/>
        <v>0.35391923990498814</v>
      </c>
      <c r="V32" s="122">
        <f t="shared" si="8"/>
        <v>0.35391923990498814</v>
      </c>
    </row>
    <row r="33" spans="2:22" x14ac:dyDescent="0.25">
      <c r="B33" s="81" t="s">
        <v>30</v>
      </c>
      <c r="C33" s="81"/>
      <c r="D33" s="82">
        <f>SUM(D29:D32)</f>
        <v>421</v>
      </c>
      <c r="E33" s="83"/>
      <c r="F33" s="535">
        <f>+D33/D38</f>
        <v>0.7613019891500904</v>
      </c>
      <c r="G33" s="87">
        <f>SUM(G29:G32)</f>
        <v>1</v>
      </c>
      <c r="H33" s="84">
        <f>SUM(H29:H32)</f>
        <v>570</v>
      </c>
      <c r="I33" s="83"/>
      <c r="J33" s="536">
        <f>+H33/H38</f>
        <v>0.79387186629526463</v>
      </c>
      <c r="K33" s="85">
        <f>SUM(K29:K32)</f>
        <v>1</v>
      </c>
      <c r="O33" s="369" t="s">
        <v>31</v>
      </c>
      <c r="P33" s="369"/>
      <c r="Q33" s="369"/>
      <c r="R33" s="26"/>
      <c r="S33" s="149"/>
      <c r="T33" s="57">
        <f t="shared" si="6"/>
        <v>0</v>
      </c>
      <c r="U33" s="122"/>
      <c r="V33" s="122"/>
    </row>
    <row r="34" spans="2:22" x14ac:dyDescent="0.25">
      <c r="B34" s="2" t="s">
        <v>321</v>
      </c>
      <c r="D34" s="26"/>
      <c r="E34" s="27"/>
      <c r="F34" s="264"/>
      <c r="G34" s="28"/>
      <c r="H34" s="66"/>
      <c r="I34" s="27"/>
      <c r="J34" s="65"/>
      <c r="K34" s="28"/>
      <c r="O34" s="369" t="s">
        <v>32</v>
      </c>
      <c r="P34" s="369"/>
      <c r="Q34" s="369"/>
      <c r="R34" s="55">
        <v>195</v>
      </c>
      <c r="S34" s="150">
        <v>220</v>
      </c>
      <c r="T34" s="57">
        <f t="shared" si="6"/>
        <v>25</v>
      </c>
      <c r="U34" s="122">
        <f t="shared" si="7"/>
        <v>0.12820512820512819</v>
      </c>
      <c r="V34" s="122">
        <f t="shared" si="8"/>
        <v>0.12820512820512819</v>
      </c>
    </row>
    <row r="35" spans="2:22" x14ac:dyDescent="0.25">
      <c r="B35" s="2" t="s">
        <v>32</v>
      </c>
      <c r="D35" s="55">
        <v>195</v>
      </c>
      <c r="E35" s="262">
        <f>+D35/D38</f>
        <v>0.35262206148282099</v>
      </c>
      <c r="F35" s="265"/>
      <c r="G35" s="24">
        <f>+D35/D37</f>
        <v>1.4772727272727273</v>
      </c>
      <c r="H35" s="57">
        <v>220</v>
      </c>
      <c r="I35" s="262">
        <f>+H35/H38</f>
        <v>0.30640668523676878</v>
      </c>
      <c r="K35" s="24">
        <f>+H35/H37</f>
        <v>1.4864864864864864</v>
      </c>
      <c r="O35" s="380" t="s">
        <v>33</v>
      </c>
      <c r="P35" s="380"/>
      <c r="Q35" s="380"/>
      <c r="R35" s="69">
        <v>-63</v>
      </c>
      <c r="S35" s="151">
        <v>-72</v>
      </c>
      <c r="T35" s="57">
        <f t="shared" si="6"/>
        <v>-9</v>
      </c>
      <c r="U35" s="122">
        <f t="shared" si="7"/>
        <v>0.14285714285714285</v>
      </c>
      <c r="V35" s="122">
        <f t="shared" si="8"/>
        <v>0.14285714285714285</v>
      </c>
    </row>
    <row r="36" spans="2:22" x14ac:dyDescent="0.25">
      <c r="B36" s="68" t="s">
        <v>33</v>
      </c>
      <c r="C36" s="68"/>
      <c r="D36" s="69">
        <v>-63</v>
      </c>
      <c r="E36" s="263">
        <f>+D36/D38</f>
        <v>-0.11392405063291139</v>
      </c>
      <c r="F36" s="266"/>
      <c r="G36" s="64">
        <f>+D36/D37</f>
        <v>-0.47727272727272729</v>
      </c>
      <c r="H36" s="73">
        <v>-72</v>
      </c>
      <c r="I36" s="263">
        <f>+H36/H38</f>
        <v>-0.10027855153203342</v>
      </c>
      <c r="K36" s="64">
        <f>+H36/H37</f>
        <v>-0.48648648648648651</v>
      </c>
      <c r="O36" s="371" t="s">
        <v>34</v>
      </c>
      <c r="P36" s="371"/>
      <c r="Q36" s="371"/>
      <c r="R36" s="86">
        <v>132</v>
      </c>
      <c r="S36" s="152">
        <v>148</v>
      </c>
      <c r="T36" s="57">
        <f t="shared" si="6"/>
        <v>16</v>
      </c>
      <c r="U36" s="122">
        <f t="shared" si="7"/>
        <v>0.12121212121212122</v>
      </c>
      <c r="V36" s="122">
        <f t="shared" si="8"/>
        <v>0.12121212121212122</v>
      </c>
    </row>
    <row r="37" spans="2:22" ht="14.4" thickBot="1" x14ac:dyDescent="0.3">
      <c r="B37" s="1" t="s">
        <v>34</v>
      </c>
      <c r="C37" s="1"/>
      <c r="D37" s="86">
        <f>SUM(D35:D36)</f>
        <v>132</v>
      </c>
      <c r="E37" s="87"/>
      <c r="F37" s="267">
        <f>+D37/D38</f>
        <v>0.23869801084990958</v>
      </c>
      <c r="G37" s="88">
        <f>SUM(G35:G36)</f>
        <v>1</v>
      </c>
      <c r="H37" s="86">
        <f>SUM(H35:H36)</f>
        <v>148</v>
      </c>
      <c r="I37" s="87"/>
      <c r="J37" s="111">
        <f>+H37/H38</f>
        <v>0.20612813370473537</v>
      </c>
      <c r="K37" s="88">
        <f>SUM(K35:K36)</f>
        <v>0.99999999999999989</v>
      </c>
      <c r="O37" s="377" t="s">
        <v>35</v>
      </c>
      <c r="P37" s="377"/>
      <c r="Q37" s="377"/>
      <c r="R37" s="75">
        <v>553</v>
      </c>
      <c r="S37" s="153">
        <v>718</v>
      </c>
      <c r="T37" s="57">
        <f t="shared" si="6"/>
        <v>165</v>
      </c>
      <c r="U37" s="122">
        <f t="shared" si="7"/>
        <v>0.29837251356238698</v>
      </c>
      <c r="V37" s="122">
        <f t="shared" si="8"/>
        <v>0.29837251356238698</v>
      </c>
    </row>
    <row r="38" spans="2:22" x14ac:dyDescent="0.25">
      <c r="B38" s="44" t="s">
        <v>35</v>
      </c>
      <c r="C38" s="74"/>
      <c r="D38" s="75">
        <f>+D33+D37</f>
        <v>553</v>
      </c>
      <c r="E38" s="76">
        <f>SUM(E29:E36)</f>
        <v>1.0000000000000002</v>
      </c>
      <c r="F38" s="77">
        <f>SUM(F33:F37)</f>
        <v>1</v>
      </c>
      <c r="G38" s="78"/>
      <c r="H38" s="75">
        <f>+H33+H37</f>
        <v>718</v>
      </c>
      <c r="I38" s="76">
        <f>SUM(I29:I36)</f>
        <v>1</v>
      </c>
      <c r="J38" s="77">
        <f>SUM(J33:J37)</f>
        <v>1</v>
      </c>
      <c r="K38" s="78"/>
      <c r="R38" s="19"/>
      <c r="S38" s="154"/>
      <c r="T38" s="57">
        <f t="shared" si="6"/>
        <v>0</v>
      </c>
      <c r="U38" s="122"/>
      <c r="V38" s="122"/>
    </row>
    <row r="39" spans="2:22" ht="15.6" x14ac:dyDescent="0.3">
      <c r="D39" s="19"/>
      <c r="E39" s="29"/>
      <c r="G39" s="20"/>
      <c r="H39" s="19"/>
      <c r="K39" s="20"/>
      <c r="O39" s="378" t="s">
        <v>36</v>
      </c>
      <c r="P39" s="378"/>
      <c r="Q39" s="378"/>
      <c r="R39" s="89"/>
      <c r="S39" s="91"/>
      <c r="T39" s="57">
        <f t="shared" si="6"/>
        <v>0</v>
      </c>
      <c r="U39" s="122"/>
      <c r="V39" s="122"/>
    </row>
    <row r="40" spans="2:22" ht="28.2" customHeight="1" x14ac:dyDescent="0.3">
      <c r="B40" s="71" t="s">
        <v>36</v>
      </c>
      <c r="D40" s="362" t="s">
        <v>228</v>
      </c>
      <c r="E40" s="363"/>
      <c r="F40" s="90"/>
      <c r="G40" s="537" t="s">
        <v>322</v>
      </c>
      <c r="H40" s="362" t="s">
        <v>228</v>
      </c>
      <c r="I40" s="363"/>
      <c r="J40" s="90"/>
      <c r="K40" s="537" t="s">
        <v>322</v>
      </c>
      <c r="O40" s="369" t="s">
        <v>37</v>
      </c>
      <c r="P40" s="369"/>
      <c r="Q40" s="369"/>
      <c r="R40" s="19"/>
      <c r="S40" s="20"/>
      <c r="T40" s="57">
        <f t="shared" si="6"/>
        <v>0</v>
      </c>
      <c r="U40" s="122"/>
      <c r="V40" s="122"/>
    </row>
    <row r="41" spans="2:22" x14ac:dyDescent="0.25">
      <c r="B41" s="2" t="s">
        <v>37</v>
      </c>
      <c r="D41" s="364"/>
      <c r="E41" s="365"/>
      <c r="G41" s="480"/>
      <c r="H41" s="364"/>
      <c r="I41" s="365"/>
      <c r="K41" s="480"/>
      <c r="O41" s="369" t="s">
        <v>38</v>
      </c>
      <c r="P41" s="369"/>
      <c r="Q41" s="369"/>
      <c r="R41" s="21"/>
      <c r="S41" s="145"/>
      <c r="T41" s="57">
        <f t="shared" si="6"/>
        <v>0</v>
      </c>
      <c r="U41" s="122"/>
      <c r="V41" s="122"/>
    </row>
    <row r="42" spans="2:22" x14ac:dyDescent="0.25">
      <c r="B42" s="2" t="s">
        <v>323</v>
      </c>
      <c r="D42" s="21"/>
      <c r="E42" s="22"/>
      <c r="F42" s="23"/>
      <c r="G42" s="24"/>
      <c r="H42" s="56"/>
      <c r="I42" s="22"/>
      <c r="J42" s="23"/>
      <c r="K42" s="24"/>
      <c r="O42" s="369" t="s">
        <v>39</v>
      </c>
      <c r="P42" s="369"/>
      <c r="Q42" s="369"/>
      <c r="R42" s="21">
        <v>136</v>
      </c>
      <c r="S42" s="145">
        <v>156</v>
      </c>
      <c r="T42" s="57">
        <f t="shared" si="6"/>
        <v>20</v>
      </c>
      <c r="U42" s="122">
        <f t="shared" si="7"/>
        <v>0.14705882352941177</v>
      </c>
      <c r="V42" s="122">
        <f t="shared" si="8"/>
        <v>0.14705882352941177</v>
      </c>
    </row>
    <row r="43" spans="2:22" x14ac:dyDescent="0.25">
      <c r="B43" s="2" t="s">
        <v>39</v>
      </c>
      <c r="D43" s="21">
        <v>136</v>
      </c>
      <c r="E43" s="259">
        <f>+D43/D58</f>
        <v>0.24593128390596744</v>
      </c>
      <c r="F43" s="23"/>
      <c r="G43" s="24">
        <f>+D43/$D$46</f>
        <v>0.37465564738292012</v>
      </c>
      <c r="H43" s="56">
        <v>156</v>
      </c>
      <c r="I43" s="259">
        <f>+H43/$H$58</f>
        <v>0.21727019498607242</v>
      </c>
      <c r="J43" s="23"/>
      <c r="K43" s="24">
        <f>+H43/H46</f>
        <v>0.37956204379562042</v>
      </c>
      <c r="O43" s="369" t="s">
        <v>40</v>
      </c>
      <c r="P43" s="369"/>
      <c r="Q43" s="369"/>
      <c r="R43" s="21">
        <v>200</v>
      </c>
      <c r="S43" s="145">
        <v>220</v>
      </c>
      <c r="T43" s="57">
        <f t="shared" si="6"/>
        <v>20</v>
      </c>
      <c r="U43" s="122">
        <f t="shared" si="7"/>
        <v>0.1</v>
      </c>
      <c r="V43" s="122">
        <f t="shared" si="8"/>
        <v>0.1</v>
      </c>
    </row>
    <row r="44" spans="2:22" x14ac:dyDescent="0.25">
      <c r="B44" s="2" t="s">
        <v>40</v>
      </c>
      <c r="D44" s="21">
        <v>200</v>
      </c>
      <c r="E44" s="259">
        <f>+D44/D58</f>
        <v>0.36166365280289331</v>
      </c>
      <c r="F44" s="23"/>
      <c r="G44" s="24">
        <f>+D44/D46</f>
        <v>0.55096418732782371</v>
      </c>
      <c r="H44" s="56">
        <v>220</v>
      </c>
      <c r="I44" s="259">
        <f t="shared" ref="I44:I45" si="12">+H44/$H$58</f>
        <v>0.30640668523676878</v>
      </c>
      <c r="J44" s="23"/>
      <c r="K44" s="24">
        <f>+H44/H46</f>
        <v>0.53527980535279807</v>
      </c>
      <c r="O44" s="369" t="s">
        <v>41</v>
      </c>
      <c r="P44" s="369"/>
      <c r="Q44" s="369"/>
      <c r="R44" s="63">
        <v>27</v>
      </c>
      <c r="S44" s="147">
        <v>35</v>
      </c>
      <c r="T44" s="57">
        <f t="shared" si="6"/>
        <v>8</v>
      </c>
      <c r="U44" s="122">
        <f t="shared" si="7"/>
        <v>0.29629629629629628</v>
      </c>
      <c r="V44" s="122">
        <f t="shared" si="8"/>
        <v>0.29629629629629628</v>
      </c>
    </row>
    <row r="45" spans="2:22" x14ac:dyDescent="0.25">
      <c r="B45" s="2" t="s">
        <v>41</v>
      </c>
      <c r="D45" s="63">
        <v>27</v>
      </c>
      <c r="E45" s="261">
        <f>+D45/D58</f>
        <v>4.8824593128390596E-2</v>
      </c>
      <c r="F45" s="25"/>
      <c r="G45" s="64">
        <f>+D45/D46</f>
        <v>7.43801652892562E-2</v>
      </c>
      <c r="H45" s="60">
        <v>35</v>
      </c>
      <c r="I45" s="259">
        <f t="shared" si="12"/>
        <v>4.8746518105849582E-2</v>
      </c>
      <c r="J45" s="25"/>
      <c r="K45" s="64">
        <f>+H45/H46</f>
        <v>8.5158150851581502E-2</v>
      </c>
      <c r="O45" s="371" t="s">
        <v>42</v>
      </c>
      <c r="P45" s="371"/>
      <c r="Q45" s="371"/>
      <c r="R45" s="92">
        <v>363</v>
      </c>
      <c r="S45" s="155">
        <v>411</v>
      </c>
      <c r="T45" s="57">
        <f t="shared" si="6"/>
        <v>48</v>
      </c>
      <c r="U45" s="122">
        <f t="shared" si="7"/>
        <v>0.13223140495867769</v>
      </c>
      <c r="V45" s="122">
        <f t="shared" si="8"/>
        <v>0.13223140495867769</v>
      </c>
    </row>
    <row r="46" spans="2:22" x14ac:dyDescent="0.25">
      <c r="B46" s="1" t="s">
        <v>42</v>
      </c>
      <c r="C46" s="1"/>
      <c r="D46" s="82">
        <f>SUM(D42:D45)</f>
        <v>363</v>
      </c>
      <c r="E46" s="87"/>
      <c r="F46" s="538">
        <f>+D46/D58</f>
        <v>0.65641952983725138</v>
      </c>
      <c r="G46" s="93">
        <f>SUM(G43:G45)</f>
        <v>1</v>
      </c>
      <c r="H46" s="539">
        <f>SUM(H43:H45)</f>
        <v>411</v>
      </c>
      <c r="I46" s="93"/>
      <c r="J46" s="538">
        <f>+H46/H58</f>
        <v>0.57242339832869082</v>
      </c>
      <c r="K46" s="95">
        <f>SUM(K43:K45)</f>
        <v>1</v>
      </c>
      <c r="O46" s="369" t="s">
        <v>43</v>
      </c>
      <c r="P46" s="369"/>
      <c r="Q46" s="369"/>
      <c r="R46" s="30"/>
      <c r="S46" s="156"/>
      <c r="T46" s="57">
        <f t="shared" si="6"/>
        <v>0</v>
      </c>
      <c r="U46" s="122"/>
      <c r="V46" s="122"/>
    </row>
    <row r="47" spans="2:22" x14ac:dyDescent="0.25">
      <c r="B47" s="2" t="s">
        <v>324</v>
      </c>
      <c r="D47" s="30"/>
      <c r="E47" s="27"/>
      <c r="F47" s="31"/>
      <c r="G47" s="31"/>
      <c r="H47" s="98"/>
      <c r="I47" s="31"/>
      <c r="J47" s="31"/>
      <c r="K47" s="32"/>
      <c r="O47" s="366" t="s">
        <v>44</v>
      </c>
      <c r="P47" s="366"/>
      <c r="Q47" s="366"/>
      <c r="R47" s="38">
        <v>38</v>
      </c>
      <c r="S47" s="157">
        <v>48</v>
      </c>
      <c r="T47" s="57">
        <f t="shared" si="6"/>
        <v>10</v>
      </c>
      <c r="U47" s="122">
        <f t="shared" si="7"/>
        <v>0.26315789473684209</v>
      </c>
      <c r="V47" s="122">
        <f t="shared" si="8"/>
        <v>0.26315789473684209</v>
      </c>
    </row>
    <row r="48" spans="2:22" x14ac:dyDescent="0.25">
      <c r="B48" s="41" t="s">
        <v>44</v>
      </c>
      <c r="D48" s="38">
        <v>38</v>
      </c>
      <c r="E48" s="540">
        <f>+D48/D58</f>
        <v>6.8716094032549732E-2</v>
      </c>
      <c r="F48" s="120"/>
      <c r="G48" s="37">
        <f>+D48/D49</f>
        <v>1</v>
      </c>
      <c r="H48" s="107">
        <v>48</v>
      </c>
      <c r="I48" s="540">
        <f>+H48/H58</f>
        <v>6.6852367688022288E-2</v>
      </c>
      <c r="J48" s="120"/>
      <c r="K48" s="54">
        <f>+H48/H49</f>
        <v>1</v>
      </c>
      <c r="O48" s="373" t="s">
        <v>45</v>
      </c>
      <c r="P48" s="373"/>
      <c r="Q48" s="373"/>
      <c r="R48" s="99">
        <v>401</v>
      </c>
      <c r="S48" s="158">
        <v>459</v>
      </c>
      <c r="T48" s="57">
        <f t="shared" si="6"/>
        <v>58</v>
      </c>
      <c r="U48" s="122">
        <f t="shared" si="7"/>
        <v>0.14463840399002495</v>
      </c>
      <c r="V48" s="122">
        <f t="shared" si="8"/>
        <v>0.14463840399002495</v>
      </c>
    </row>
    <row r="49" spans="2:22" ht="14.4" thickBot="1" x14ac:dyDescent="0.3">
      <c r="B49" s="45" t="s">
        <v>325</v>
      </c>
      <c r="D49" s="287">
        <f>SUM(D48:D48)</f>
        <v>38</v>
      </c>
      <c r="E49" s="37"/>
      <c r="F49" s="541">
        <f>+D49/D58</f>
        <v>6.8716094032549732E-2</v>
      </c>
      <c r="G49" s="542">
        <f>SUM(G48)</f>
        <v>1</v>
      </c>
      <c r="H49" s="288">
        <f>SUM(H48)</f>
        <v>48</v>
      </c>
      <c r="I49" s="37"/>
      <c r="J49" s="541">
        <f>+H49/H58</f>
        <v>6.6852367688022288E-2</v>
      </c>
      <c r="K49" s="543">
        <f>SUM(K48)</f>
        <v>1</v>
      </c>
      <c r="O49" s="244"/>
      <c r="P49" s="244"/>
      <c r="Q49" s="244"/>
      <c r="R49" s="278"/>
      <c r="S49" s="279"/>
      <c r="T49" s="57">
        <f t="shared" si="6"/>
        <v>0</v>
      </c>
      <c r="U49" s="122"/>
      <c r="V49" s="122"/>
    </row>
    <row r="50" spans="2:22" x14ac:dyDescent="0.25">
      <c r="B50" s="79" t="s">
        <v>45</v>
      </c>
      <c r="C50" s="96"/>
      <c r="D50" s="99">
        <f>+D46+D48</f>
        <v>401</v>
      </c>
      <c r="E50" s="544"/>
      <c r="F50" s="545">
        <f>+D50/D58</f>
        <v>0.72513562386980113</v>
      </c>
      <c r="G50" s="100"/>
      <c r="H50" s="101">
        <f>SUM(H46:H48)</f>
        <v>459</v>
      </c>
      <c r="I50" s="102"/>
      <c r="J50" s="545">
        <f>SUM(J46:J49)</f>
        <v>0.6392757660167131</v>
      </c>
      <c r="K50" s="103"/>
      <c r="O50" s="45"/>
      <c r="R50" s="34"/>
      <c r="S50" s="159"/>
      <c r="T50" s="57">
        <f t="shared" si="6"/>
        <v>0</v>
      </c>
      <c r="U50" s="122"/>
      <c r="V50" s="122"/>
    </row>
    <row r="51" spans="2:22" ht="15.6" x14ac:dyDescent="0.25">
      <c r="B51" s="45"/>
      <c r="D51" s="40"/>
      <c r="F51" s="285"/>
      <c r="H51" s="40"/>
      <c r="I51" s="35"/>
      <c r="J51" s="285"/>
      <c r="K51" s="97"/>
      <c r="O51" s="374" t="s">
        <v>46</v>
      </c>
      <c r="P51" s="374"/>
      <c r="Q51" s="374"/>
      <c r="R51" s="104"/>
      <c r="S51" s="106"/>
      <c r="T51" s="57">
        <f t="shared" si="6"/>
        <v>0</v>
      </c>
      <c r="U51" s="122"/>
      <c r="V51" s="122"/>
    </row>
    <row r="52" spans="2:22" ht="15.6" x14ac:dyDescent="0.25">
      <c r="B52" s="72" t="s">
        <v>230</v>
      </c>
      <c r="D52" s="104"/>
      <c r="E52" s="90"/>
      <c r="F52" s="546"/>
      <c r="G52" s="90"/>
      <c r="H52" s="105"/>
      <c r="I52" s="39"/>
      <c r="J52" s="546"/>
      <c r="K52" s="106"/>
      <c r="O52" s="375" t="s">
        <v>47</v>
      </c>
      <c r="P52" s="375"/>
      <c r="Q52" s="375"/>
      <c r="R52" s="34">
        <v>20</v>
      </c>
      <c r="S52" s="159">
        <v>20</v>
      </c>
      <c r="T52" s="57">
        <f t="shared" si="6"/>
        <v>0</v>
      </c>
      <c r="U52" s="122">
        <f t="shared" si="7"/>
        <v>0</v>
      </c>
      <c r="V52" s="122">
        <f t="shared" si="8"/>
        <v>0</v>
      </c>
    </row>
    <row r="53" spans="2:22" ht="35.25" customHeight="1" x14ac:dyDescent="0.25">
      <c r="B53" s="41" t="s">
        <v>47</v>
      </c>
      <c r="D53" s="34">
        <v>20</v>
      </c>
      <c r="E53" s="35">
        <f>+D53/D58</f>
        <v>3.6166365280289332E-2</v>
      </c>
      <c r="F53" s="285"/>
      <c r="G53" s="35">
        <f>+D53/D56</f>
        <v>0.13157894736842105</v>
      </c>
      <c r="H53" s="40">
        <v>20</v>
      </c>
      <c r="I53" s="35">
        <f>+H53/H58</f>
        <v>2.7855153203342618E-2</v>
      </c>
      <c r="J53" s="285"/>
      <c r="K53" s="36">
        <f>+H53/H56</f>
        <v>7.7220077220077218E-2</v>
      </c>
      <c r="O53" s="376" t="s">
        <v>48</v>
      </c>
      <c r="P53" s="376"/>
      <c r="Q53" s="376"/>
      <c r="R53" s="34">
        <v>30</v>
      </c>
      <c r="S53" s="159">
        <v>30</v>
      </c>
      <c r="T53" s="57">
        <f t="shared" si="6"/>
        <v>0</v>
      </c>
      <c r="U53" s="122">
        <f t="shared" si="7"/>
        <v>0</v>
      </c>
      <c r="V53" s="122">
        <f t="shared" si="8"/>
        <v>0</v>
      </c>
    </row>
    <row r="54" spans="2:22" x14ac:dyDescent="0.25">
      <c r="B54" s="41" t="s">
        <v>48</v>
      </c>
      <c r="D54" s="34">
        <v>30</v>
      </c>
      <c r="E54" s="35">
        <f>+D54/D58</f>
        <v>5.4249547920433995E-2</v>
      </c>
      <c r="F54" s="285"/>
      <c r="G54" s="35">
        <f>+D54/D56</f>
        <v>0.19736842105263158</v>
      </c>
      <c r="H54" s="40">
        <v>30</v>
      </c>
      <c r="I54" s="35">
        <f>+H54/H58</f>
        <v>4.1782729805013928E-2</v>
      </c>
      <c r="J54" s="285"/>
      <c r="K54" s="36">
        <f>+H54/H56</f>
        <v>0.11583011583011583</v>
      </c>
      <c r="O54" s="366" t="s">
        <v>49</v>
      </c>
      <c r="P54" s="366"/>
      <c r="Q54" s="366"/>
      <c r="R54" s="38">
        <v>102</v>
      </c>
      <c r="S54" s="157">
        <v>209</v>
      </c>
      <c r="T54" s="57">
        <f t="shared" si="6"/>
        <v>107</v>
      </c>
      <c r="U54" s="122">
        <f t="shared" si="7"/>
        <v>1.0490196078431373</v>
      </c>
      <c r="V54" s="122">
        <f t="shared" si="8"/>
        <v>1.0490196078431373</v>
      </c>
    </row>
    <row r="55" spans="2:22" x14ac:dyDescent="0.25">
      <c r="B55" s="41" t="s">
        <v>49</v>
      </c>
      <c r="D55" s="38">
        <v>102</v>
      </c>
      <c r="E55" s="37">
        <f>+D55/D58</f>
        <v>0.18444846292947559</v>
      </c>
      <c r="F55" s="282"/>
      <c r="G55" s="37">
        <f>+D55/D56</f>
        <v>0.67105263157894735</v>
      </c>
      <c r="H55" s="107">
        <v>209</v>
      </c>
      <c r="I55" s="37">
        <f>+H55/H58</f>
        <v>0.29108635097493035</v>
      </c>
      <c r="J55" s="282"/>
      <c r="K55" s="54">
        <f>+H55/H56</f>
        <v>0.806949806949807</v>
      </c>
      <c r="O55" s="367" t="s">
        <v>50</v>
      </c>
      <c r="P55" s="367"/>
      <c r="Q55" s="367"/>
      <c r="R55" s="110">
        <v>152</v>
      </c>
      <c r="S55" s="160">
        <v>259</v>
      </c>
      <c r="T55" s="57">
        <f t="shared" si="6"/>
        <v>107</v>
      </c>
      <c r="U55" s="122">
        <f t="shared" si="7"/>
        <v>0.70394736842105265</v>
      </c>
      <c r="V55" s="122">
        <f t="shared" si="8"/>
        <v>0.70394736842105265</v>
      </c>
    </row>
    <row r="56" spans="2:22" ht="14.4" thickBot="1" x14ac:dyDescent="0.3">
      <c r="B56" s="80" t="s">
        <v>50</v>
      </c>
      <c r="C56" s="108"/>
      <c r="D56" s="110">
        <f>SUM(D53:D55)</f>
        <v>152</v>
      </c>
      <c r="E56" s="111"/>
      <c r="F56" s="267">
        <f>+D56/D58</f>
        <v>0.27486437613019893</v>
      </c>
      <c r="G56" s="112">
        <f>SUM(G53:G55)</f>
        <v>1</v>
      </c>
      <c r="H56" s="110">
        <f>SUM(H53:H55)</f>
        <v>259</v>
      </c>
      <c r="I56" s="111"/>
      <c r="J56" s="267">
        <f>+H56/H58</f>
        <v>0.3607242339832869</v>
      </c>
      <c r="K56" s="112">
        <f>SUM(K53:K55)</f>
        <v>1</v>
      </c>
      <c r="O56" s="368"/>
      <c r="P56" s="368"/>
      <c r="Q56" s="368"/>
      <c r="R56" s="161"/>
      <c r="S56" s="162"/>
      <c r="T56" s="57">
        <f t="shared" si="6"/>
        <v>0</v>
      </c>
      <c r="U56" s="122"/>
      <c r="V56" s="122"/>
    </row>
    <row r="57" spans="2:22" x14ac:dyDescent="0.25">
      <c r="B57" s="45"/>
      <c r="C57" s="1"/>
      <c r="D57" s="113"/>
      <c r="E57" s="114"/>
      <c r="F57" s="114"/>
      <c r="G57" s="114"/>
      <c r="H57" s="113"/>
      <c r="I57" s="114"/>
      <c r="J57" s="114"/>
      <c r="K57" s="114"/>
      <c r="O57" s="372" t="s">
        <v>51</v>
      </c>
      <c r="P57" s="372"/>
      <c r="Q57" s="372"/>
      <c r="R57" s="163">
        <v>553</v>
      </c>
      <c r="S57" s="164">
        <v>718</v>
      </c>
      <c r="T57" s="57">
        <f>+S57-R57</f>
        <v>165</v>
      </c>
      <c r="U57" s="122">
        <f t="shared" si="7"/>
        <v>0.29837251356238698</v>
      </c>
      <c r="V57" s="122">
        <f t="shared" si="8"/>
        <v>0.29837251356238698</v>
      </c>
    </row>
    <row r="58" spans="2:22" ht="14.4" thickBot="1" x14ac:dyDescent="0.3">
      <c r="B58" s="109" t="s">
        <v>51</v>
      </c>
      <c r="C58" s="74"/>
      <c r="D58" s="116">
        <f>+D50+D56</f>
        <v>553</v>
      </c>
      <c r="E58" s="115">
        <f>SUM(E43:E55)</f>
        <v>1</v>
      </c>
      <c r="F58" s="117">
        <f>SUM(F50:F56)</f>
        <v>1</v>
      </c>
      <c r="G58" s="118"/>
      <c r="H58" s="116">
        <f>+H50+H56</f>
        <v>718</v>
      </c>
      <c r="I58" s="115">
        <f>SUM(I42:I55)</f>
        <v>1</v>
      </c>
      <c r="J58" s="117">
        <f>SUM(J50:J56)</f>
        <v>1</v>
      </c>
      <c r="K58" s="118"/>
    </row>
    <row r="59" spans="2:22" ht="14.4" thickTop="1" x14ac:dyDescent="0.25"/>
    <row r="61" spans="2:22" x14ac:dyDescent="0.25">
      <c r="C61" s="381" t="s">
        <v>326</v>
      </c>
      <c r="D61" s="381"/>
      <c r="E61" s="381"/>
      <c r="F61" s="381"/>
      <c r="G61" s="381"/>
      <c r="H61" s="381"/>
      <c r="I61" s="381"/>
    </row>
    <row r="63" spans="2:22" x14ac:dyDescent="0.25">
      <c r="B63" s="547" t="s">
        <v>327</v>
      </c>
      <c r="C63" s="548" t="s">
        <v>328</v>
      </c>
      <c r="D63" s="548"/>
      <c r="E63" s="3" t="s">
        <v>329</v>
      </c>
      <c r="F63" s="549" t="s">
        <v>330</v>
      </c>
      <c r="G63" s="549"/>
      <c r="H63" s="549"/>
      <c r="I63" s="549"/>
    </row>
  </sheetData>
  <mergeCells count="71">
    <mergeCell ref="C61:I61"/>
    <mergeCell ref="C63:D63"/>
    <mergeCell ref="F63:I63"/>
    <mergeCell ref="E27:E28"/>
    <mergeCell ref="G27:G28"/>
    <mergeCell ref="I27:I28"/>
    <mergeCell ref="K27:K28"/>
    <mergeCell ref="G40:G41"/>
    <mergeCell ref="K40:K41"/>
    <mergeCell ref="J2:P2"/>
    <mergeCell ref="J3:P3"/>
    <mergeCell ref="J4:P4"/>
    <mergeCell ref="B2:H2"/>
    <mergeCell ref="B4:H4"/>
    <mergeCell ref="E6:F6"/>
    <mergeCell ref="C6:D6"/>
    <mergeCell ref="B3:H3"/>
    <mergeCell ref="D21:K21"/>
    <mergeCell ref="D22:K22"/>
    <mergeCell ref="J6:M6"/>
    <mergeCell ref="J12:M12"/>
    <mergeCell ref="J13:M13"/>
    <mergeCell ref="J14:M14"/>
    <mergeCell ref="J15:M15"/>
    <mergeCell ref="J16:M16"/>
    <mergeCell ref="J7:M7"/>
    <mergeCell ref="J8:M8"/>
    <mergeCell ref="J9:M9"/>
    <mergeCell ref="J10:M10"/>
    <mergeCell ref="J11:M11"/>
    <mergeCell ref="D24:K24"/>
    <mergeCell ref="D26:G26"/>
    <mergeCell ref="H26:K26"/>
    <mergeCell ref="D23:K23"/>
    <mergeCell ref="J17:M17"/>
    <mergeCell ref="J18:M18"/>
    <mergeCell ref="M21:N22"/>
    <mergeCell ref="O27:Q27"/>
    <mergeCell ref="O28:Q28"/>
    <mergeCell ref="O29:Q29"/>
    <mergeCell ref="O30:Q30"/>
    <mergeCell ref="O21:V21"/>
    <mergeCell ref="O22:V22"/>
    <mergeCell ref="O23:V23"/>
    <mergeCell ref="O24:V24"/>
    <mergeCell ref="O31:Q31"/>
    <mergeCell ref="O32:Q32"/>
    <mergeCell ref="O33:Q33"/>
    <mergeCell ref="O34:Q34"/>
    <mergeCell ref="O35:Q35"/>
    <mergeCell ref="O36:Q36"/>
    <mergeCell ref="O37:Q37"/>
    <mergeCell ref="O39:Q39"/>
    <mergeCell ref="O40:Q40"/>
    <mergeCell ref="O41:Q41"/>
    <mergeCell ref="O57:Q57"/>
    <mergeCell ref="O47:Q47"/>
    <mergeCell ref="O48:Q48"/>
    <mergeCell ref="O51:Q51"/>
    <mergeCell ref="O52:Q52"/>
    <mergeCell ref="O53:Q53"/>
    <mergeCell ref="D40:E41"/>
    <mergeCell ref="H40:I41"/>
    <mergeCell ref="O54:Q54"/>
    <mergeCell ref="O55:Q55"/>
    <mergeCell ref="O56:Q56"/>
    <mergeCell ref="O42:Q42"/>
    <mergeCell ref="O43:Q43"/>
    <mergeCell ref="O44:Q44"/>
    <mergeCell ref="O45:Q45"/>
    <mergeCell ref="O46:Q46"/>
  </mergeCells>
  <pageMargins left="0.7" right="0.7" top="0.75" bottom="0.75" header="0.3" footer="0.3"/>
  <pageSetup paperSize="3"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6FCD0-5A7E-4507-976D-C6C89B94222E}">
  <sheetPr>
    <tabColor rgb="FFCCFF99"/>
  </sheetPr>
  <dimension ref="A1:V152"/>
  <sheetViews>
    <sheetView zoomScale="110" zoomScaleNormal="110" workbookViewId="0">
      <selection activeCell="P109" sqref="P109"/>
    </sheetView>
  </sheetViews>
  <sheetFormatPr baseColWidth="10" defaultColWidth="9.109375" defaultRowHeight="13.8" x14ac:dyDescent="0.25"/>
  <cols>
    <col min="1" max="1" width="9.109375" style="2"/>
    <col min="2" max="2" width="37.88671875" style="2" customWidth="1"/>
    <col min="3" max="3" width="9.88671875" style="2" bestFit="1" customWidth="1"/>
    <col min="4" max="4" width="10.33203125" style="2" bestFit="1" customWidth="1"/>
    <col min="5" max="5" width="10.6640625" style="2" customWidth="1"/>
    <col min="6" max="6" width="9.109375" style="2" bestFit="1"/>
    <col min="7" max="8" width="10.33203125" style="2" bestFit="1" customWidth="1"/>
    <col min="9" max="10" width="9.109375" style="2" bestFit="1"/>
    <col min="11" max="11" width="9.5546875" style="2" bestFit="1" customWidth="1"/>
    <col min="12" max="13" width="9.109375" style="2"/>
    <col min="14" max="14" width="11.33203125" style="2" customWidth="1"/>
    <col min="15" max="15" width="15.109375" style="2" customWidth="1"/>
    <col min="16" max="16" width="11.88671875" style="2" customWidth="1"/>
    <col min="17" max="17" width="12" style="2" customWidth="1"/>
    <col min="18" max="18" width="13.33203125" style="2" customWidth="1"/>
    <col min="19" max="19" width="13" style="2" customWidth="1"/>
    <col min="20" max="20" width="11.33203125" style="2" customWidth="1"/>
    <col min="21" max="21" width="13.109375" style="2" customWidth="1"/>
    <col min="22" max="16384" width="9.109375" style="2"/>
  </cols>
  <sheetData>
    <row r="1" spans="1:18" ht="17.399999999999999" x14ac:dyDescent="0.3">
      <c r="B1" s="48" t="s">
        <v>0</v>
      </c>
      <c r="J1" s="48" t="s">
        <v>52</v>
      </c>
    </row>
    <row r="2" spans="1:18" x14ac:dyDescent="0.25">
      <c r="B2" s="381" t="s">
        <v>8</v>
      </c>
      <c r="C2" s="381"/>
      <c r="D2" s="381"/>
      <c r="E2" s="381"/>
      <c r="F2" s="381"/>
      <c r="G2" s="381"/>
      <c r="H2" s="381"/>
      <c r="J2" s="381" t="s">
        <v>8</v>
      </c>
      <c r="K2" s="381"/>
      <c r="L2" s="381"/>
      <c r="M2" s="381"/>
      <c r="N2" s="381"/>
      <c r="O2" s="381"/>
      <c r="P2" s="381"/>
    </row>
    <row r="3" spans="1:18" x14ac:dyDescent="0.25">
      <c r="B3" s="381" t="s">
        <v>9</v>
      </c>
      <c r="C3" s="381"/>
      <c r="D3" s="381"/>
      <c r="E3" s="381"/>
      <c r="F3" s="381"/>
      <c r="G3" s="381"/>
      <c r="H3" s="381"/>
      <c r="J3" s="381" t="s">
        <v>9</v>
      </c>
      <c r="K3" s="381"/>
      <c r="L3" s="381"/>
      <c r="M3" s="381"/>
      <c r="N3" s="381"/>
      <c r="O3" s="381"/>
      <c r="P3" s="381"/>
    </row>
    <row r="4" spans="1:18" x14ac:dyDescent="0.25">
      <c r="B4" s="381" t="s">
        <v>7</v>
      </c>
      <c r="C4" s="381"/>
      <c r="D4" s="381"/>
      <c r="E4" s="381"/>
      <c r="F4" s="381"/>
      <c r="G4" s="381"/>
      <c r="H4" s="381"/>
      <c r="J4" s="381" t="s">
        <v>7</v>
      </c>
      <c r="K4" s="381"/>
      <c r="L4" s="381"/>
      <c r="M4" s="381"/>
      <c r="N4" s="381"/>
      <c r="O4" s="381"/>
      <c r="P4" s="381"/>
    </row>
    <row r="5" spans="1:18" x14ac:dyDescent="0.25">
      <c r="A5" s="252">
        <f>+C7*D10</f>
        <v>150</v>
      </c>
      <c r="B5" s="3"/>
      <c r="C5" s="3"/>
      <c r="D5" s="3"/>
      <c r="E5" s="3"/>
      <c r="F5" s="3"/>
      <c r="G5" s="3"/>
      <c r="H5" s="3"/>
      <c r="P5" s="53" t="s">
        <v>20</v>
      </c>
      <c r="Q5" s="53" t="s">
        <v>20</v>
      </c>
      <c r="R5" s="1"/>
    </row>
    <row r="6" spans="1:18" x14ac:dyDescent="0.25">
      <c r="B6" s="89"/>
      <c r="C6" s="388" t="s">
        <v>1</v>
      </c>
      <c r="D6" s="383"/>
      <c r="E6" s="388" t="s">
        <v>2</v>
      </c>
      <c r="F6" s="383"/>
      <c r="G6" s="53" t="s">
        <v>20</v>
      </c>
      <c r="J6" s="389"/>
      <c r="K6" s="390"/>
      <c r="L6" s="390"/>
      <c r="M6" s="390"/>
      <c r="N6" s="137" t="s">
        <v>53</v>
      </c>
      <c r="O6" s="138" t="s">
        <v>57</v>
      </c>
      <c r="P6" s="135" t="s">
        <v>54</v>
      </c>
      <c r="Q6" s="53" t="s">
        <v>55</v>
      </c>
      <c r="R6" s="53" t="s">
        <v>56</v>
      </c>
    </row>
    <row r="7" spans="1:18" ht="14.4" thickBot="1" x14ac:dyDescent="0.3">
      <c r="B7" s="125" t="s">
        <v>4</v>
      </c>
      <c r="C7" s="4">
        <v>1550</v>
      </c>
      <c r="D7" s="5">
        <f>+D8+D9</f>
        <v>1</v>
      </c>
      <c r="E7" s="4">
        <v>2000</v>
      </c>
      <c r="F7" s="5">
        <f>+F8+F9</f>
        <v>1</v>
      </c>
      <c r="G7" s="6"/>
      <c r="H7" s="6"/>
      <c r="I7" s="7"/>
      <c r="J7" s="393" t="s">
        <v>4</v>
      </c>
      <c r="K7" s="377"/>
      <c r="L7" s="377"/>
      <c r="M7" s="377"/>
      <c r="N7" s="4">
        <v>1550</v>
      </c>
      <c r="O7" s="139">
        <v>2000</v>
      </c>
      <c r="P7" s="124">
        <f>+O7-N7</f>
        <v>450</v>
      </c>
      <c r="Q7" s="289">
        <f>+P7/N7</f>
        <v>0.29032258064516131</v>
      </c>
      <c r="R7" s="290">
        <f>+(O7-N7)/N7</f>
        <v>0.29032258064516131</v>
      </c>
    </row>
    <row r="8" spans="1:18" ht="14.4" thickBot="1" x14ac:dyDescent="0.3">
      <c r="B8" s="254" t="s">
        <v>6</v>
      </c>
      <c r="C8" s="255">
        <v>1030</v>
      </c>
      <c r="D8" s="256">
        <f>+C8/C7</f>
        <v>0.6645161290322581</v>
      </c>
      <c r="E8" s="255">
        <v>1200</v>
      </c>
      <c r="F8" s="257">
        <f>+E8/E7</f>
        <v>0.6</v>
      </c>
      <c r="G8" s="258">
        <f>+F8-D8</f>
        <v>-6.4516129032258118E-2</v>
      </c>
      <c r="H8" s="11"/>
      <c r="I8" s="10"/>
      <c r="J8" s="384" t="s">
        <v>6</v>
      </c>
      <c r="K8" s="366"/>
      <c r="L8" s="366"/>
      <c r="M8" s="366"/>
      <c r="N8" s="8">
        <v>1030</v>
      </c>
      <c r="O8" s="140">
        <v>1200</v>
      </c>
      <c r="P8" s="121">
        <f>+O8-N8</f>
        <v>170</v>
      </c>
      <c r="Q8" s="291">
        <f>+P8/N8</f>
        <v>0.1650485436893204</v>
      </c>
      <c r="R8" s="292">
        <f>+(O8-N8)/N8</f>
        <v>0.1650485436893204</v>
      </c>
    </row>
    <row r="9" spans="1:18" x14ac:dyDescent="0.25">
      <c r="B9" s="128" t="s">
        <v>10</v>
      </c>
      <c r="C9" s="4">
        <f>+C7-C8</f>
        <v>520</v>
      </c>
      <c r="D9" s="246">
        <f>+C9/C7</f>
        <v>0.33548387096774196</v>
      </c>
      <c r="E9" s="4">
        <f>+E7-E8</f>
        <v>800</v>
      </c>
      <c r="F9" s="247">
        <f>+E9/E7</f>
        <v>0.4</v>
      </c>
      <c r="G9" s="51"/>
      <c r="H9" s="11"/>
      <c r="I9" s="13"/>
      <c r="J9" s="391" t="s">
        <v>10</v>
      </c>
      <c r="K9" s="392"/>
      <c r="L9" s="392"/>
      <c r="M9" s="392"/>
      <c r="N9" s="43">
        <f>+N7-N8</f>
        <v>520</v>
      </c>
      <c r="O9" s="141">
        <f>+O7-O8</f>
        <v>800</v>
      </c>
      <c r="P9" s="124">
        <f>+O9-N9</f>
        <v>280</v>
      </c>
      <c r="Q9" s="136">
        <f>+P9/N9</f>
        <v>0.53846153846153844</v>
      </c>
      <c r="R9" s="123">
        <f t="shared" ref="R9:R18" si="0">+(O9-N9)/N9</f>
        <v>0.53846153846153844</v>
      </c>
    </row>
    <row r="10" spans="1:18" x14ac:dyDescent="0.25">
      <c r="B10" s="126" t="s">
        <v>11</v>
      </c>
      <c r="C10" s="253">
        <v>150</v>
      </c>
      <c r="D10" s="12">
        <f>+C10/C7</f>
        <v>9.6774193548387094E-2</v>
      </c>
      <c r="E10" s="8">
        <v>165</v>
      </c>
      <c r="F10" s="127">
        <f>+E10/E7</f>
        <v>8.2500000000000004E-2</v>
      </c>
      <c r="G10" s="51"/>
      <c r="H10" s="11"/>
      <c r="I10" s="10"/>
      <c r="J10" s="384" t="s">
        <v>11</v>
      </c>
      <c r="K10" s="366"/>
      <c r="L10" s="366"/>
      <c r="M10" s="366"/>
      <c r="N10" s="8">
        <v>150</v>
      </c>
      <c r="O10" s="140">
        <v>165</v>
      </c>
      <c r="P10" s="121">
        <f t="shared" ref="P10:P18" si="1">+O10-N10</f>
        <v>15</v>
      </c>
      <c r="Q10" s="11">
        <f>+P10/N10</f>
        <v>0.1</v>
      </c>
      <c r="R10" s="122">
        <f t="shared" si="0"/>
        <v>0.1</v>
      </c>
    </row>
    <row r="11" spans="1:18" x14ac:dyDescent="0.25">
      <c r="B11" s="126" t="s">
        <v>12</v>
      </c>
      <c r="C11" s="8">
        <v>270</v>
      </c>
      <c r="D11" s="12">
        <f>+C11/C7</f>
        <v>0.17419354838709677</v>
      </c>
      <c r="E11" s="8">
        <v>285</v>
      </c>
      <c r="F11" s="127">
        <f>+E11/E7</f>
        <v>0.14249999999999999</v>
      </c>
      <c r="G11" s="51"/>
      <c r="H11" s="11"/>
      <c r="I11" s="10"/>
      <c r="J11" s="384" t="s">
        <v>12</v>
      </c>
      <c r="K11" s="366"/>
      <c r="L11" s="366"/>
      <c r="M11" s="366"/>
      <c r="N11" s="8">
        <v>270</v>
      </c>
      <c r="O11" s="140">
        <v>285</v>
      </c>
      <c r="P11" s="121">
        <f t="shared" si="1"/>
        <v>15</v>
      </c>
      <c r="Q11" s="11">
        <f>+P11/N11</f>
        <v>5.5555555555555552E-2</v>
      </c>
      <c r="R11" s="122">
        <f t="shared" si="0"/>
        <v>5.5555555555555552E-2</v>
      </c>
    </row>
    <row r="12" spans="1:18" x14ac:dyDescent="0.25">
      <c r="B12" s="126" t="s">
        <v>13</v>
      </c>
      <c r="C12" s="8">
        <v>16</v>
      </c>
      <c r="D12" s="12">
        <f>+C12/C7</f>
        <v>1.032258064516129E-2</v>
      </c>
      <c r="E12" s="8">
        <v>20</v>
      </c>
      <c r="F12" s="127">
        <f>+E12/E7</f>
        <v>0.01</v>
      </c>
      <c r="G12" s="51"/>
      <c r="H12" s="11"/>
      <c r="I12" s="10"/>
      <c r="J12" s="384" t="s">
        <v>13</v>
      </c>
      <c r="K12" s="366"/>
      <c r="L12" s="366"/>
      <c r="M12" s="366"/>
      <c r="N12" s="8">
        <v>16</v>
      </c>
      <c r="O12" s="140">
        <v>20</v>
      </c>
      <c r="P12" s="121">
        <f t="shared" si="1"/>
        <v>4</v>
      </c>
      <c r="Q12" s="11">
        <f t="shared" ref="Q12:Q18" si="2">+P12/N12</f>
        <v>0.25</v>
      </c>
      <c r="R12" s="122">
        <f t="shared" si="0"/>
        <v>0.25</v>
      </c>
    </row>
    <row r="13" spans="1:18" x14ac:dyDescent="0.25">
      <c r="B13" s="130" t="s">
        <v>14</v>
      </c>
      <c r="C13" s="42">
        <f>+C10+C11+C12</f>
        <v>436</v>
      </c>
      <c r="D13" s="14">
        <f>+C13/C7</f>
        <v>0.28129032258064518</v>
      </c>
      <c r="E13" s="46">
        <f>+E10+E11+E12</f>
        <v>470</v>
      </c>
      <c r="F13" s="131">
        <f>+E13/E7</f>
        <v>0.23499999999999999</v>
      </c>
      <c r="G13" s="51">
        <f>+F13-D13</f>
        <v>-4.6290322580645193E-2</v>
      </c>
      <c r="H13" s="11"/>
      <c r="I13" s="13"/>
      <c r="J13" s="391" t="s">
        <v>14</v>
      </c>
      <c r="K13" s="392"/>
      <c r="L13" s="392"/>
      <c r="M13" s="392"/>
      <c r="N13" s="42">
        <f>+N10+N11+N12</f>
        <v>436</v>
      </c>
      <c r="O13" s="142">
        <f>+O10+O11+O12</f>
        <v>470</v>
      </c>
      <c r="P13" s="124">
        <f t="shared" si="1"/>
        <v>34</v>
      </c>
      <c r="Q13" s="136">
        <f t="shared" si="2"/>
        <v>7.7981651376146793E-2</v>
      </c>
      <c r="R13" s="123">
        <f t="shared" si="0"/>
        <v>7.7981651376146793E-2</v>
      </c>
    </row>
    <row r="14" spans="1:18" x14ac:dyDescent="0.25">
      <c r="B14" s="126" t="s">
        <v>15</v>
      </c>
      <c r="C14" s="8">
        <f>+C9-C13</f>
        <v>84</v>
      </c>
      <c r="D14" s="12">
        <f>+C14/C7</f>
        <v>5.4193548387096772E-2</v>
      </c>
      <c r="E14" s="8">
        <f>+E9-E13</f>
        <v>330</v>
      </c>
      <c r="F14" s="127">
        <f>+E14/E7</f>
        <v>0.16500000000000001</v>
      </c>
      <c r="G14" s="51"/>
      <c r="H14" s="11"/>
      <c r="I14" s="10"/>
      <c r="J14" s="384" t="s">
        <v>15</v>
      </c>
      <c r="K14" s="366"/>
      <c r="L14" s="366"/>
      <c r="M14" s="366"/>
      <c r="N14" s="8">
        <f>+N9-N13</f>
        <v>84</v>
      </c>
      <c r="O14" s="140">
        <f>+O9-O13</f>
        <v>330</v>
      </c>
      <c r="P14" s="121">
        <f t="shared" si="1"/>
        <v>246</v>
      </c>
      <c r="Q14" s="11">
        <f t="shared" si="2"/>
        <v>2.9285714285714284</v>
      </c>
      <c r="R14" s="122">
        <f t="shared" si="0"/>
        <v>2.9285714285714284</v>
      </c>
    </row>
    <row r="15" spans="1:18" x14ac:dyDescent="0.25">
      <c r="B15" s="126" t="s">
        <v>16</v>
      </c>
      <c r="C15" s="8">
        <v>29</v>
      </c>
      <c r="D15" s="12">
        <f>+C15/C7</f>
        <v>1.870967741935484E-2</v>
      </c>
      <c r="E15" s="8">
        <v>59</v>
      </c>
      <c r="F15" s="127">
        <f>+E15/E7</f>
        <v>2.9499999999999998E-2</v>
      </c>
      <c r="G15" s="51"/>
      <c r="H15" s="11"/>
      <c r="I15" s="13"/>
      <c r="J15" s="384" t="s">
        <v>16</v>
      </c>
      <c r="K15" s="366"/>
      <c r="L15" s="366"/>
      <c r="M15" s="366"/>
      <c r="N15" s="8">
        <v>29</v>
      </c>
      <c r="O15" s="140">
        <v>59</v>
      </c>
      <c r="P15" s="121">
        <f t="shared" si="1"/>
        <v>30</v>
      </c>
      <c r="Q15" s="11">
        <f t="shared" si="2"/>
        <v>1.0344827586206897</v>
      </c>
      <c r="R15" s="122">
        <f t="shared" si="0"/>
        <v>1.0344827586206897</v>
      </c>
    </row>
    <row r="16" spans="1:18" x14ac:dyDescent="0.25">
      <c r="B16" s="130" t="s">
        <v>17</v>
      </c>
      <c r="C16" s="43">
        <f>+C14-C15</f>
        <v>55</v>
      </c>
      <c r="D16" s="15">
        <f>+C16/C7</f>
        <v>3.5483870967741936E-2</v>
      </c>
      <c r="E16" s="47">
        <f>+E14-E15</f>
        <v>271</v>
      </c>
      <c r="F16" s="129">
        <f>+E16/E7</f>
        <v>0.13550000000000001</v>
      </c>
      <c r="G16" s="52">
        <f>+F16-D16</f>
        <v>0.10001612903225807</v>
      </c>
      <c r="H16" s="11"/>
      <c r="I16" s="10"/>
      <c r="J16" s="391" t="s">
        <v>17</v>
      </c>
      <c r="K16" s="392"/>
      <c r="L16" s="392"/>
      <c r="M16" s="392"/>
      <c r="N16" s="43">
        <f>+N14-N15</f>
        <v>55</v>
      </c>
      <c r="O16" s="143">
        <f>+O14-O15</f>
        <v>271</v>
      </c>
      <c r="P16" s="124">
        <f t="shared" si="1"/>
        <v>216</v>
      </c>
      <c r="Q16" s="136">
        <f t="shared" si="2"/>
        <v>3.9272727272727272</v>
      </c>
      <c r="R16" s="123">
        <f t="shared" si="0"/>
        <v>3.9272727272727272</v>
      </c>
    </row>
    <row r="17" spans="2:22" x14ac:dyDescent="0.25">
      <c r="B17" s="126" t="s">
        <v>18</v>
      </c>
      <c r="C17" s="8">
        <f>+C16*21.8%</f>
        <v>11.99</v>
      </c>
      <c r="D17" s="9">
        <f>+C17/C7</f>
        <v>7.735483870967742E-3</v>
      </c>
      <c r="E17" s="8">
        <f>+E16*21.8%</f>
        <v>59.078000000000003</v>
      </c>
      <c r="F17" s="132">
        <f>+E17/E7</f>
        <v>2.9539000000000003E-2</v>
      </c>
      <c r="G17" s="52">
        <f>+F17-D17</f>
        <v>2.1803516129032259E-2</v>
      </c>
      <c r="H17" s="11"/>
      <c r="I17" s="13"/>
      <c r="J17" s="384" t="s">
        <v>18</v>
      </c>
      <c r="K17" s="366"/>
      <c r="L17" s="366"/>
      <c r="M17" s="366"/>
      <c r="N17" s="8">
        <f>+N16*21.8%</f>
        <v>11.99</v>
      </c>
      <c r="O17" s="140">
        <f>+O16*21.8%</f>
        <v>59.078000000000003</v>
      </c>
      <c r="P17" s="121">
        <f t="shared" si="1"/>
        <v>47.088000000000001</v>
      </c>
      <c r="Q17" s="11">
        <f t="shared" si="2"/>
        <v>3.9272727272727272</v>
      </c>
      <c r="R17" s="122">
        <f t="shared" si="0"/>
        <v>3.9272727272727272</v>
      </c>
    </row>
    <row r="18" spans="2:22" x14ac:dyDescent="0.25">
      <c r="B18" s="133" t="s">
        <v>19</v>
      </c>
      <c r="C18" s="42">
        <f>+C16-C17</f>
        <v>43.01</v>
      </c>
      <c r="D18" s="9">
        <f>+C18/C7</f>
        <v>2.7748387096774192E-2</v>
      </c>
      <c r="E18" s="46">
        <f>+E16-E17</f>
        <v>211.922</v>
      </c>
      <c r="F18" s="134">
        <f>+E18/E7</f>
        <v>0.105961</v>
      </c>
      <c r="G18" s="52">
        <f t="shared" ref="G18" si="3">+F18-D18</f>
        <v>7.8212612903225814E-2</v>
      </c>
      <c r="H18" s="16"/>
      <c r="J18" s="385" t="s">
        <v>19</v>
      </c>
      <c r="K18" s="386"/>
      <c r="L18" s="386"/>
      <c r="M18" s="386"/>
      <c r="N18" s="42">
        <f>+N16-N17</f>
        <v>43.01</v>
      </c>
      <c r="O18" s="142">
        <f>+O16-O17</f>
        <v>211.922</v>
      </c>
      <c r="P18" s="124">
        <f t="shared" si="1"/>
        <v>168.91200000000001</v>
      </c>
      <c r="Q18" s="136">
        <f t="shared" si="2"/>
        <v>3.9272727272727277</v>
      </c>
      <c r="R18" s="123">
        <f t="shared" si="0"/>
        <v>3.9272727272727277</v>
      </c>
    </row>
    <row r="19" spans="2:22" x14ac:dyDescent="0.25">
      <c r="D19" s="16"/>
      <c r="F19" s="16"/>
      <c r="G19" s="50"/>
    </row>
    <row r="21" spans="2:22" ht="20.399999999999999" x14ac:dyDescent="0.35">
      <c r="B21" s="49" t="s">
        <v>3</v>
      </c>
      <c r="D21" s="381" t="s">
        <v>21</v>
      </c>
      <c r="E21" s="381"/>
      <c r="F21" s="381"/>
      <c r="G21" s="381"/>
      <c r="H21" s="381"/>
      <c r="I21" s="381"/>
      <c r="J21" s="381"/>
      <c r="K21" s="381"/>
      <c r="M21" s="387" t="s">
        <v>52</v>
      </c>
      <c r="N21" s="387"/>
      <c r="O21" s="381" t="s">
        <v>21</v>
      </c>
      <c r="P21" s="381"/>
      <c r="Q21" s="381"/>
      <c r="R21" s="381"/>
      <c r="S21" s="381"/>
      <c r="T21" s="381"/>
      <c r="U21" s="381"/>
      <c r="V21" s="381"/>
    </row>
    <row r="22" spans="2:22" x14ac:dyDescent="0.25">
      <c r="D22" s="381" t="s">
        <v>22</v>
      </c>
      <c r="E22" s="381"/>
      <c r="F22" s="381"/>
      <c r="G22" s="381"/>
      <c r="H22" s="381"/>
      <c r="I22" s="381"/>
      <c r="J22" s="381"/>
      <c r="K22" s="381"/>
      <c r="M22" s="387"/>
      <c r="N22" s="387"/>
      <c r="O22" s="381" t="s">
        <v>22</v>
      </c>
      <c r="P22" s="381"/>
      <c r="Q22" s="381"/>
      <c r="R22" s="381"/>
      <c r="S22" s="381"/>
      <c r="T22" s="381"/>
      <c r="U22" s="381"/>
      <c r="V22" s="381"/>
    </row>
    <row r="23" spans="2:22" x14ac:dyDescent="0.25">
      <c r="D23" s="381" t="s">
        <v>23</v>
      </c>
      <c r="E23" s="381"/>
      <c r="F23" s="381"/>
      <c r="G23" s="381"/>
      <c r="H23" s="381"/>
      <c r="I23" s="381"/>
      <c r="J23" s="381"/>
      <c r="K23" s="381"/>
      <c r="O23" s="381" t="s">
        <v>23</v>
      </c>
      <c r="P23" s="381"/>
      <c r="Q23" s="381"/>
      <c r="R23" s="381"/>
      <c r="S23" s="381"/>
      <c r="T23" s="381"/>
      <c r="U23" s="381"/>
      <c r="V23" s="381"/>
    </row>
    <row r="24" spans="2:22" x14ac:dyDescent="0.25">
      <c r="D24" s="381" t="s">
        <v>7</v>
      </c>
      <c r="E24" s="381"/>
      <c r="F24" s="381"/>
      <c r="G24" s="381"/>
      <c r="H24" s="381"/>
      <c r="I24" s="381"/>
      <c r="J24" s="381"/>
      <c r="K24" s="381"/>
      <c r="O24" s="381" t="s">
        <v>7</v>
      </c>
      <c r="P24" s="381"/>
      <c r="Q24" s="381"/>
      <c r="R24" s="381"/>
      <c r="S24" s="381"/>
      <c r="T24" s="381"/>
      <c r="U24" s="381"/>
      <c r="V24" s="381"/>
    </row>
    <row r="25" spans="2:22" x14ac:dyDescent="0.25">
      <c r="D25" s="3"/>
      <c r="E25" s="3"/>
      <c r="F25" s="3"/>
      <c r="G25" s="3"/>
      <c r="H25" s="3"/>
      <c r="I25" s="3"/>
      <c r="J25" s="3"/>
      <c r="K25" s="3"/>
      <c r="T25" s="53" t="s">
        <v>20</v>
      </c>
      <c r="U25" s="53" t="s">
        <v>20</v>
      </c>
      <c r="V25" s="1"/>
    </row>
    <row r="26" spans="2:22" ht="15.6" x14ac:dyDescent="0.3">
      <c r="D26" s="382" t="s">
        <v>1</v>
      </c>
      <c r="E26" s="382"/>
      <c r="F26" s="382"/>
      <c r="G26" s="382"/>
      <c r="H26" s="383" t="s">
        <v>2</v>
      </c>
      <c r="I26" s="382"/>
      <c r="J26" s="382"/>
      <c r="K26" s="382"/>
      <c r="O26" s="70" t="s">
        <v>24</v>
      </c>
      <c r="P26" s="74"/>
      <c r="Q26" s="74"/>
      <c r="R26" s="144" t="s">
        <v>53</v>
      </c>
      <c r="S26" s="138" t="s">
        <v>57</v>
      </c>
      <c r="T26" s="135" t="s">
        <v>54</v>
      </c>
      <c r="U26" s="53" t="s">
        <v>55</v>
      </c>
      <c r="V26" s="53" t="s">
        <v>56</v>
      </c>
    </row>
    <row r="27" spans="2:22" ht="15.6" x14ac:dyDescent="0.3">
      <c r="B27" s="70" t="s">
        <v>24</v>
      </c>
      <c r="C27" s="74"/>
      <c r="D27" s="17"/>
      <c r="E27" s="248" t="s">
        <v>220</v>
      </c>
      <c r="F27" s="3"/>
      <c r="G27" s="18" t="s">
        <v>219</v>
      </c>
      <c r="H27" s="3"/>
      <c r="I27" s="248" t="s">
        <v>220</v>
      </c>
      <c r="J27" s="3"/>
      <c r="K27" s="18" t="s">
        <v>219</v>
      </c>
      <c r="O27" s="369" t="s">
        <v>25</v>
      </c>
      <c r="P27" s="369"/>
      <c r="Q27" s="369"/>
      <c r="R27" s="17"/>
      <c r="S27" s="20"/>
    </row>
    <row r="28" spans="2:22" ht="14.4" thickBot="1" x14ac:dyDescent="0.3">
      <c r="B28" s="2" t="s">
        <v>25</v>
      </c>
      <c r="D28" s="19"/>
      <c r="G28" s="20"/>
      <c r="K28" s="20"/>
      <c r="O28" s="369" t="s">
        <v>26</v>
      </c>
      <c r="P28" s="369"/>
      <c r="Q28" s="369"/>
      <c r="R28" s="21">
        <v>12</v>
      </c>
      <c r="S28" s="145">
        <v>39</v>
      </c>
      <c r="T28" s="57">
        <f>+S28-R28</f>
        <v>27</v>
      </c>
      <c r="U28" s="50">
        <f>+T28/R28</f>
        <v>2.25</v>
      </c>
      <c r="V28" s="50">
        <f>+(S28-R28)/R28</f>
        <v>2.25</v>
      </c>
    </row>
    <row r="29" spans="2:22" x14ac:dyDescent="0.25">
      <c r="B29" s="2" t="s">
        <v>26</v>
      </c>
      <c r="D29" s="21">
        <v>12</v>
      </c>
      <c r="E29" s="259">
        <f>+D29/D38</f>
        <v>2.1699819168173599E-2</v>
      </c>
      <c r="F29" s="23"/>
      <c r="G29" s="269">
        <f>+D29/D33</f>
        <v>2.8503562945368172E-2</v>
      </c>
      <c r="H29" s="56">
        <v>39</v>
      </c>
      <c r="I29" s="22">
        <f>+H29/H38</f>
        <v>5.4317548746518104E-2</v>
      </c>
      <c r="J29" s="23"/>
      <c r="K29" s="24">
        <f>+H29/H33</f>
        <v>6.8421052631578952E-2</v>
      </c>
      <c r="O29" s="369" t="s">
        <v>27</v>
      </c>
      <c r="P29" s="369"/>
      <c r="Q29" s="369"/>
      <c r="R29" s="21">
        <v>66</v>
      </c>
      <c r="S29" s="145">
        <v>92</v>
      </c>
      <c r="T29" s="57">
        <f t="shared" ref="T29:T31" si="4">+S29-R29</f>
        <v>26</v>
      </c>
      <c r="U29" s="50">
        <f t="shared" ref="U29:U32" si="5">+T29/R29</f>
        <v>0.39393939393939392</v>
      </c>
      <c r="V29" s="50">
        <f t="shared" ref="V29:V32" si="6">+(S29-R29)/R29</f>
        <v>0.39393939393939392</v>
      </c>
    </row>
    <row r="30" spans="2:22" x14ac:dyDescent="0.25">
      <c r="B30" s="2" t="s">
        <v>27</v>
      </c>
      <c r="D30" s="21">
        <v>66</v>
      </c>
      <c r="E30" s="259">
        <f>+D30/D38</f>
        <v>0.11934900542495479</v>
      </c>
      <c r="F30" s="23"/>
      <c r="G30" s="265">
        <f>+D30/D33</f>
        <v>0.15676959619952494</v>
      </c>
      <c r="H30" s="56">
        <v>92</v>
      </c>
      <c r="I30" s="22">
        <f>+H30/H38</f>
        <v>0.12813370473537605</v>
      </c>
      <c r="J30" s="23"/>
      <c r="K30" s="24">
        <f>+H30/H33</f>
        <v>0.16140350877192983</v>
      </c>
      <c r="O30" s="369" t="s">
        <v>28</v>
      </c>
      <c r="P30" s="369"/>
      <c r="Q30" s="369"/>
      <c r="R30" s="62">
        <v>152</v>
      </c>
      <c r="S30" s="146">
        <v>194</v>
      </c>
      <c r="T30" s="57">
        <f t="shared" si="4"/>
        <v>42</v>
      </c>
      <c r="U30" s="50">
        <f t="shared" si="5"/>
        <v>0.27631578947368424</v>
      </c>
      <c r="V30" s="50">
        <f t="shared" si="6"/>
        <v>0.27631578947368424</v>
      </c>
    </row>
    <row r="31" spans="2:22" x14ac:dyDescent="0.25">
      <c r="B31" s="2" t="s">
        <v>28</v>
      </c>
      <c r="D31" s="62">
        <v>152</v>
      </c>
      <c r="E31" s="260">
        <f>+D31/D38</f>
        <v>0.27486437613019893</v>
      </c>
      <c r="F31" s="59"/>
      <c r="G31" s="265">
        <f>+D31/D33</f>
        <v>0.36104513064133015</v>
      </c>
      <c r="H31" s="58">
        <v>194</v>
      </c>
      <c r="I31" s="33">
        <f>+H31/H38</f>
        <v>0.27019498607242337</v>
      </c>
      <c r="J31" s="59"/>
      <c r="K31" s="24">
        <f>+H31/H33</f>
        <v>0.34035087719298246</v>
      </c>
      <c r="M31" s="249"/>
      <c r="O31" s="369" t="s">
        <v>29</v>
      </c>
      <c r="P31" s="369"/>
      <c r="Q31" s="369"/>
      <c r="R31" s="63">
        <v>191</v>
      </c>
      <c r="S31" s="147">
        <v>245</v>
      </c>
      <c r="T31" s="250">
        <f t="shared" si="4"/>
        <v>54</v>
      </c>
      <c r="U31" s="251">
        <f t="shared" si="5"/>
        <v>0.28272251308900526</v>
      </c>
      <c r="V31" s="251">
        <f t="shared" si="6"/>
        <v>0.28272251308900526</v>
      </c>
    </row>
    <row r="32" spans="2:22" ht="14.4" thickBot="1" x14ac:dyDescent="0.3">
      <c r="B32" s="2" t="s">
        <v>29</v>
      </c>
      <c r="D32" s="63">
        <v>191</v>
      </c>
      <c r="E32" s="261">
        <f>+D32/D38</f>
        <v>0.34538878842676313</v>
      </c>
      <c r="F32" s="22"/>
      <c r="G32" s="265">
        <f>+D32/D33</f>
        <v>0.45368171021377673</v>
      </c>
      <c r="H32" s="60">
        <v>245</v>
      </c>
      <c r="I32" s="61">
        <f>+H32/H38</f>
        <v>0.34122562674094709</v>
      </c>
      <c r="J32" s="61"/>
      <c r="K32" s="64">
        <f>+H32/H33</f>
        <v>0.42982456140350878</v>
      </c>
      <c r="O32" s="379" t="s">
        <v>30</v>
      </c>
      <c r="P32" s="379"/>
      <c r="Q32" s="379"/>
      <c r="R32" s="82">
        <v>421</v>
      </c>
      <c r="S32" s="148">
        <v>570</v>
      </c>
      <c r="T32" s="165">
        <f>+S32-R32</f>
        <v>149</v>
      </c>
      <c r="U32" s="166">
        <f t="shared" si="5"/>
        <v>0.35391923990498814</v>
      </c>
      <c r="V32" s="166">
        <f t="shared" si="6"/>
        <v>0.35391923990498814</v>
      </c>
    </row>
    <row r="33" spans="2:22" ht="14.4" thickBot="1" x14ac:dyDescent="0.3">
      <c r="B33" s="81" t="s">
        <v>30</v>
      </c>
      <c r="C33" s="81"/>
      <c r="D33" s="82">
        <f>SUM(D29:D32)</f>
        <v>421</v>
      </c>
      <c r="E33" s="83"/>
      <c r="F33" s="268">
        <f>+D33/D38</f>
        <v>0.7613019891500904</v>
      </c>
      <c r="G33" s="270">
        <f>SUM(G29:G32)</f>
        <v>1</v>
      </c>
      <c r="H33" s="84">
        <f>SUM(H29:H32)</f>
        <v>570</v>
      </c>
      <c r="I33" s="83"/>
      <c r="J33" s="83">
        <f>+H33/H38</f>
        <v>0.79387186629526463</v>
      </c>
      <c r="K33" s="85">
        <f>SUM(K29:K32)</f>
        <v>1</v>
      </c>
      <c r="O33" s="369" t="s">
        <v>31</v>
      </c>
      <c r="P33" s="369"/>
      <c r="Q33" s="369"/>
      <c r="R33" s="26"/>
      <c r="S33" s="149"/>
      <c r="T33" s="57"/>
      <c r="U33" s="50"/>
      <c r="V33" s="122"/>
    </row>
    <row r="34" spans="2:22" ht="14.4" thickBot="1" x14ac:dyDescent="0.3">
      <c r="B34" s="2" t="s">
        <v>31</v>
      </c>
      <c r="D34" s="26"/>
      <c r="E34" s="27" t="s">
        <v>225</v>
      </c>
      <c r="F34" s="264"/>
      <c r="G34" s="24" t="s">
        <v>226</v>
      </c>
      <c r="H34" s="66"/>
      <c r="I34" s="27"/>
      <c r="J34" s="65"/>
      <c r="K34" s="28"/>
      <c r="O34" s="369" t="s">
        <v>231</v>
      </c>
      <c r="P34" s="369"/>
      <c r="Q34" s="369"/>
      <c r="R34" s="55">
        <v>195</v>
      </c>
      <c r="S34" s="150">
        <v>220</v>
      </c>
      <c r="T34" s="57">
        <f>+S34-R34</f>
        <v>25</v>
      </c>
      <c r="U34" s="50">
        <f>+T34/R34</f>
        <v>0.12820512820512819</v>
      </c>
      <c r="V34" s="50">
        <f>+(S34-R34)/R34</f>
        <v>0.12820512820512819</v>
      </c>
    </row>
    <row r="35" spans="2:22" x14ac:dyDescent="0.25">
      <c r="B35" s="2" t="s">
        <v>32</v>
      </c>
      <c r="D35" s="55">
        <v>195</v>
      </c>
      <c r="E35" s="262">
        <f>+D35/D38</f>
        <v>0.35262206148282099</v>
      </c>
      <c r="F35" s="265"/>
      <c r="G35" s="269">
        <f>+D35/D37</f>
        <v>1.4772727272727273</v>
      </c>
      <c r="H35" s="57">
        <v>220</v>
      </c>
      <c r="I35" s="22">
        <f>+H35/H38</f>
        <v>0.30640668523676878</v>
      </c>
      <c r="J35" s="22"/>
      <c r="K35" s="24">
        <f>+H35/H37</f>
        <v>1.4864864864864864</v>
      </c>
      <c r="O35" s="380" t="s">
        <v>33</v>
      </c>
      <c r="P35" s="380"/>
      <c r="Q35" s="380"/>
      <c r="R35" s="69">
        <v>-63</v>
      </c>
      <c r="S35" s="151">
        <v>-72</v>
      </c>
      <c r="T35" s="293">
        <f>+S35-R35</f>
        <v>-9</v>
      </c>
      <c r="U35" s="50">
        <f>+T35/R35</f>
        <v>0.14285714285714285</v>
      </c>
      <c r="V35" s="50">
        <f>+(S35-R35)/R35</f>
        <v>0.14285714285714285</v>
      </c>
    </row>
    <row r="36" spans="2:22" x14ac:dyDescent="0.25">
      <c r="B36" s="68" t="s">
        <v>33</v>
      </c>
      <c r="C36" s="68"/>
      <c r="D36" s="69">
        <v>-63</v>
      </c>
      <c r="E36" s="263">
        <f>+D36/D38</f>
        <v>-0.11392405063291139</v>
      </c>
      <c r="F36" s="266"/>
      <c r="G36" s="266">
        <f>+D36/D37</f>
        <v>-0.47727272727272729</v>
      </c>
      <c r="H36" s="73">
        <v>-72</v>
      </c>
      <c r="I36" s="61">
        <f>+H36/H38</f>
        <v>-0.10027855153203342</v>
      </c>
      <c r="J36" s="61"/>
      <c r="K36" s="64">
        <f>+H36/H37</f>
        <v>-0.48648648648648651</v>
      </c>
      <c r="O36" s="371" t="s">
        <v>34</v>
      </c>
      <c r="P36" s="371"/>
      <c r="Q36" s="371"/>
      <c r="R36" s="86">
        <v>132</v>
      </c>
      <c r="S36" s="152">
        <v>148</v>
      </c>
      <c r="T36" s="250">
        <f>+S36-R36</f>
        <v>16</v>
      </c>
      <c r="U36" s="251">
        <f>+T36/R36</f>
        <v>0.12121212121212122</v>
      </c>
      <c r="V36" s="251">
        <f>+(S36-R36)/R36</f>
        <v>0.12121212121212122</v>
      </c>
    </row>
    <row r="37" spans="2:22" ht="14.4" thickBot="1" x14ac:dyDescent="0.3">
      <c r="B37" s="1" t="s">
        <v>34</v>
      </c>
      <c r="C37" s="1"/>
      <c r="D37" s="86">
        <f>SUM(D35:D36)</f>
        <v>132</v>
      </c>
      <c r="E37" s="87"/>
      <c r="F37" s="267">
        <f>+D37/D38</f>
        <v>0.23869801084990958</v>
      </c>
      <c r="G37" s="272">
        <f>SUM(G35:G36)</f>
        <v>1</v>
      </c>
      <c r="H37" s="271">
        <f>SUM(H35:H36)</f>
        <v>148</v>
      </c>
      <c r="I37" s="87"/>
      <c r="J37" s="87">
        <f>+H37/H38</f>
        <v>0.20612813370473537</v>
      </c>
      <c r="K37" s="88">
        <f>SUM(K35:K36)</f>
        <v>0.99999999999999989</v>
      </c>
      <c r="O37" s="377" t="s">
        <v>35</v>
      </c>
      <c r="P37" s="377"/>
      <c r="Q37" s="377"/>
      <c r="R37" s="75">
        <v>553</v>
      </c>
      <c r="S37" s="153">
        <v>718</v>
      </c>
      <c r="T37" s="57">
        <f>+S37-R37</f>
        <v>165</v>
      </c>
      <c r="U37" s="50">
        <f>+T37/R37</f>
        <v>0.29837251356238698</v>
      </c>
      <c r="V37" s="50">
        <f>+(S37-R37)/R37</f>
        <v>0.29837251356238698</v>
      </c>
    </row>
    <row r="38" spans="2:22" x14ac:dyDescent="0.25">
      <c r="B38" s="44" t="s">
        <v>35</v>
      </c>
      <c r="C38" s="74"/>
      <c r="D38" s="75">
        <f>+D33+D37</f>
        <v>553</v>
      </c>
      <c r="E38" s="76">
        <f>SUM(E29:E36)</f>
        <v>1.0000000000000002</v>
      </c>
      <c r="F38" s="77">
        <f>SUM(F33:F37)</f>
        <v>1</v>
      </c>
      <c r="G38" s="78"/>
      <c r="H38" s="75">
        <f>+H33+H37</f>
        <v>718</v>
      </c>
      <c r="I38" s="76">
        <f>SUM(I29:I36)</f>
        <v>1</v>
      </c>
      <c r="J38" s="77"/>
      <c r="K38" s="78"/>
      <c r="R38" s="19"/>
      <c r="S38" s="154"/>
      <c r="T38" s="57"/>
      <c r="U38" s="50"/>
      <c r="V38" s="122"/>
    </row>
    <row r="39" spans="2:22" ht="15.6" x14ac:dyDescent="0.3">
      <c r="D39" s="19"/>
      <c r="E39" s="29"/>
      <c r="G39" s="20"/>
      <c r="H39" s="19"/>
      <c r="K39" s="20"/>
      <c r="O39" s="378" t="s">
        <v>36</v>
      </c>
      <c r="P39" s="378"/>
      <c r="Q39" s="378"/>
      <c r="R39" s="89"/>
      <c r="S39" s="91"/>
      <c r="T39" s="57"/>
      <c r="U39" s="50"/>
      <c r="V39" s="122"/>
    </row>
    <row r="40" spans="2:22" ht="15.6" customHeight="1" x14ac:dyDescent="0.3">
      <c r="B40" s="71" t="s">
        <v>227</v>
      </c>
      <c r="D40" s="362" t="s">
        <v>228</v>
      </c>
      <c r="E40" s="363"/>
      <c r="F40" s="90"/>
      <c r="G40" s="20" t="s">
        <v>221</v>
      </c>
      <c r="H40" s="362" t="s">
        <v>224</v>
      </c>
      <c r="I40" s="363"/>
      <c r="J40" s="90"/>
      <c r="K40" s="91" t="s">
        <v>221</v>
      </c>
      <c r="O40" s="369" t="s">
        <v>37</v>
      </c>
      <c r="P40" s="369"/>
      <c r="Q40" s="369"/>
      <c r="R40" s="19"/>
      <c r="S40" s="20"/>
      <c r="T40" s="57"/>
      <c r="U40" s="50"/>
      <c r="V40" s="122"/>
    </row>
    <row r="41" spans="2:22" x14ac:dyDescent="0.25">
      <c r="B41" s="2" t="s">
        <v>37</v>
      </c>
      <c r="D41" s="364"/>
      <c r="E41" s="365"/>
      <c r="H41" s="364"/>
      <c r="I41" s="365"/>
      <c r="K41" s="20"/>
      <c r="O41" s="369" t="s">
        <v>38</v>
      </c>
      <c r="P41" s="369"/>
      <c r="Q41" s="369"/>
      <c r="R41" s="21"/>
      <c r="S41" s="145"/>
      <c r="T41" s="57"/>
      <c r="U41" s="50"/>
      <c r="V41" s="122"/>
    </row>
    <row r="42" spans="2:22" ht="14.4" thickBot="1" x14ac:dyDescent="0.3">
      <c r="B42" s="2" t="s">
        <v>38</v>
      </c>
      <c r="D42" s="21"/>
      <c r="E42" s="22"/>
      <c r="F42" s="23"/>
      <c r="G42" s="24"/>
      <c r="H42" s="56"/>
      <c r="I42" s="22"/>
      <c r="J42" s="23"/>
      <c r="K42" s="24"/>
      <c r="O42" s="369" t="s">
        <v>39</v>
      </c>
      <c r="P42" s="369"/>
      <c r="Q42" s="369"/>
      <c r="R42" s="21">
        <v>136</v>
      </c>
      <c r="S42" s="145">
        <v>156</v>
      </c>
      <c r="T42" s="57">
        <f>+S42-R42</f>
        <v>20</v>
      </c>
      <c r="U42" s="50">
        <f>+T42/R42</f>
        <v>0.14705882352941177</v>
      </c>
      <c r="V42" s="50">
        <f>+(S42-R42)/R42</f>
        <v>0.14705882352941177</v>
      </c>
    </row>
    <row r="43" spans="2:22" x14ac:dyDescent="0.25">
      <c r="B43" s="284" t="s">
        <v>39</v>
      </c>
      <c r="D43" s="21">
        <v>136</v>
      </c>
      <c r="E43" s="274">
        <f>+D43/D58</f>
        <v>0.24593128390596744</v>
      </c>
      <c r="F43" s="273"/>
      <c r="G43" s="269">
        <f>+D43/D46</f>
        <v>0.37465564738292012</v>
      </c>
      <c r="H43" s="56">
        <v>156</v>
      </c>
      <c r="I43" s="22">
        <f>+H43/H58</f>
        <v>0.21727019498607242</v>
      </c>
      <c r="J43" s="23"/>
      <c r="K43" s="24">
        <f>+H43/H46</f>
        <v>0.37956204379562042</v>
      </c>
      <c r="O43" s="369" t="s">
        <v>40</v>
      </c>
      <c r="P43" s="369"/>
      <c r="Q43" s="370"/>
      <c r="R43" s="21">
        <v>200</v>
      </c>
      <c r="S43" s="145">
        <v>220</v>
      </c>
      <c r="T43" s="57">
        <f t="shared" ref="T43:T44" si="7">+S43-R43</f>
        <v>20</v>
      </c>
      <c r="U43" s="50">
        <f t="shared" ref="U43:U44" si="8">+T43/R43</f>
        <v>0.1</v>
      </c>
      <c r="V43" s="50">
        <f t="shared" ref="V43:V44" si="9">+(S43-R43)/R43</f>
        <v>0.1</v>
      </c>
    </row>
    <row r="44" spans="2:22" x14ac:dyDescent="0.25">
      <c r="B44" s="285" t="s">
        <v>40</v>
      </c>
      <c r="D44" s="21">
        <v>200</v>
      </c>
      <c r="E44" s="274">
        <f>+D44/D58</f>
        <v>0.36166365280289331</v>
      </c>
      <c r="F44" s="23"/>
      <c r="G44" s="265">
        <f>+D44/D46</f>
        <v>0.55096418732782371</v>
      </c>
      <c r="H44" s="56">
        <v>220</v>
      </c>
      <c r="I44" s="22">
        <f>+H44/H58</f>
        <v>0.30640668523676878</v>
      </c>
      <c r="J44" s="23"/>
      <c r="K44" s="24">
        <f>+H44/H46</f>
        <v>0.53527980535279807</v>
      </c>
      <c r="O44" s="369" t="s">
        <v>41</v>
      </c>
      <c r="P44" s="369"/>
      <c r="Q44" s="369"/>
      <c r="R44" s="63">
        <v>27</v>
      </c>
      <c r="S44" s="147">
        <v>35</v>
      </c>
      <c r="T44" s="250">
        <f t="shared" si="7"/>
        <v>8</v>
      </c>
      <c r="U44" s="251">
        <f t="shared" si="8"/>
        <v>0.29629629629629628</v>
      </c>
      <c r="V44" s="251">
        <f t="shared" si="9"/>
        <v>0.29629629629629628</v>
      </c>
    </row>
    <row r="45" spans="2:22" ht="14.4" thickBot="1" x14ac:dyDescent="0.3">
      <c r="B45" s="286" t="s">
        <v>41</v>
      </c>
      <c r="D45" s="63">
        <v>27</v>
      </c>
      <c r="E45" s="275">
        <f>+D45/D58</f>
        <v>4.8824593128390596E-2</v>
      </c>
      <c r="F45" s="25"/>
      <c r="G45" s="266">
        <f>+D45/D46</f>
        <v>7.43801652892562E-2</v>
      </c>
      <c r="H45" s="60">
        <v>35</v>
      </c>
      <c r="I45" s="61">
        <f>+H45/H58</f>
        <v>4.8746518105849582E-2</v>
      </c>
      <c r="J45" s="25"/>
      <c r="K45" s="64">
        <f>+H45/H46</f>
        <v>8.5158150851581502E-2</v>
      </c>
      <c r="O45" s="371" t="s">
        <v>42</v>
      </c>
      <c r="P45" s="371"/>
      <c r="Q45" s="371"/>
      <c r="R45" s="92">
        <v>363</v>
      </c>
      <c r="S45" s="155">
        <v>411</v>
      </c>
      <c r="T45" s="57">
        <f>+S45-R45</f>
        <v>48</v>
      </c>
      <c r="U45" s="50">
        <f>+T45/R45</f>
        <v>0.13223140495867769</v>
      </c>
      <c r="V45" s="50">
        <f>+(S45-R45)/R45</f>
        <v>0.13223140495867769</v>
      </c>
    </row>
    <row r="46" spans="2:22" ht="14.4" thickBot="1" x14ac:dyDescent="0.3">
      <c r="B46" s="1" t="s">
        <v>42</v>
      </c>
      <c r="C46" s="1"/>
      <c r="D46" s="92">
        <f>SUM(D42:D45)</f>
        <v>363</v>
      </c>
      <c r="E46" s="87"/>
      <c r="F46" s="276">
        <f>+D46/D58</f>
        <v>0.65641952983725138</v>
      </c>
      <c r="G46" s="277">
        <f>SUM(G43:G45)</f>
        <v>1</v>
      </c>
      <c r="H46" s="94">
        <f>SUM(H43:H45)</f>
        <v>411</v>
      </c>
      <c r="I46" s="93"/>
      <c r="J46" s="93">
        <f>+H46/H58</f>
        <v>0.57242339832869082</v>
      </c>
      <c r="K46" s="95">
        <f>SUM(K43:K45)</f>
        <v>1</v>
      </c>
      <c r="O46" s="369" t="s">
        <v>43</v>
      </c>
      <c r="P46" s="369"/>
      <c r="Q46" s="369"/>
      <c r="R46" s="30"/>
      <c r="S46" s="156"/>
      <c r="T46" s="57"/>
      <c r="U46" s="50"/>
      <c r="V46" s="50"/>
    </row>
    <row r="47" spans="2:22" x14ac:dyDescent="0.25">
      <c r="B47" s="2" t="s">
        <v>43</v>
      </c>
      <c r="D47" s="30"/>
      <c r="E47" s="27"/>
      <c r="F47" s="31"/>
      <c r="G47" s="33"/>
      <c r="H47" s="98"/>
      <c r="I47" s="31"/>
      <c r="J47" s="31"/>
      <c r="K47" s="32"/>
      <c r="O47" s="366" t="s">
        <v>44</v>
      </c>
      <c r="P47" s="366"/>
      <c r="Q47" s="366"/>
      <c r="R47" s="38">
        <v>38</v>
      </c>
      <c r="S47" s="157">
        <v>48</v>
      </c>
      <c r="T47" s="57">
        <f t="shared" ref="T47:T48" si="10">+S47-R47</f>
        <v>10</v>
      </c>
      <c r="U47" s="50">
        <f t="shared" ref="U47:U48" si="11">+T47/R47</f>
        <v>0.26315789473684209</v>
      </c>
      <c r="V47" s="50">
        <f t="shared" ref="V47:V48" si="12">+(S47-R47)/R47</f>
        <v>0.26315789473684209</v>
      </c>
    </row>
    <row r="48" spans="2:22" x14ac:dyDescent="0.25">
      <c r="B48" s="41" t="s">
        <v>44</v>
      </c>
      <c r="D48" s="38">
        <v>38</v>
      </c>
      <c r="E48" s="275">
        <f>+D48/D58</f>
        <v>6.8716094032549732E-2</v>
      </c>
      <c r="F48" s="120"/>
      <c r="G48" s="37">
        <f>+D48/D49</f>
        <v>1</v>
      </c>
      <c r="H48" s="107">
        <v>48</v>
      </c>
      <c r="I48" s="37">
        <f>+H48/H58</f>
        <v>6.6852367688022288E-2</v>
      </c>
      <c r="J48" s="120"/>
      <c r="K48" s="54">
        <f>+H48/H49</f>
        <v>1</v>
      </c>
      <c r="O48" s="373" t="s">
        <v>45</v>
      </c>
      <c r="P48" s="373"/>
      <c r="Q48" s="373"/>
      <c r="R48" s="99">
        <v>401</v>
      </c>
      <c r="S48" s="158">
        <v>459</v>
      </c>
      <c r="T48" s="57">
        <f t="shared" si="10"/>
        <v>58</v>
      </c>
      <c r="U48" s="50">
        <f t="shared" si="11"/>
        <v>0.14463840399002495</v>
      </c>
      <c r="V48" s="50">
        <f t="shared" si="12"/>
        <v>0.14463840399002495</v>
      </c>
    </row>
    <row r="49" spans="2:22" x14ac:dyDescent="0.25">
      <c r="B49" s="45" t="s">
        <v>229</v>
      </c>
      <c r="D49" s="287">
        <f>SUM(D48:D48)</f>
        <v>38</v>
      </c>
      <c r="E49" s="37"/>
      <c r="F49" s="120"/>
      <c r="G49" s="37"/>
      <c r="H49" s="288">
        <f>+H48</f>
        <v>48</v>
      </c>
      <c r="I49" s="37"/>
      <c r="J49" s="120"/>
      <c r="K49" s="54"/>
      <c r="O49" s="244"/>
      <c r="P49" s="244"/>
      <c r="Q49" s="244"/>
      <c r="R49" s="278"/>
      <c r="S49" s="279"/>
      <c r="T49" s="57"/>
      <c r="U49" s="50"/>
      <c r="V49" s="50"/>
    </row>
    <row r="50" spans="2:22" x14ac:dyDescent="0.25">
      <c r="B50" s="79" t="s">
        <v>45</v>
      </c>
      <c r="C50" s="96"/>
      <c r="D50" s="99">
        <f>+D46+D48</f>
        <v>401</v>
      </c>
      <c r="E50" s="100"/>
      <c r="F50" s="119">
        <f>+D50/D58</f>
        <v>0.72513562386980113</v>
      </c>
      <c r="G50" s="100"/>
      <c r="H50" s="101">
        <f>SUM(H46:H48)</f>
        <v>459</v>
      </c>
      <c r="I50" s="102"/>
      <c r="J50" s="119">
        <f>+H50/H58</f>
        <v>0.6392757660167131</v>
      </c>
      <c r="K50" s="103"/>
      <c r="O50" s="45"/>
      <c r="R50" s="34"/>
      <c r="S50" s="159"/>
      <c r="T50" s="57"/>
      <c r="U50" s="50"/>
      <c r="V50" s="50"/>
    </row>
    <row r="51" spans="2:22" ht="15.6" x14ac:dyDescent="0.25">
      <c r="B51" s="45"/>
      <c r="D51" s="40"/>
      <c r="H51" s="40"/>
      <c r="I51" s="35"/>
      <c r="K51" s="97"/>
      <c r="O51" s="374" t="s">
        <v>46</v>
      </c>
      <c r="P51" s="374"/>
      <c r="Q51" s="374"/>
      <c r="R51" s="104"/>
      <c r="S51" s="106"/>
      <c r="T51" s="57"/>
      <c r="U51" s="50"/>
      <c r="V51" s="50"/>
    </row>
    <row r="52" spans="2:22" ht="16.2" thickBot="1" x14ac:dyDescent="0.3">
      <c r="B52" s="72" t="s">
        <v>230</v>
      </c>
      <c r="D52" s="104"/>
      <c r="E52" s="90" t="s">
        <v>222</v>
      </c>
      <c r="F52" s="90"/>
      <c r="G52" s="90" t="s">
        <v>223</v>
      </c>
      <c r="H52" s="105"/>
      <c r="I52" s="39"/>
      <c r="J52" s="90"/>
      <c r="K52" s="106"/>
      <c r="O52" s="375" t="s">
        <v>47</v>
      </c>
      <c r="P52" s="375"/>
      <c r="Q52" s="375"/>
      <c r="R52" s="34">
        <v>20</v>
      </c>
      <c r="S52" s="159">
        <v>20</v>
      </c>
      <c r="T52" s="57">
        <f>+S52-R52</f>
        <v>0</v>
      </c>
      <c r="U52" s="50">
        <f>+T52/R52</f>
        <v>0</v>
      </c>
      <c r="V52" s="50">
        <f>+(S52-R52)/R52</f>
        <v>0</v>
      </c>
    </row>
    <row r="53" spans="2:22" ht="35.25" customHeight="1" x14ac:dyDescent="0.25">
      <c r="B53" s="41" t="s">
        <v>47</v>
      </c>
      <c r="D53" s="34">
        <v>20</v>
      </c>
      <c r="E53" s="35">
        <f>+D53/D58</f>
        <v>3.6166365280289332E-2</v>
      </c>
      <c r="G53" s="281">
        <f>+D53/D56</f>
        <v>0.13157894736842105</v>
      </c>
      <c r="H53" s="40">
        <v>20</v>
      </c>
      <c r="I53" s="35">
        <f>+H53/H58</f>
        <v>2.7855153203342618E-2</v>
      </c>
      <c r="K53" s="36">
        <f>+H53/H56</f>
        <v>7.7220077220077218E-2</v>
      </c>
      <c r="O53" s="376" t="s">
        <v>48</v>
      </c>
      <c r="P53" s="376"/>
      <c r="Q53" s="376"/>
      <c r="R53" s="34">
        <v>30</v>
      </c>
      <c r="S53" s="159">
        <v>30</v>
      </c>
      <c r="T53" s="57">
        <f>+S53-R53</f>
        <v>0</v>
      </c>
      <c r="U53" s="50">
        <f t="shared" ref="U53:U55" si="13">+T53/R53</f>
        <v>0</v>
      </c>
      <c r="V53" s="50">
        <f t="shared" ref="V53:V55" si="14">+(S53-R53)/R53</f>
        <v>0</v>
      </c>
    </row>
    <row r="54" spans="2:22" x14ac:dyDescent="0.25">
      <c r="B54" s="41" t="s">
        <v>48</v>
      </c>
      <c r="D54" s="34">
        <v>30</v>
      </c>
      <c r="E54" s="35">
        <f>+D54/D58</f>
        <v>5.4249547920433995E-2</v>
      </c>
      <c r="G54" s="282">
        <f>+D54/D56</f>
        <v>0.19736842105263158</v>
      </c>
      <c r="H54" s="40">
        <v>30</v>
      </c>
      <c r="I54" s="35">
        <f>+H54/H58</f>
        <v>4.1782729805013928E-2</v>
      </c>
      <c r="K54" s="36">
        <f>+H54/H56</f>
        <v>0.11583011583011583</v>
      </c>
      <c r="O54" s="366" t="s">
        <v>49</v>
      </c>
      <c r="P54" s="366"/>
      <c r="Q54" s="366"/>
      <c r="R54" s="38">
        <v>102</v>
      </c>
      <c r="S54" s="157">
        <v>209</v>
      </c>
      <c r="T54" s="250">
        <f>+S54-R54</f>
        <v>107</v>
      </c>
      <c r="U54" s="251">
        <f>+T54/R54</f>
        <v>1.0490196078431373</v>
      </c>
      <c r="V54" s="251">
        <f>+(S54-R54)/R54</f>
        <v>1.0490196078431373</v>
      </c>
    </row>
    <row r="55" spans="2:22" x14ac:dyDescent="0.25">
      <c r="B55" s="41" t="s">
        <v>49</v>
      </c>
      <c r="D55" s="38">
        <v>102</v>
      </c>
      <c r="E55" s="37">
        <f>+D55/D58</f>
        <v>0.18444846292947559</v>
      </c>
      <c r="F55" s="35"/>
      <c r="G55" s="283">
        <f>+D55/D56</f>
        <v>0.67105263157894735</v>
      </c>
      <c r="H55" s="107">
        <v>209</v>
      </c>
      <c r="I55" s="37">
        <f>+H55/H58</f>
        <v>0.29108635097493035</v>
      </c>
      <c r="J55" s="35"/>
      <c r="K55" s="54">
        <f>+H55/H56</f>
        <v>0.806949806949807</v>
      </c>
      <c r="O55" s="367" t="s">
        <v>50</v>
      </c>
      <c r="P55" s="367"/>
      <c r="Q55" s="367"/>
      <c r="R55" s="110">
        <v>152</v>
      </c>
      <c r="S55" s="160">
        <v>259</v>
      </c>
      <c r="T55" s="57">
        <f>+S55-R55</f>
        <v>107</v>
      </c>
      <c r="U55" s="50">
        <f t="shared" si="13"/>
        <v>0.70394736842105265</v>
      </c>
      <c r="V55" s="50">
        <f t="shared" si="14"/>
        <v>0.70394736842105265</v>
      </c>
    </row>
    <row r="56" spans="2:22" ht="14.4" thickBot="1" x14ac:dyDescent="0.3">
      <c r="B56" s="80" t="s">
        <v>50</v>
      </c>
      <c r="C56" s="108"/>
      <c r="D56" s="110">
        <f>SUM(D53:D55)</f>
        <v>152</v>
      </c>
      <c r="E56" s="111"/>
      <c r="F56" s="111">
        <f>+D56/D58</f>
        <v>0.27486437613019893</v>
      </c>
      <c r="G56" s="267">
        <f>SUM(G53:G55)</f>
        <v>1</v>
      </c>
      <c r="H56" s="280">
        <f>SUM(H53:H55)</f>
        <v>259</v>
      </c>
      <c r="I56" s="111"/>
      <c r="J56" s="111">
        <f>+H56/H58</f>
        <v>0.3607242339832869</v>
      </c>
      <c r="K56" s="112">
        <f>SUM(K53:K55)</f>
        <v>1</v>
      </c>
      <c r="O56" s="368"/>
      <c r="P56" s="368"/>
      <c r="Q56" s="368"/>
      <c r="R56" s="161"/>
      <c r="S56" s="162"/>
      <c r="T56" s="57"/>
      <c r="U56" s="50"/>
      <c r="V56" s="122"/>
    </row>
    <row r="57" spans="2:22" x14ac:dyDescent="0.25">
      <c r="B57" s="45"/>
      <c r="C57" s="1"/>
      <c r="D57" s="113"/>
      <c r="E57" s="114"/>
      <c r="F57" s="114"/>
      <c r="G57" s="114"/>
      <c r="H57" s="113"/>
      <c r="I57" s="114"/>
      <c r="J57" s="114"/>
      <c r="K57" s="114"/>
      <c r="O57" s="372" t="s">
        <v>51</v>
      </c>
      <c r="P57" s="372"/>
      <c r="Q57" s="372"/>
      <c r="R57" s="163">
        <v>553</v>
      </c>
      <c r="S57" s="164">
        <v>718</v>
      </c>
      <c r="T57" s="165">
        <f>+S57-R57</f>
        <v>165</v>
      </c>
      <c r="U57" s="166">
        <f>+T57/R57</f>
        <v>0.29837251356238698</v>
      </c>
      <c r="V57" s="166">
        <f>+(S57-R57)/R57</f>
        <v>0.29837251356238698</v>
      </c>
    </row>
    <row r="58" spans="2:22" ht="14.4" thickBot="1" x14ac:dyDescent="0.3">
      <c r="B58" s="109" t="s">
        <v>51</v>
      </c>
      <c r="C58" s="74"/>
      <c r="D58" s="116">
        <f>+D50+D56</f>
        <v>553</v>
      </c>
      <c r="E58" s="115">
        <f>SUM(E42:E55)</f>
        <v>1</v>
      </c>
      <c r="F58" s="117">
        <f>+F50+F56</f>
        <v>1</v>
      </c>
      <c r="G58" s="118"/>
      <c r="H58" s="116">
        <f>+H50+H56</f>
        <v>718</v>
      </c>
      <c r="I58" s="115">
        <f>SUM(I42:I55)</f>
        <v>1</v>
      </c>
      <c r="J58" s="117">
        <f>+J50+J56</f>
        <v>1</v>
      </c>
      <c r="K58" s="118"/>
    </row>
    <row r="59" spans="2:22" ht="14.4" thickTop="1" x14ac:dyDescent="0.25"/>
    <row r="61" spans="2:22" ht="14.4" thickBot="1" x14ac:dyDescent="0.3"/>
    <row r="62" spans="2:22" ht="30.6" thickBot="1" x14ac:dyDescent="0.55000000000000004">
      <c r="B62" s="396" t="s">
        <v>81</v>
      </c>
      <c r="C62" s="397"/>
      <c r="D62" s="397"/>
      <c r="E62" s="397"/>
      <c r="F62" s="397"/>
      <c r="G62" s="397"/>
      <c r="H62" s="397"/>
      <c r="I62" s="397"/>
      <c r="J62" s="397"/>
      <c r="K62" s="397"/>
      <c r="L62" s="397"/>
      <c r="M62" s="397"/>
      <c r="N62" s="397"/>
      <c r="O62" s="397"/>
      <c r="P62" s="397"/>
      <c r="Q62" s="397"/>
      <c r="R62" s="397"/>
      <c r="S62" s="398"/>
    </row>
    <row r="63" spans="2:22" ht="30" customHeight="1" x14ac:dyDescent="0.25">
      <c r="B63" s="399" t="s">
        <v>82</v>
      </c>
      <c r="C63" s="399"/>
      <c r="D63" s="399"/>
      <c r="E63" s="399"/>
      <c r="F63" s="399"/>
      <c r="G63" s="399"/>
      <c r="H63" s="399"/>
      <c r="I63" s="399"/>
      <c r="J63" s="399"/>
      <c r="K63" s="399"/>
      <c r="L63" s="400" t="s">
        <v>1</v>
      </c>
      <c r="M63" s="400"/>
      <c r="N63" s="400"/>
      <c r="O63" s="401" t="s">
        <v>90</v>
      </c>
      <c r="P63" s="400" t="s">
        <v>2</v>
      </c>
      <c r="Q63" s="400"/>
      <c r="R63" s="400"/>
      <c r="S63" s="401" t="s">
        <v>91</v>
      </c>
    </row>
    <row r="64" spans="2:22" ht="17.399999999999999" x14ac:dyDescent="0.3">
      <c r="B64" s="403" t="s">
        <v>70</v>
      </c>
      <c r="C64" s="404"/>
      <c r="D64" s="404"/>
      <c r="E64" s="404"/>
      <c r="F64" s="404"/>
      <c r="G64" s="404"/>
      <c r="H64" s="404"/>
      <c r="I64" s="404"/>
      <c r="J64" s="404"/>
      <c r="K64" s="405"/>
      <c r="L64" s="399"/>
      <c r="M64" s="399"/>
      <c r="N64" s="399"/>
      <c r="O64" s="402"/>
      <c r="P64" s="399"/>
      <c r="Q64" s="399"/>
      <c r="R64" s="399"/>
      <c r="S64" s="402"/>
    </row>
    <row r="65" spans="2:19" x14ac:dyDescent="0.25">
      <c r="B65" s="89"/>
      <c r="C65" s="90"/>
      <c r="D65" s="90"/>
      <c r="E65" s="90"/>
      <c r="F65" s="90"/>
      <c r="G65" s="90"/>
      <c r="H65" s="90"/>
      <c r="I65" s="90"/>
      <c r="J65" s="90"/>
      <c r="K65" s="90"/>
      <c r="L65" s="90"/>
      <c r="M65" s="90"/>
      <c r="N65" s="90"/>
      <c r="O65" s="173"/>
      <c r="P65" s="90"/>
      <c r="Q65" s="90"/>
      <c r="R65" s="90"/>
      <c r="S65" s="174"/>
    </row>
    <row r="66" spans="2:19" x14ac:dyDescent="0.25">
      <c r="B66" s="128" t="s">
        <v>58</v>
      </c>
      <c r="O66" s="170"/>
      <c r="S66" s="175"/>
    </row>
    <row r="67" spans="2:19" ht="15" customHeight="1" x14ac:dyDescent="0.25">
      <c r="B67" s="406" t="s">
        <v>232</v>
      </c>
      <c r="C67" s="407"/>
      <c r="D67" s="407"/>
      <c r="E67" s="407"/>
      <c r="G67" s="408" t="s">
        <v>59</v>
      </c>
      <c r="H67" s="408"/>
      <c r="I67" s="408"/>
      <c r="J67" s="2" t="s">
        <v>60</v>
      </c>
      <c r="L67" s="189">
        <f>+D33</f>
        <v>421</v>
      </c>
      <c r="M67" s="3" t="s">
        <v>80</v>
      </c>
      <c r="N67" s="188">
        <f>+L67/L68</f>
        <v>1.1597796143250689</v>
      </c>
      <c r="O67" s="170">
        <v>1.82</v>
      </c>
      <c r="P67" s="189">
        <f>+H33</f>
        <v>570</v>
      </c>
      <c r="Q67" s="3" t="s">
        <v>80</v>
      </c>
      <c r="R67" s="188">
        <f>+P67/P68</f>
        <v>1.3868613138686132</v>
      </c>
      <c r="S67" s="175">
        <v>2.25</v>
      </c>
    </row>
    <row r="68" spans="2:19" x14ac:dyDescent="0.25">
      <c r="B68" s="406"/>
      <c r="C68" s="407"/>
      <c r="D68" s="407"/>
      <c r="E68" s="407"/>
      <c r="H68" s="3" t="s">
        <v>61</v>
      </c>
      <c r="I68" s="3"/>
      <c r="L68" s="295">
        <f>+D46</f>
        <v>363</v>
      </c>
      <c r="M68" s="3"/>
      <c r="N68" s="3"/>
      <c r="O68" s="170"/>
      <c r="P68" s="295">
        <f>+H46</f>
        <v>411</v>
      </c>
      <c r="Q68" s="3"/>
      <c r="R68" s="3"/>
      <c r="S68" s="175"/>
    </row>
    <row r="69" spans="2:19" x14ac:dyDescent="0.25">
      <c r="B69" s="406"/>
      <c r="C69" s="407"/>
      <c r="D69" s="407"/>
      <c r="E69" s="407"/>
      <c r="L69" s="3"/>
      <c r="M69" s="3"/>
      <c r="N69" s="3"/>
      <c r="O69" s="170"/>
      <c r="P69" s="3"/>
      <c r="Q69" s="3"/>
      <c r="R69" s="3"/>
      <c r="S69" s="175"/>
    </row>
    <row r="70" spans="2:19" x14ac:dyDescent="0.25">
      <c r="B70" s="19"/>
      <c r="L70" s="3"/>
      <c r="M70" s="3"/>
      <c r="N70" s="3"/>
      <c r="O70" s="170"/>
      <c r="P70" s="3"/>
      <c r="Q70" s="3"/>
      <c r="R70" s="3"/>
      <c r="S70" s="175"/>
    </row>
    <row r="71" spans="2:19" x14ac:dyDescent="0.25">
      <c r="B71" s="128" t="s">
        <v>62</v>
      </c>
      <c r="L71" s="3"/>
      <c r="M71" s="3"/>
      <c r="N71" s="3"/>
      <c r="O71" s="170"/>
      <c r="P71" s="3"/>
      <c r="Q71" s="3"/>
      <c r="R71" s="3"/>
      <c r="S71" s="175"/>
    </row>
    <row r="72" spans="2:19" x14ac:dyDescent="0.25">
      <c r="B72" s="409" t="s">
        <v>155</v>
      </c>
      <c r="C72" s="410"/>
      <c r="D72" s="410"/>
      <c r="E72" s="410"/>
      <c r="G72" s="408" t="s">
        <v>63</v>
      </c>
      <c r="H72" s="408"/>
      <c r="I72" s="408"/>
      <c r="J72" s="2" t="s">
        <v>60</v>
      </c>
      <c r="L72" s="189">
        <f>+(D33-D32)</f>
        <v>230</v>
      </c>
      <c r="M72" s="3" t="s">
        <v>80</v>
      </c>
      <c r="N72" s="188">
        <f>+L72/L73</f>
        <v>0.63360881542699721</v>
      </c>
      <c r="O72" s="171">
        <v>1.1000000000000001</v>
      </c>
      <c r="P72" s="189">
        <f>+H33-H32</f>
        <v>325</v>
      </c>
      <c r="Q72" s="3" t="s">
        <v>80</v>
      </c>
      <c r="R72" s="188">
        <f>+P72/P73</f>
        <v>0.79075425790754261</v>
      </c>
      <c r="S72" s="176">
        <v>1.2</v>
      </c>
    </row>
    <row r="73" spans="2:19" x14ac:dyDescent="0.25">
      <c r="B73" s="409"/>
      <c r="C73" s="410"/>
      <c r="D73" s="410"/>
      <c r="E73" s="410"/>
      <c r="G73" s="411" t="s">
        <v>61</v>
      </c>
      <c r="H73" s="411"/>
      <c r="I73" s="411"/>
      <c r="L73" s="295">
        <f>+D46</f>
        <v>363</v>
      </c>
      <c r="M73" s="3"/>
      <c r="N73" s="3"/>
      <c r="O73" s="170"/>
      <c r="P73" s="295">
        <f>+H46</f>
        <v>411</v>
      </c>
      <c r="Q73" s="3"/>
      <c r="R73" s="3"/>
      <c r="S73" s="175"/>
    </row>
    <row r="74" spans="2:19" x14ac:dyDescent="0.25">
      <c r="B74" s="409"/>
      <c r="C74" s="410"/>
      <c r="D74" s="410"/>
      <c r="E74" s="410"/>
      <c r="O74" s="170"/>
      <c r="S74" s="175"/>
    </row>
    <row r="75" spans="2:19" x14ac:dyDescent="0.25">
      <c r="B75" s="19"/>
      <c r="O75" s="170"/>
      <c r="S75" s="175"/>
    </row>
    <row r="76" spans="2:19" ht="29.25" customHeight="1" x14ac:dyDescent="0.25">
      <c r="B76" s="177" t="s">
        <v>76</v>
      </c>
      <c r="G76" s="395" t="s">
        <v>77</v>
      </c>
      <c r="H76" s="395"/>
      <c r="I76" s="395"/>
      <c r="J76" s="2" t="s">
        <v>60</v>
      </c>
      <c r="L76" s="169">
        <f>+C8</f>
        <v>1030</v>
      </c>
      <c r="M76" s="3" t="s">
        <v>80</v>
      </c>
      <c r="N76" s="188">
        <f>+L76/L77</f>
        <v>5.3926701570680624</v>
      </c>
      <c r="O76" s="170">
        <v>12.45</v>
      </c>
      <c r="P76" s="169">
        <f>+E8</f>
        <v>1200</v>
      </c>
      <c r="Q76" s="3" t="s">
        <v>80</v>
      </c>
      <c r="R76" s="188">
        <f>+P76/P77</f>
        <v>4.8979591836734695</v>
      </c>
      <c r="S76" s="175">
        <v>20.25</v>
      </c>
    </row>
    <row r="77" spans="2:19" x14ac:dyDescent="0.25">
      <c r="B77" s="19" t="s">
        <v>78</v>
      </c>
      <c r="G77" s="411" t="s">
        <v>5</v>
      </c>
      <c r="H77" s="411"/>
      <c r="I77" s="411"/>
      <c r="L77" s="57">
        <f>+D32</f>
        <v>191</v>
      </c>
      <c r="O77" s="170"/>
      <c r="P77" s="57">
        <f>+H32</f>
        <v>245</v>
      </c>
      <c r="S77" s="20"/>
    </row>
    <row r="78" spans="2:19" x14ac:dyDescent="0.25">
      <c r="B78" s="19"/>
      <c r="O78" s="170"/>
      <c r="S78" s="20"/>
    </row>
    <row r="79" spans="2:19" ht="39" customHeight="1" x14ac:dyDescent="0.25">
      <c r="B79" s="128" t="s">
        <v>71</v>
      </c>
      <c r="G79" s="395" t="s">
        <v>72</v>
      </c>
      <c r="H79" s="395"/>
      <c r="I79" s="395"/>
      <c r="J79" s="3" t="s">
        <v>73</v>
      </c>
      <c r="L79" s="167">
        <f>+(D31*360)</f>
        <v>54720</v>
      </c>
      <c r="M79" s="3" t="s">
        <v>80</v>
      </c>
      <c r="N79" s="188">
        <f>+L79/L80</f>
        <v>35.303225806451614</v>
      </c>
      <c r="O79" s="170" t="s">
        <v>83</v>
      </c>
      <c r="P79" s="167">
        <f>+H31*360</f>
        <v>69840</v>
      </c>
      <c r="Q79" s="3" t="s">
        <v>80</v>
      </c>
      <c r="R79" s="188">
        <f>+P79/P80</f>
        <v>34.92</v>
      </c>
      <c r="S79" s="175" t="s">
        <v>84</v>
      </c>
    </row>
    <row r="80" spans="2:19" x14ac:dyDescent="0.25">
      <c r="B80" s="412" t="s">
        <v>74</v>
      </c>
      <c r="C80" s="413"/>
      <c r="D80" s="413"/>
      <c r="E80" s="413"/>
      <c r="G80" s="411" t="s">
        <v>75</v>
      </c>
      <c r="H80" s="411"/>
      <c r="I80" s="411"/>
      <c r="L80" s="172">
        <f>+C7</f>
        <v>1550</v>
      </c>
      <c r="O80" s="170"/>
      <c r="P80" s="172">
        <f>+E7</f>
        <v>2000</v>
      </c>
      <c r="S80" s="20"/>
    </row>
    <row r="81" spans="2:19" x14ac:dyDescent="0.25">
      <c r="B81" s="412"/>
      <c r="C81" s="413"/>
      <c r="D81" s="413"/>
      <c r="E81" s="413"/>
      <c r="O81" s="170"/>
      <c r="S81" s="20"/>
    </row>
    <row r="82" spans="2:19" x14ac:dyDescent="0.25">
      <c r="B82" s="19"/>
      <c r="O82" s="170"/>
      <c r="S82" s="20"/>
    </row>
    <row r="83" spans="2:19" x14ac:dyDescent="0.25">
      <c r="B83" s="128" t="s">
        <v>85</v>
      </c>
      <c r="G83" s="408" t="s">
        <v>86</v>
      </c>
      <c r="H83" s="408"/>
      <c r="I83" s="408"/>
      <c r="J83" s="2" t="s">
        <v>60</v>
      </c>
      <c r="L83" s="169">
        <f>+C7</f>
        <v>1550</v>
      </c>
      <c r="M83" s="3" t="s">
        <v>80</v>
      </c>
      <c r="N83" s="188">
        <f>+L83/L84</f>
        <v>2.8028933092224233</v>
      </c>
      <c r="O83" s="170">
        <v>3.92</v>
      </c>
      <c r="P83" s="169">
        <f>+E7</f>
        <v>2000</v>
      </c>
      <c r="Q83" s="3" t="s">
        <v>80</v>
      </c>
      <c r="R83" s="188">
        <f>+P83/P84</f>
        <v>2.785515320334262</v>
      </c>
      <c r="S83" s="175">
        <v>4.25</v>
      </c>
    </row>
    <row r="84" spans="2:19" x14ac:dyDescent="0.25">
      <c r="B84" s="412" t="s">
        <v>87</v>
      </c>
      <c r="C84" s="413"/>
      <c r="D84" s="413"/>
      <c r="E84" s="413"/>
      <c r="G84" s="411" t="s">
        <v>88</v>
      </c>
      <c r="H84" s="411"/>
      <c r="I84" s="411"/>
      <c r="L84" s="57">
        <f>+D38</f>
        <v>553</v>
      </c>
      <c r="P84" s="57">
        <f>+H38</f>
        <v>718</v>
      </c>
      <c r="S84" s="20"/>
    </row>
    <row r="85" spans="2:19" x14ac:dyDescent="0.25">
      <c r="B85" s="414"/>
      <c r="C85" s="415"/>
      <c r="D85" s="415"/>
      <c r="E85" s="415"/>
      <c r="F85" s="167"/>
      <c r="G85" s="167"/>
      <c r="H85" s="167"/>
      <c r="I85" s="167"/>
      <c r="J85" s="167"/>
      <c r="K85" s="167"/>
      <c r="L85" s="167"/>
      <c r="M85" s="167"/>
      <c r="N85" s="167"/>
      <c r="O85" s="167"/>
      <c r="P85" s="167"/>
      <c r="Q85" s="167"/>
      <c r="R85" s="167"/>
      <c r="S85" s="168"/>
    </row>
    <row r="87" spans="2:19" ht="17.399999999999999" x14ac:dyDescent="0.3">
      <c r="B87" s="416" t="s">
        <v>64</v>
      </c>
      <c r="C87" s="417"/>
      <c r="D87" s="417"/>
      <c r="E87" s="417"/>
      <c r="F87" s="417"/>
      <c r="G87" s="417"/>
      <c r="H87" s="417"/>
      <c r="I87" s="417"/>
      <c r="J87" s="417"/>
      <c r="K87" s="417"/>
      <c r="L87" s="90"/>
      <c r="M87" s="90"/>
      <c r="N87" s="90"/>
      <c r="O87" s="90"/>
      <c r="P87" s="90"/>
      <c r="Q87" s="90"/>
      <c r="R87" s="90"/>
      <c r="S87" s="91"/>
    </row>
    <row r="88" spans="2:19" x14ac:dyDescent="0.25">
      <c r="B88" s="19"/>
      <c r="S88" s="20"/>
    </row>
    <row r="89" spans="2:19" x14ac:dyDescent="0.25">
      <c r="B89" s="128" t="s">
        <v>65</v>
      </c>
      <c r="S89" s="20"/>
    </row>
    <row r="90" spans="2:19" ht="14.25" customHeight="1" x14ac:dyDescent="0.25">
      <c r="B90" s="412" t="s">
        <v>66</v>
      </c>
      <c r="C90" s="413"/>
      <c r="D90" s="413"/>
      <c r="E90" s="413"/>
      <c r="G90" s="408" t="s">
        <v>67</v>
      </c>
      <c r="H90" s="408"/>
      <c r="I90" s="408"/>
      <c r="J90" s="2" t="s">
        <v>68</v>
      </c>
      <c r="L90" s="67">
        <f>+D50</f>
        <v>401</v>
      </c>
      <c r="M90" s="3" t="s">
        <v>80</v>
      </c>
      <c r="N90" s="190">
        <f>+L90/L91</f>
        <v>0.72513562386980113</v>
      </c>
      <c r="O90" s="193">
        <v>0.55000000000000004</v>
      </c>
      <c r="P90" s="67">
        <f>+H50</f>
        <v>459</v>
      </c>
      <c r="Q90" s="3" t="s">
        <v>80</v>
      </c>
      <c r="R90" s="190">
        <f>+P90/P91</f>
        <v>0.6392757660167131</v>
      </c>
      <c r="S90" s="178">
        <v>0.5</v>
      </c>
    </row>
    <row r="91" spans="2:19" x14ac:dyDescent="0.25">
      <c r="B91" s="414"/>
      <c r="C91" s="415"/>
      <c r="D91" s="415"/>
      <c r="E91" s="415"/>
      <c r="F91" s="167"/>
      <c r="G91" s="418" t="s">
        <v>88</v>
      </c>
      <c r="H91" s="418"/>
      <c r="I91" s="418"/>
      <c r="J91" s="167"/>
      <c r="K91" s="167"/>
      <c r="L91" s="67">
        <f>+D38</f>
        <v>553</v>
      </c>
      <c r="M91" s="167"/>
      <c r="N91" s="167"/>
      <c r="O91" s="194"/>
      <c r="P91" s="67">
        <f>+H38</f>
        <v>718</v>
      </c>
      <c r="Q91" s="167"/>
      <c r="R91" s="167"/>
      <c r="S91" s="168"/>
    </row>
    <row r="92" spans="2:19" x14ac:dyDescent="0.25">
      <c r="O92" s="195"/>
    </row>
    <row r="93" spans="2:19" ht="17.399999999999999" x14ac:dyDescent="0.3">
      <c r="B93" s="179" t="s">
        <v>89</v>
      </c>
      <c r="C93" s="90"/>
      <c r="D93" s="90"/>
      <c r="E93" s="90"/>
      <c r="F93" s="90"/>
      <c r="G93" s="90"/>
      <c r="H93" s="90"/>
      <c r="I93" s="90"/>
      <c r="J93" s="90"/>
      <c r="K93" s="90"/>
      <c r="L93" s="90"/>
      <c r="M93" s="90"/>
      <c r="N93" s="90"/>
      <c r="O93" s="196"/>
      <c r="P93" s="90"/>
      <c r="Q93" s="90"/>
      <c r="R93" s="90"/>
      <c r="S93" s="91"/>
    </row>
    <row r="94" spans="2:19" x14ac:dyDescent="0.25">
      <c r="B94" s="19"/>
      <c r="O94" s="195"/>
      <c r="S94" s="20"/>
    </row>
    <row r="95" spans="2:19" x14ac:dyDescent="0.25">
      <c r="B95" s="128" t="s">
        <v>233</v>
      </c>
      <c r="G95" s="408" t="s">
        <v>93</v>
      </c>
      <c r="H95" s="408"/>
      <c r="I95" s="408"/>
      <c r="J95" s="2" t="s">
        <v>68</v>
      </c>
      <c r="L95" s="169">
        <f>+C9</f>
        <v>520</v>
      </c>
      <c r="M95" s="3" t="s">
        <v>80</v>
      </c>
      <c r="N95" s="191">
        <f>+L95/L96</f>
        <v>0.33548387096774196</v>
      </c>
      <c r="O95" s="197">
        <v>0.42</v>
      </c>
      <c r="P95" s="169">
        <f>+E9</f>
        <v>800</v>
      </c>
      <c r="Q95" s="3" t="s">
        <v>80</v>
      </c>
      <c r="R95" s="190">
        <f>+P95/P96</f>
        <v>0.4</v>
      </c>
      <c r="S95" s="180">
        <v>0.5</v>
      </c>
    </row>
    <row r="96" spans="2:19" x14ac:dyDescent="0.25">
      <c r="B96" s="412" t="s">
        <v>99</v>
      </c>
      <c r="C96" s="413"/>
      <c r="D96" s="413"/>
      <c r="E96" s="413"/>
      <c r="G96" s="390" t="s">
        <v>86</v>
      </c>
      <c r="H96" s="390"/>
      <c r="I96" s="390"/>
      <c r="L96" s="172">
        <f>+C7</f>
        <v>1550</v>
      </c>
      <c r="O96" s="195"/>
      <c r="P96" s="172">
        <f>+E7</f>
        <v>2000</v>
      </c>
      <c r="S96" s="20"/>
    </row>
    <row r="97" spans="2:19" x14ac:dyDescent="0.25">
      <c r="B97" s="412"/>
      <c r="C97" s="413"/>
      <c r="D97" s="413"/>
      <c r="E97" s="413"/>
      <c r="O97" s="195"/>
      <c r="S97" s="20"/>
    </row>
    <row r="98" spans="2:19" x14ac:dyDescent="0.25">
      <c r="B98" s="19"/>
      <c r="O98" s="195"/>
      <c r="S98" s="20"/>
    </row>
    <row r="99" spans="2:19" x14ac:dyDescent="0.25">
      <c r="B99" s="128" t="s">
        <v>94</v>
      </c>
      <c r="G99" s="408" t="s">
        <v>95</v>
      </c>
      <c r="H99" s="408"/>
      <c r="I99" s="408"/>
      <c r="J99" s="2" t="s">
        <v>68</v>
      </c>
      <c r="L99" s="169">
        <f>+C18</f>
        <v>43.01</v>
      </c>
      <c r="M99" s="3" t="s">
        <v>80</v>
      </c>
      <c r="N99" s="191">
        <f>+L99/L100</f>
        <v>2.7748387096774192E-2</v>
      </c>
      <c r="O99" s="197">
        <v>0.04</v>
      </c>
      <c r="P99" s="169">
        <f>+E18</f>
        <v>211.922</v>
      </c>
      <c r="Q99" s="3" t="s">
        <v>80</v>
      </c>
      <c r="R99" s="190">
        <f>+P99/P100</f>
        <v>0.105961</v>
      </c>
      <c r="S99" s="180">
        <v>0.1</v>
      </c>
    </row>
    <row r="100" spans="2:19" x14ac:dyDescent="0.25">
      <c r="B100" s="412" t="s">
        <v>100</v>
      </c>
      <c r="C100" s="413"/>
      <c r="D100" s="413"/>
      <c r="E100" s="413"/>
      <c r="G100" s="390" t="s">
        <v>86</v>
      </c>
      <c r="H100" s="390"/>
      <c r="I100" s="390"/>
      <c r="L100" s="172">
        <f>+C7</f>
        <v>1550</v>
      </c>
      <c r="O100" s="195"/>
      <c r="P100" s="172">
        <f>+E7</f>
        <v>2000</v>
      </c>
      <c r="S100" s="20"/>
    </row>
    <row r="101" spans="2:19" x14ac:dyDescent="0.25">
      <c r="B101" s="412"/>
      <c r="C101" s="413"/>
      <c r="D101" s="413"/>
      <c r="E101" s="413"/>
      <c r="O101" s="195"/>
      <c r="S101" s="20"/>
    </row>
    <row r="102" spans="2:19" x14ac:dyDescent="0.25">
      <c r="B102" s="19"/>
      <c r="O102" s="195"/>
      <c r="S102" s="20"/>
    </row>
    <row r="103" spans="2:19" x14ac:dyDescent="0.25">
      <c r="B103" s="128" t="s">
        <v>96</v>
      </c>
      <c r="G103" s="408" t="s">
        <v>95</v>
      </c>
      <c r="H103" s="408"/>
      <c r="I103" s="408"/>
      <c r="J103" s="2" t="s">
        <v>68</v>
      </c>
      <c r="L103" s="169">
        <f>+C18</f>
        <v>43.01</v>
      </c>
      <c r="M103" s="3" t="s">
        <v>80</v>
      </c>
      <c r="N103" s="192">
        <f>+L103/L104</f>
        <v>7.7775768535262205E-2</v>
      </c>
      <c r="O103" s="198">
        <v>0.156</v>
      </c>
      <c r="P103" s="169">
        <f>+E18</f>
        <v>211.922</v>
      </c>
      <c r="Q103" s="3" t="s">
        <v>80</v>
      </c>
      <c r="R103" s="190">
        <f>+P103/P104</f>
        <v>0.2951559888579387</v>
      </c>
      <c r="S103" s="181">
        <v>0.23</v>
      </c>
    </row>
    <row r="104" spans="2:19" x14ac:dyDescent="0.25">
      <c r="B104" s="412" t="s">
        <v>101</v>
      </c>
      <c r="C104" s="413"/>
      <c r="D104" s="413"/>
      <c r="E104" s="413"/>
      <c r="G104" s="390" t="s">
        <v>97</v>
      </c>
      <c r="H104" s="390"/>
      <c r="I104" s="390"/>
      <c r="L104" s="57">
        <f>+D38</f>
        <v>553</v>
      </c>
      <c r="O104" s="195"/>
      <c r="P104" s="57">
        <f>+H38</f>
        <v>718</v>
      </c>
      <c r="S104" s="20"/>
    </row>
    <row r="105" spans="2:19" x14ac:dyDescent="0.25">
      <c r="B105" s="412"/>
      <c r="C105" s="413"/>
      <c r="D105" s="413"/>
      <c r="E105" s="413"/>
      <c r="O105" s="195"/>
      <c r="S105" s="20"/>
    </row>
    <row r="106" spans="2:19" x14ac:dyDescent="0.25">
      <c r="B106" s="19"/>
      <c r="O106" s="195"/>
      <c r="S106" s="20"/>
    </row>
    <row r="107" spans="2:19" x14ac:dyDescent="0.25">
      <c r="B107" s="128" t="s">
        <v>98</v>
      </c>
      <c r="G107" s="408" t="s">
        <v>95</v>
      </c>
      <c r="H107" s="408"/>
      <c r="I107" s="408"/>
      <c r="J107" s="2" t="s">
        <v>68</v>
      </c>
      <c r="L107" s="169">
        <f>+C18</f>
        <v>43.01</v>
      </c>
      <c r="M107" s="3" t="s">
        <v>80</v>
      </c>
      <c r="N107" s="192">
        <f>+L107/L108</f>
        <v>0.28296052631578944</v>
      </c>
      <c r="O107" s="198">
        <v>0.247</v>
      </c>
      <c r="P107" s="169">
        <f>+E18</f>
        <v>211.922</v>
      </c>
      <c r="Q107" s="3" t="s">
        <v>80</v>
      </c>
      <c r="R107" s="190">
        <f>+P107/P108</f>
        <v>0.81823166023166027</v>
      </c>
      <c r="S107" s="181">
        <v>0.3</v>
      </c>
    </row>
    <row r="108" spans="2:19" x14ac:dyDescent="0.25">
      <c r="B108" s="412" t="s">
        <v>102</v>
      </c>
      <c r="C108" s="413"/>
      <c r="D108" s="413"/>
      <c r="E108" s="413"/>
      <c r="F108" s="413"/>
      <c r="G108" s="390" t="s">
        <v>69</v>
      </c>
      <c r="H108" s="390"/>
      <c r="I108" s="390"/>
      <c r="L108" s="57">
        <f>+D56</f>
        <v>152</v>
      </c>
      <c r="O108" s="195"/>
      <c r="P108" s="57">
        <f>+H56</f>
        <v>259</v>
      </c>
      <c r="S108" s="20"/>
    </row>
    <row r="109" spans="2:19" x14ac:dyDescent="0.25">
      <c r="B109" s="414"/>
      <c r="C109" s="415"/>
      <c r="D109" s="415"/>
      <c r="E109" s="415"/>
      <c r="F109" s="415"/>
      <c r="G109" s="167"/>
      <c r="H109" s="167"/>
      <c r="I109" s="167"/>
      <c r="J109" s="167"/>
      <c r="K109" s="167"/>
      <c r="L109" s="167"/>
      <c r="M109" s="167"/>
      <c r="N109" s="167"/>
      <c r="O109" s="167"/>
      <c r="P109" s="167"/>
      <c r="Q109" s="167"/>
      <c r="R109" s="167"/>
      <c r="S109" s="168"/>
    </row>
    <row r="113" s="2" customFormat="1" x14ac:dyDescent="0.25"/>
    <row r="114" s="2" customFormat="1" x14ac:dyDescent="0.25"/>
    <row r="115" s="2" customFormat="1" x14ac:dyDescent="0.25"/>
    <row r="116" s="2" customFormat="1" x14ac:dyDescent="0.25"/>
    <row r="117" s="2" customFormat="1" x14ac:dyDescent="0.25"/>
    <row r="118" s="2" customFormat="1" x14ac:dyDescent="0.25"/>
    <row r="119" s="2" customFormat="1" x14ac:dyDescent="0.25"/>
    <row r="120" s="2" customFormat="1" x14ac:dyDescent="0.25"/>
    <row r="121" s="2" customFormat="1" x14ac:dyDescent="0.25"/>
    <row r="122" s="2" customFormat="1" x14ac:dyDescent="0.25"/>
    <row r="123" s="2" customFormat="1" x14ac:dyDescent="0.25"/>
    <row r="124" s="2" customFormat="1" x14ac:dyDescent="0.25"/>
    <row r="125" s="2" customFormat="1" x14ac:dyDescent="0.25"/>
    <row r="126" s="2" customFormat="1" x14ac:dyDescent="0.25"/>
    <row r="127" s="2" customFormat="1" x14ac:dyDescent="0.25"/>
    <row r="128" s="2" customFormat="1" x14ac:dyDescent="0.25"/>
    <row r="129" s="2" customFormat="1" x14ac:dyDescent="0.25"/>
    <row r="130" s="2" customFormat="1" x14ac:dyDescent="0.25"/>
    <row r="131" s="2" customFormat="1" x14ac:dyDescent="0.25"/>
    <row r="132" s="2" customFormat="1" x14ac:dyDescent="0.25"/>
    <row r="133" s="2" customFormat="1" x14ac:dyDescent="0.25"/>
    <row r="134" s="2" customFormat="1" x14ac:dyDescent="0.25"/>
    <row r="135" s="2" customFormat="1" x14ac:dyDescent="0.25"/>
    <row r="136" s="2" customFormat="1" x14ac:dyDescent="0.25"/>
    <row r="137" s="2" customFormat="1" x14ac:dyDescent="0.25"/>
    <row r="138" s="2" customFormat="1" x14ac:dyDescent="0.25"/>
    <row r="139" s="2" customFormat="1" x14ac:dyDescent="0.25"/>
    <row r="140" s="2" customFormat="1" x14ac:dyDescent="0.25"/>
    <row r="141" s="2" customFormat="1" x14ac:dyDescent="0.25"/>
    <row r="142" s="2" customFormat="1" x14ac:dyDescent="0.25"/>
    <row r="143" s="2" customFormat="1" x14ac:dyDescent="0.25"/>
    <row r="144" s="2" customFormat="1" x14ac:dyDescent="0.25"/>
    <row r="145" s="2" customFormat="1" x14ac:dyDescent="0.25"/>
    <row r="146" s="2" customFormat="1" x14ac:dyDescent="0.25"/>
    <row r="147" s="2" customFormat="1" x14ac:dyDescent="0.25"/>
    <row r="148" s="2" customFormat="1" x14ac:dyDescent="0.25"/>
    <row r="149" s="2" customFormat="1" x14ac:dyDescent="0.25"/>
    <row r="150" s="2" customFormat="1" x14ac:dyDescent="0.25"/>
    <row r="151" s="2" customFormat="1" x14ac:dyDescent="0.25"/>
    <row r="152" s="2" customFormat="1" x14ac:dyDescent="0.25"/>
  </sheetData>
  <mergeCells count="98">
    <mergeCell ref="G107:I107"/>
    <mergeCell ref="B108:F109"/>
    <mergeCell ref="G108:I108"/>
    <mergeCell ref="G99:I99"/>
    <mergeCell ref="B100:E101"/>
    <mergeCell ref="G100:I100"/>
    <mergeCell ref="G103:I103"/>
    <mergeCell ref="B104:E105"/>
    <mergeCell ref="G104:I104"/>
    <mergeCell ref="B96:E97"/>
    <mergeCell ref="G96:I96"/>
    <mergeCell ref="G77:I77"/>
    <mergeCell ref="G79:I79"/>
    <mergeCell ref="B80:E81"/>
    <mergeCell ref="G80:I80"/>
    <mergeCell ref="G83:I83"/>
    <mergeCell ref="B84:E85"/>
    <mergeCell ref="G84:I84"/>
    <mergeCell ref="B87:K87"/>
    <mergeCell ref="B90:E91"/>
    <mergeCell ref="G90:I90"/>
    <mergeCell ref="G91:I91"/>
    <mergeCell ref="G95:I95"/>
    <mergeCell ref="G76:I76"/>
    <mergeCell ref="B62:S62"/>
    <mergeCell ref="B63:K63"/>
    <mergeCell ref="L63:N64"/>
    <mergeCell ref="O63:O64"/>
    <mergeCell ref="P63:R64"/>
    <mergeCell ref="S63:S64"/>
    <mergeCell ref="B64:K64"/>
    <mergeCell ref="B67:E69"/>
    <mergeCell ref="G67:I67"/>
    <mergeCell ref="B72:E74"/>
    <mergeCell ref="G72:I72"/>
    <mergeCell ref="G73:I73"/>
    <mergeCell ref="O57:Q57"/>
    <mergeCell ref="O44:Q44"/>
    <mergeCell ref="O45:Q45"/>
    <mergeCell ref="O46:Q46"/>
    <mergeCell ref="O47:Q47"/>
    <mergeCell ref="O48:Q48"/>
    <mergeCell ref="O51:Q51"/>
    <mergeCell ref="O52:Q52"/>
    <mergeCell ref="O53:Q53"/>
    <mergeCell ref="O54:Q54"/>
    <mergeCell ref="O55:Q55"/>
    <mergeCell ref="O56:Q56"/>
    <mergeCell ref="D40:E41"/>
    <mergeCell ref="H40:I41"/>
    <mergeCell ref="O40:Q40"/>
    <mergeCell ref="O41:Q41"/>
    <mergeCell ref="O42:Q42"/>
    <mergeCell ref="O43:Q43"/>
    <mergeCell ref="O33:Q33"/>
    <mergeCell ref="O34:Q34"/>
    <mergeCell ref="O35:Q35"/>
    <mergeCell ref="O36:Q36"/>
    <mergeCell ref="O37:Q37"/>
    <mergeCell ref="O39:Q39"/>
    <mergeCell ref="O32:Q32"/>
    <mergeCell ref="D23:K23"/>
    <mergeCell ref="O23:V23"/>
    <mergeCell ref="D24:K24"/>
    <mergeCell ref="O24:V24"/>
    <mergeCell ref="D26:G26"/>
    <mergeCell ref="H26:K26"/>
    <mergeCell ref="O27:Q27"/>
    <mergeCell ref="O28:Q28"/>
    <mergeCell ref="O29:Q29"/>
    <mergeCell ref="O30:Q30"/>
    <mergeCell ref="O31:Q31"/>
    <mergeCell ref="O21:V21"/>
    <mergeCell ref="D22:K22"/>
    <mergeCell ref="O22:V22"/>
    <mergeCell ref="J10:M10"/>
    <mergeCell ref="J11:M11"/>
    <mergeCell ref="J12:M12"/>
    <mergeCell ref="J13:M13"/>
    <mergeCell ref="J14:M14"/>
    <mergeCell ref="J15:M15"/>
    <mergeCell ref="J16:M16"/>
    <mergeCell ref="J17:M17"/>
    <mergeCell ref="J18:M18"/>
    <mergeCell ref="D21:K21"/>
    <mergeCell ref="M21:N22"/>
    <mergeCell ref="J9:M9"/>
    <mergeCell ref="B2:H2"/>
    <mergeCell ref="J2:P2"/>
    <mergeCell ref="B3:H3"/>
    <mergeCell ref="J3:P3"/>
    <mergeCell ref="B4:H4"/>
    <mergeCell ref="J4:P4"/>
    <mergeCell ref="C6:D6"/>
    <mergeCell ref="E6:F6"/>
    <mergeCell ref="J6:M6"/>
    <mergeCell ref="J7:M7"/>
    <mergeCell ref="J8:M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0873-9E92-43F4-906C-F07A3D873BDB}">
  <sheetPr>
    <tabColor rgb="FFCCFF99"/>
    <pageSetUpPr fitToPage="1"/>
  </sheetPr>
  <dimension ref="B2:N79"/>
  <sheetViews>
    <sheetView zoomScale="130" zoomScaleNormal="130" workbookViewId="0">
      <selection activeCell="I33" sqref="I33:N43"/>
    </sheetView>
  </sheetViews>
  <sheetFormatPr baseColWidth="10" defaultColWidth="11.44140625" defaultRowHeight="13.8" x14ac:dyDescent="0.25"/>
  <cols>
    <col min="1" max="1" width="11.44140625" style="182"/>
    <col min="2" max="2" width="5" style="182" customWidth="1"/>
    <col min="3" max="7" width="11.44140625" style="182"/>
    <col min="8" max="8" width="2.44140625" style="182" customWidth="1"/>
    <col min="9" max="16384" width="11.44140625" style="182"/>
  </cols>
  <sheetData>
    <row r="2" spans="2:14" ht="14.25" customHeight="1" x14ac:dyDescent="0.25">
      <c r="B2" s="421" t="s">
        <v>103</v>
      </c>
      <c r="C2" s="419" t="s">
        <v>235</v>
      </c>
      <c r="D2" s="420"/>
      <c r="E2" s="420"/>
      <c r="F2" s="420"/>
      <c r="G2" s="420"/>
      <c r="H2" s="420"/>
      <c r="I2" s="420"/>
      <c r="J2" s="420"/>
      <c r="K2" s="420"/>
      <c r="L2" s="420"/>
      <c r="M2" s="420"/>
      <c r="N2" s="420"/>
    </row>
    <row r="3" spans="2:14" x14ac:dyDescent="0.25">
      <c r="B3" s="421"/>
      <c r="C3" s="420"/>
      <c r="D3" s="420"/>
      <c r="E3" s="420"/>
      <c r="F3" s="420"/>
      <c r="G3" s="420"/>
      <c r="H3" s="420"/>
      <c r="I3" s="420"/>
      <c r="J3" s="420"/>
      <c r="K3" s="420"/>
      <c r="L3" s="420"/>
      <c r="M3" s="420"/>
      <c r="N3" s="420"/>
    </row>
    <row r="4" spans="2:14" x14ac:dyDescent="0.25">
      <c r="B4" s="421"/>
      <c r="C4" s="420"/>
      <c r="D4" s="420"/>
      <c r="E4" s="420"/>
      <c r="F4" s="420"/>
      <c r="G4" s="420"/>
      <c r="H4" s="420"/>
      <c r="I4" s="420"/>
      <c r="J4" s="420"/>
      <c r="K4" s="420"/>
      <c r="L4" s="420"/>
      <c r="M4" s="420"/>
      <c r="N4" s="420"/>
    </row>
    <row r="6" spans="2:14" ht="14.25" customHeight="1" x14ac:dyDescent="0.25">
      <c r="C6" s="407" t="s">
        <v>234</v>
      </c>
      <c r="D6" s="422"/>
      <c r="E6" s="422"/>
      <c r="F6" s="422"/>
      <c r="G6" s="422"/>
      <c r="H6" s="422"/>
      <c r="I6" s="422"/>
      <c r="J6" s="422"/>
      <c r="K6" s="422"/>
      <c r="L6" s="422"/>
      <c r="M6" s="422"/>
      <c r="N6" s="422"/>
    </row>
    <row r="7" spans="2:14" x14ac:dyDescent="0.25">
      <c r="C7" s="422"/>
      <c r="D7" s="422"/>
      <c r="E7" s="422"/>
      <c r="F7" s="422"/>
      <c r="G7" s="422"/>
      <c r="H7" s="422"/>
      <c r="I7" s="422"/>
      <c r="J7" s="422"/>
      <c r="K7" s="422"/>
      <c r="L7" s="422"/>
      <c r="M7" s="422"/>
      <c r="N7" s="422"/>
    </row>
    <row r="8" spans="2:14" x14ac:dyDescent="0.25">
      <c r="C8" s="422"/>
      <c r="D8" s="422"/>
      <c r="E8" s="422"/>
      <c r="F8" s="422"/>
      <c r="G8" s="422"/>
      <c r="H8" s="422"/>
      <c r="I8" s="422"/>
      <c r="J8" s="422"/>
      <c r="K8" s="422"/>
      <c r="L8" s="422"/>
      <c r="M8" s="422"/>
      <c r="N8" s="422"/>
    </row>
    <row r="9" spans="2:14" x14ac:dyDescent="0.25">
      <c r="C9" s="422"/>
      <c r="D9" s="422"/>
      <c r="E9" s="422"/>
      <c r="F9" s="422"/>
      <c r="G9" s="422"/>
      <c r="H9" s="422"/>
      <c r="I9" s="422"/>
      <c r="J9" s="422"/>
      <c r="K9" s="422"/>
      <c r="L9" s="422"/>
      <c r="M9" s="422"/>
      <c r="N9" s="422"/>
    </row>
    <row r="11" spans="2:14" ht="14.25" customHeight="1" x14ac:dyDescent="0.25">
      <c r="B11" s="421" t="s">
        <v>104</v>
      </c>
      <c r="C11" s="423" t="s">
        <v>105</v>
      </c>
      <c r="D11" s="423"/>
      <c r="E11" s="423"/>
      <c r="F11" s="423"/>
      <c r="G11" s="423"/>
      <c r="H11" s="423"/>
      <c r="I11" s="423"/>
      <c r="J11" s="423"/>
      <c r="K11" s="423"/>
      <c r="L11" s="423"/>
      <c r="M11" s="423"/>
      <c r="N11" s="423"/>
    </row>
    <row r="12" spans="2:14" x14ac:dyDescent="0.25">
      <c r="B12" s="421"/>
      <c r="C12" s="423"/>
      <c r="D12" s="423"/>
      <c r="E12" s="423"/>
      <c r="F12" s="423"/>
      <c r="G12" s="423"/>
      <c r="H12" s="423"/>
      <c r="I12" s="423"/>
      <c r="J12" s="423"/>
      <c r="K12" s="423"/>
      <c r="L12" s="423"/>
      <c r="M12" s="423"/>
      <c r="N12" s="423"/>
    </row>
    <row r="14" spans="2:14" x14ac:dyDescent="0.25">
      <c r="C14" s="413" t="s">
        <v>236</v>
      </c>
      <c r="D14" s="413"/>
      <c r="E14" s="413"/>
      <c r="F14" s="413"/>
      <c r="G14" s="413"/>
      <c r="H14" s="413"/>
      <c r="I14" s="413"/>
      <c r="J14" s="413"/>
      <c r="K14" s="413"/>
      <c r="L14" s="413"/>
      <c r="M14" s="413"/>
      <c r="N14" s="413"/>
    </row>
    <row r="15" spans="2:14" x14ac:dyDescent="0.25">
      <c r="C15" s="413"/>
      <c r="D15" s="413"/>
      <c r="E15" s="413"/>
      <c r="F15" s="413"/>
      <c r="G15" s="413"/>
      <c r="H15" s="413"/>
      <c r="I15" s="413"/>
      <c r="J15" s="413"/>
      <c r="K15" s="413"/>
      <c r="L15" s="413"/>
      <c r="M15" s="413"/>
      <c r="N15" s="413"/>
    </row>
    <row r="16" spans="2:14" x14ac:dyDescent="0.25">
      <c r="C16" s="413" t="s">
        <v>239</v>
      </c>
      <c r="D16" s="413"/>
      <c r="E16" s="413"/>
      <c r="F16" s="413"/>
      <c r="G16" s="413"/>
      <c r="H16" s="413"/>
      <c r="I16" s="413"/>
      <c r="J16" s="413"/>
      <c r="K16" s="413"/>
      <c r="L16" s="413"/>
      <c r="M16" s="413"/>
      <c r="N16" s="413"/>
    </row>
    <row r="17" spans="2:14" x14ac:dyDescent="0.25">
      <c r="C17" s="413"/>
      <c r="D17" s="413"/>
      <c r="E17" s="413"/>
      <c r="F17" s="413"/>
      <c r="G17" s="413"/>
      <c r="H17" s="413"/>
      <c r="I17" s="413"/>
      <c r="J17" s="413"/>
      <c r="K17" s="413"/>
      <c r="L17" s="413"/>
      <c r="M17" s="413"/>
      <c r="N17" s="413"/>
    </row>
    <row r="18" spans="2:14" x14ac:dyDescent="0.25">
      <c r="C18" s="413" t="s">
        <v>237</v>
      </c>
      <c r="D18" s="413"/>
      <c r="E18" s="413"/>
      <c r="F18" s="413"/>
      <c r="G18" s="413"/>
      <c r="H18" s="413"/>
      <c r="I18" s="413"/>
      <c r="J18" s="413"/>
      <c r="K18" s="413"/>
      <c r="L18" s="413"/>
      <c r="M18" s="413"/>
      <c r="N18" s="413"/>
    </row>
    <row r="19" spans="2:14" x14ac:dyDescent="0.25">
      <c r="C19" s="413"/>
      <c r="D19" s="413"/>
      <c r="E19" s="413"/>
      <c r="F19" s="413"/>
      <c r="G19" s="413"/>
      <c r="H19" s="413"/>
      <c r="I19" s="413"/>
      <c r="J19" s="413"/>
      <c r="K19" s="413"/>
      <c r="L19" s="413"/>
      <c r="M19" s="413"/>
      <c r="N19" s="413"/>
    </row>
    <row r="20" spans="2:14" x14ac:dyDescent="0.25">
      <c r="C20" s="413" t="s">
        <v>240</v>
      </c>
      <c r="D20" s="413"/>
      <c r="E20" s="413"/>
      <c r="F20" s="413"/>
      <c r="G20" s="413"/>
      <c r="H20" s="413"/>
      <c r="I20" s="413"/>
      <c r="J20" s="413"/>
      <c r="K20" s="413"/>
      <c r="L20" s="413"/>
      <c r="M20" s="413"/>
      <c r="N20" s="413"/>
    </row>
    <row r="21" spans="2:14" x14ac:dyDescent="0.25">
      <c r="C21" s="413"/>
      <c r="D21" s="413"/>
      <c r="E21" s="413"/>
      <c r="F21" s="413"/>
      <c r="G21" s="413"/>
      <c r="H21" s="413"/>
      <c r="I21" s="413"/>
      <c r="J21" s="413"/>
      <c r="K21" s="413"/>
      <c r="L21" s="413"/>
      <c r="M21" s="413"/>
      <c r="N21" s="413"/>
    </row>
    <row r="22" spans="2:14" x14ac:dyDescent="0.25">
      <c r="C22" s="413" t="s">
        <v>238</v>
      </c>
      <c r="D22" s="413"/>
      <c r="E22" s="413"/>
      <c r="F22" s="413"/>
      <c r="G22" s="413"/>
      <c r="H22" s="413"/>
      <c r="I22" s="413"/>
      <c r="J22" s="413"/>
      <c r="K22" s="413"/>
      <c r="L22" s="413"/>
      <c r="M22" s="413"/>
      <c r="N22" s="413"/>
    </row>
    <row r="23" spans="2:14" x14ac:dyDescent="0.25">
      <c r="C23" s="413"/>
      <c r="D23" s="413"/>
      <c r="E23" s="413"/>
      <c r="F23" s="413"/>
      <c r="G23" s="413"/>
      <c r="H23" s="413"/>
      <c r="I23" s="413"/>
      <c r="J23" s="413"/>
      <c r="K23" s="413"/>
      <c r="L23" s="413"/>
      <c r="M23" s="413"/>
      <c r="N23" s="413"/>
    </row>
    <row r="24" spans="2:14" x14ac:dyDescent="0.25">
      <c r="C24" s="413"/>
      <c r="D24" s="413"/>
      <c r="E24" s="413"/>
      <c r="F24" s="413"/>
      <c r="G24" s="413"/>
      <c r="H24" s="413"/>
      <c r="I24" s="413"/>
      <c r="J24" s="413"/>
      <c r="K24" s="413"/>
      <c r="L24" s="413"/>
      <c r="M24" s="413"/>
      <c r="N24" s="413"/>
    </row>
    <row r="25" spans="2:14" x14ac:dyDescent="0.25">
      <c r="C25" s="245"/>
      <c r="D25" s="245"/>
      <c r="E25" s="245"/>
      <c r="F25" s="245"/>
      <c r="G25" s="245"/>
      <c r="H25" s="245"/>
      <c r="I25" s="245"/>
      <c r="J25" s="245"/>
      <c r="K25" s="245"/>
      <c r="L25" s="245"/>
      <c r="M25" s="245"/>
      <c r="N25" s="245"/>
    </row>
    <row r="26" spans="2:14" x14ac:dyDescent="0.25">
      <c r="C26" s="245"/>
      <c r="D26" s="245"/>
      <c r="E26" s="245"/>
      <c r="F26" s="245"/>
      <c r="G26" s="245"/>
      <c r="H26" s="245"/>
      <c r="I26" s="245"/>
      <c r="J26" s="245"/>
      <c r="K26" s="245"/>
      <c r="L26" s="245"/>
      <c r="M26" s="245"/>
      <c r="N26" s="245"/>
    </row>
    <row r="27" spans="2:14" ht="14.25" customHeight="1" x14ac:dyDescent="0.25">
      <c r="B27" s="421" t="s">
        <v>106</v>
      </c>
      <c r="C27" s="420" t="s">
        <v>107</v>
      </c>
      <c r="D27" s="420"/>
      <c r="E27" s="420"/>
      <c r="F27" s="420"/>
      <c r="G27" s="420"/>
      <c r="H27" s="420"/>
      <c r="I27" s="420"/>
      <c r="J27" s="420"/>
      <c r="K27" s="420"/>
      <c r="L27" s="420"/>
      <c r="M27" s="420"/>
      <c r="N27" s="420"/>
    </row>
    <row r="28" spans="2:14" x14ac:dyDescent="0.25">
      <c r="B28" s="421"/>
      <c r="C28" s="420"/>
      <c r="D28" s="420"/>
      <c r="E28" s="420"/>
      <c r="F28" s="420"/>
      <c r="G28" s="420"/>
      <c r="H28" s="420"/>
      <c r="I28" s="420"/>
      <c r="J28" s="420"/>
      <c r="K28" s="420"/>
      <c r="L28" s="420"/>
      <c r="M28" s="420"/>
      <c r="N28" s="420"/>
    </row>
    <row r="29" spans="2:14" x14ac:dyDescent="0.25">
      <c r="B29" s="421"/>
      <c r="C29" s="420"/>
      <c r="D29" s="420"/>
      <c r="E29" s="420"/>
      <c r="F29" s="420"/>
      <c r="G29" s="420"/>
      <c r="H29" s="420"/>
      <c r="I29" s="420"/>
      <c r="J29" s="420"/>
      <c r="K29" s="420"/>
      <c r="L29" s="420"/>
      <c r="M29" s="420"/>
      <c r="N29" s="420"/>
    </row>
    <row r="30" spans="2:14" ht="14.4" thickBot="1" x14ac:dyDescent="0.3"/>
    <row r="31" spans="2:14" s="2" customFormat="1" ht="17.399999999999999" x14ac:dyDescent="0.3">
      <c r="B31" s="429" t="s">
        <v>109</v>
      </c>
      <c r="C31" s="430"/>
      <c r="D31" s="430"/>
      <c r="E31" s="430"/>
      <c r="F31" s="430"/>
      <c r="G31" s="430"/>
      <c r="H31" s="430"/>
      <c r="I31" s="430"/>
      <c r="J31" s="430"/>
      <c r="K31" s="430"/>
      <c r="L31" s="430"/>
      <c r="M31" s="430"/>
      <c r="N31" s="431"/>
    </row>
    <row r="32" spans="2:14" s="2" customFormat="1" ht="14.25" customHeight="1" x14ac:dyDescent="0.25">
      <c r="B32" s="426">
        <v>2022</v>
      </c>
      <c r="C32" s="427"/>
      <c r="D32" s="427"/>
      <c r="E32" s="427"/>
      <c r="F32" s="427"/>
      <c r="G32" s="427"/>
      <c r="H32" s="446"/>
      <c r="I32" s="449">
        <v>2023</v>
      </c>
      <c r="J32" s="450"/>
      <c r="K32" s="450"/>
      <c r="L32" s="450"/>
      <c r="M32" s="450"/>
      <c r="N32" s="451"/>
    </row>
    <row r="33" spans="2:14" s="2" customFormat="1" ht="14.25" customHeight="1" x14ac:dyDescent="0.25">
      <c r="B33" s="424" t="s">
        <v>241</v>
      </c>
      <c r="C33" s="425"/>
      <c r="D33" s="425"/>
      <c r="E33" s="425"/>
      <c r="F33" s="425"/>
      <c r="G33" s="425"/>
      <c r="H33" s="447"/>
      <c r="I33" s="425" t="s">
        <v>260</v>
      </c>
      <c r="J33" s="425"/>
      <c r="K33" s="425"/>
      <c r="L33" s="425"/>
      <c r="M33" s="425"/>
      <c r="N33" s="428"/>
    </row>
    <row r="34" spans="2:14" x14ac:dyDescent="0.25">
      <c r="B34" s="424"/>
      <c r="C34" s="425"/>
      <c r="D34" s="425"/>
      <c r="E34" s="425"/>
      <c r="F34" s="425"/>
      <c r="G34" s="425"/>
      <c r="H34" s="447"/>
      <c r="I34" s="425"/>
      <c r="J34" s="425"/>
      <c r="K34" s="425"/>
      <c r="L34" s="425"/>
      <c r="M34" s="425"/>
      <c r="N34" s="428"/>
    </row>
    <row r="35" spans="2:14" x14ac:dyDescent="0.25">
      <c r="B35" s="424"/>
      <c r="C35" s="425"/>
      <c r="D35" s="425"/>
      <c r="E35" s="425"/>
      <c r="F35" s="425"/>
      <c r="G35" s="425"/>
      <c r="H35" s="447"/>
      <c r="I35" s="425"/>
      <c r="J35" s="425"/>
      <c r="K35" s="425"/>
      <c r="L35" s="425"/>
      <c r="M35" s="425"/>
      <c r="N35" s="428"/>
    </row>
    <row r="36" spans="2:14" ht="14.25" customHeight="1" x14ac:dyDescent="0.25">
      <c r="B36" s="424" t="s">
        <v>242</v>
      </c>
      <c r="C36" s="425"/>
      <c r="D36" s="425"/>
      <c r="E36" s="425"/>
      <c r="F36" s="425"/>
      <c r="G36" s="425"/>
      <c r="H36" s="447"/>
      <c r="I36" s="435" t="s">
        <v>242</v>
      </c>
      <c r="J36" s="435"/>
      <c r="K36" s="435"/>
      <c r="L36" s="435"/>
      <c r="M36" s="435"/>
      <c r="N36" s="436"/>
    </row>
    <row r="37" spans="2:14" x14ac:dyDescent="0.25">
      <c r="B37" s="424"/>
      <c r="C37" s="425"/>
      <c r="D37" s="425"/>
      <c r="E37" s="425"/>
      <c r="F37" s="425"/>
      <c r="G37" s="425"/>
      <c r="H37" s="447"/>
      <c r="I37" s="435"/>
      <c r="J37" s="435"/>
      <c r="K37" s="435"/>
      <c r="L37" s="435"/>
      <c r="M37" s="435"/>
      <c r="N37" s="436"/>
    </row>
    <row r="38" spans="2:14" x14ac:dyDescent="0.25">
      <c r="B38" s="424"/>
      <c r="C38" s="425"/>
      <c r="D38" s="425"/>
      <c r="E38" s="425"/>
      <c r="F38" s="425"/>
      <c r="G38" s="425"/>
      <c r="H38" s="447"/>
      <c r="I38" s="435"/>
      <c r="J38" s="435"/>
      <c r="K38" s="435"/>
      <c r="L38" s="435"/>
      <c r="M38" s="435"/>
      <c r="N38" s="436"/>
    </row>
    <row r="39" spans="2:14" x14ac:dyDescent="0.25">
      <c r="B39" s="424"/>
      <c r="C39" s="425"/>
      <c r="D39" s="425"/>
      <c r="E39" s="425"/>
      <c r="F39" s="425"/>
      <c r="G39" s="425"/>
      <c r="H39" s="447"/>
      <c r="I39" s="435"/>
      <c r="J39" s="435"/>
      <c r="K39" s="435"/>
      <c r="L39" s="435"/>
      <c r="M39" s="435"/>
      <c r="N39" s="436"/>
    </row>
    <row r="40" spans="2:14" ht="14.25" customHeight="1" x14ac:dyDescent="0.25">
      <c r="B40" s="424" t="s">
        <v>243</v>
      </c>
      <c r="C40" s="425"/>
      <c r="D40" s="425"/>
      <c r="E40" s="425"/>
      <c r="F40" s="425"/>
      <c r="G40" s="425"/>
      <c r="H40" s="447"/>
      <c r="I40" s="435" t="s">
        <v>261</v>
      </c>
      <c r="J40" s="435"/>
      <c r="K40" s="435"/>
      <c r="L40" s="435"/>
      <c r="M40" s="435"/>
      <c r="N40" s="436"/>
    </row>
    <row r="41" spans="2:14" x14ac:dyDescent="0.25">
      <c r="B41" s="424"/>
      <c r="C41" s="425"/>
      <c r="D41" s="425"/>
      <c r="E41" s="425"/>
      <c r="F41" s="425"/>
      <c r="G41" s="425"/>
      <c r="H41" s="447"/>
      <c r="I41" s="435"/>
      <c r="J41" s="435"/>
      <c r="K41" s="435"/>
      <c r="L41" s="435"/>
      <c r="M41" s="435"/>
      <c r="N41" s="436"/>
    </row>
    <row r="42" spans="2:14" x14ac:dyDescent="0.25">
      <c r="B42" s="424"/>
      <c r="C42" s="425"/>
      <c r="D42" s="425"/>
      <c r="E42" s="425"/>
      <c r="F42" s="425"/>
      <c r="G42" s="425"/>
      <c r="H42" s="447"/>
      <c r="I42" s="435"/>
      <c r="J42" s="435"/>
      <c r="K42" s="435"/>
      <c r="L42" s="435"/>
      <c r="M42" s="435"/>
      <c r="N42" s="436"/>
    </row>
    <row r="43" spans="2:14" ht="14.4" thickBot="1" x14ac:dyDescent="0.3">
      <c r="B43" s="437"/>
      <c r="C43" s="438"/>
      <c r="D43" s="438"/>
      <c r="E43" s="438"/>
      <c r="F43" s="438"/>
      <c r="G43" s="438"/>
      <c r="H43" s="448"/>
      <c r="I43" s="439"/>
      <c r="J43" s="439"/>
      <c r="K43" s="439"/>
      <c r="L43" s="439"/>
      <c r="M43" s="439"/>
      <c r="N43" s="440"/>
    </row>
    <row r="44" spans="2:14" ht="14.4" thickBot="1" x14ac:dyDescent="0.3"/>
    <row r="45" spans="2:14" ht="17.399999999999999" x14ac:dyDescent="0.3">
      <c r="B45" s="441" t="s">
        <v>110</v>
      </c>
      <c r="C45" s="442"/>
      <c r="D45" s="442"/>
      <c r="E45" s="442"/>
      <c r="F45" s="442"/>
      <c r="G45" s="442"/>
      <c r="H45" s="442"/>
      <c r="I45" s="442"/>
      <c r="J45" s="442"/>
      <c r="K45" s="442"/>
      <c r="L45" s="442"/>
      <c r="M45" s="442"/>
      <c r="N45" s="186"/>
    </row>
    <row r="46" spans="2:14" x14ac:dyDescent="0.25">
      <c r="B46" s="426" t="s">
        <v>111</v>
      </c>
      <c r="C46" s="427"/>
      <c r="D46" s="427"/>
      <c r="E46" s="427"/>
      <c r="F46" s="427"/>
      <c r="G46" s="427"/>
      <c r="H46" s="427"/>
      <c r="I46" s="427"/>
      <c r="J46" s="427"/>
      <c r="K46" s="427"/>
      <c r="L46" s="427"/>
      <c r="M46" s="427"/>
      <c r="N46" s="456"/>
    </row>
    <row r="47" spans="2:14" x14ac:dyDescent="0.25">
      <c r="B47" s="432" t="s">
        <v>244</v>
      </c>
      <c r="C47" s="433"/>
      <c r="D47" s="433"/>
      <c r="E47" s="433"/>
      <c r="F47" s="433"/>
      <c r="G47" s="433"/>
      <c r="H47" s="433"/>
      <c r="I47" s="433"/>
      <c r="J47" s="433"/>
      <c r="K47" s="433"/>
      <c r="L47" s="433"/>
      <c r="M47" s="433"/>
      <c r="N47" s="434"/>
    </row>
    <row r="48" spans="2:14" x14ac:dyDescent="0.25">
      <c r="B48" s="453" t="s">
        <v>245</v>
      </c>
      <c r="C48" s="454"/>
      <c r="D48" s="454"/>
      <c r="E48" s="454"/>
      <c r="F48" s="454"/>
      <c r="G48" s="454"/>
      <c r="H48" s="454"/>
      <c r="I48" s="454"/>
      <c r="J48" s="454"/>
      <c r="K48" s="454"/>
      <c r="L48" s="454"/>
      <c r="M48" s="454"/>
      <c r="N48" s="455"/>
    </row>
    <row r="49" spans="2:14" x14ac:dyDescent="0.25">
      <c r="B49" s="453"/>
      <c r="C49" s="454"/>
      <c r="D49" s="454"/>
      <c r="E49" s="454"/>
      <c r="F49" s="454"/>
      <c r="G49" s="454"/>
      <c r="H49" s="454"/>
      <c r="I49" s="454"/>
      <c r="J49" s="454"/>
      <c r="K49" s="454"/>
      <c r="L49" s="454"/>
      <c r="M49" s="454"/>
      <c r="N49" s="455"/>
    </row>
    <row r="50" spans="2:14" ht="14.4" thickBot="1" x14ac:dyDescent="0.3">
      <c r="B50" s="443" t="s">
        <v>246</v>
      </c>
      <c r="C50" s="444"/>
      <c r="D50" s="444"/>
      <c r="E50" s="444"/>
      <c r="F50" s="444"/>
      <c r="G50" s="444"/>
      <c r="H50" s="444"/>
      <c r="I50" s="444"/>
      <c r="J50" s="444"/>
      <c r="K50" s="444"/>
      <c r="L50" s="444"/>
      <c r="M50" s="444"/>
      <c r="N50" s="445"/>
    </row>
    <row r="52" spans="2:14" ht="17.399999999999999" x14ac:dyDescent="0.3">
      <c r="B52" s="452" t="s">
        <v>112</v>
      </c>
      <c r="C52" s="452"/>
      <c r="D52" s="452"/>
      <c r="E52" s="452"/>
      <c r="F52" s="452"/>
      <c r="G52" s="452"/>
      <c r="H52" s="452"/>
      <c r="I52" s="452"/>
      <c r="J52" s="452"/>
      <c r="K52" s="452"/>
      <c r="L52" s="452"/>
      <c r="M52" s="452"/>
      <c r="N52" s="452"/>
    </row>
    <row r="53" spans="2:14" x14ac:dyDescent="0.25">
      <c r="B53" s="425" t="s">
        <v>248</v>
      </c>
      <c r="C53" s="425"/>
      <c r="D53" s="425"/>
      <c r="E53" s="425"/>
      <c r="F53" s="425"/>
      <c r="G53" s="425"/>
      <c r="H53" s="425"/>
      <c r="I53" s="425"/>
      <c r="J53" s="425"/>
      <c r="K53" s="425"/>
      <c r="L53" s="425"/>
      <c r="M53" s="425"/>
      <c r="N53" s="425"/>
    </row>
    <row r="54" spans="2:14" x14ac:dyDescent="0.25">
      <c r="B54" s="425"/>
      <c r="C54" s="425"/>
      <c r="D54" s="425"/>
      <c r="E54" s="425"/>
      <c r="F54" s="425"/>
      <c r="G54" s="425"/>
      <c r="H54" s="425"/>
      <c r="I54" s="425"/>
      <c r="J54" s="425"/>
      <c r="K54" s="425"/>
      <c r="L54" s="425"/>
      <c r="M54" s="425"/>
      <c r="N54" s="425"/>
    </row>
    <row r="55" spans="2:14" x14ac:dyDescent="0.25">
      <c r="B55" s="425" t="s">
        <v>249</v>
      </c>
      <c r="C55" s="425"/>
      <c r="D55" s="425"/>
      <c r="E55" s="425"/>
      <c r="F55" s="425"/>
      <c r="G55" s="425"/>
      <c r="H55" s="425"/>
      <c r="I55" s="425"/>
      <c r="J55" s="425"/>
      <c r="K55" s="425"/>
      <c r="L55" s="425"/>
      <c r="M55" s="425"/>
      <c r="N55" s="425"/>
    </row>
    <row r="56" spans="2:14" x14ac:dyDescent="0.25">
      <c r="B56" s="425"/>
      <c r="C56" s="425"/>
      <c r="D56" s="425"/>
      <c r="E56" s="425"/>
      <c r="F56" s="425"/>
      <c r="G56" s="425"/>
      <c r="H56" s="425"/>
      <c r="I56" s="425"/>
      <c r="J56" s="425"/>
      <c r="K56" s="425"/>
      <c r="L56" s="425"/>
      <c r="M56" s="425"/>
      <c r="N56" s="425"/>
    </row>
    <row r="57" spans="2:14" x14ac:dyDescent="0.25">
      <c r="B57" s="433" t="s">
        <v>247</v>
      </c>
      <c r="C57" s="433"/>
      <c r="D57" s="433"/>
      <c r="E57" s="433"/>
      <c r="F57" s="433"/>
      <c r="G57" s="433"/>
      <c r="H57" s="433"/>
      <c r="I57" s="433"/>
      <c r="J57" s="433"/>
      <c r="K57" s="433"/>
      <c r="L57" s="433"/>
      <c r="M57" s="433"/>
      <c r="N57" s="433"/>
    </row>
    <row r="58" spans="2:14" ht="14.4" thickBot="1" x14ac:dyDescent="0.3">
      <c r="B58" s="187"/>
      <c r="C58" s="187"/>
      <c r="D58" s="187"/>
      <c r="E58" s="187"/>
      <c r="F58" s="187"/>
      <c r="G58" s="187"/>
      <c r="H58" s="187"/>
      <c r="I58" s="187"/>
      <c r="J58" s="187"/>
      <c r="K58" s="187"/>
      <c r="L58" s="187"/>
      <c r="M58" s="187"/>
      <c r="N58" s="187"/>
    </row>
    <row r="59" spans="2:14" ht="17.399999999999999" x14ac:dyDescent="0.3">
      <c r="B59" s="429" t="s">
        <v>113</v>
      </c>
      <c r="C59" s="430"/>
      <c r="D59" s="430"/>
      <c r="E59" s="430"/>
      <c r="F59" s="430"/>
      <c r="G59" s="430"/>
      <c r="H59" s="430"/>
      <c r="I59" s="430"/>
      <c r="J59" s="430"/>
      <c r="K59" s="430"/>
      <c r="L59" s="430"/>
      <c r="M59" s="430"/>
      <c r="N59" s="431"/>
    </row>
    <row r="60" spans="2:14" x14ac:dyDescent="0.25">
      <c r="B60" s="424" t="s">
        <v>252</v>
      </c>
      <c r="C60" s="425"/>
      <c r="D60" s="425"/>
      <c r="E60" s="425"/>
      <c r="F60" s="425"/>
      <c r="G60" s="425"/>
      <c r="H60" s="425"/>
      <c r="I60" s="425"/>
      <c r="J60" s="425"/>
      <c r="K60" s="425"/>
      <c r="L60" s="425"/>
      <c r="M60" s="425"/>
      <c r="N60" s="428"/>
    </row>
    <row r="61" spans="2:14" x14ac:dyDescent="0.25">
      <c r="B61" s="424"/>
      <c r="C61" s="425"/>
      <c r="D61" s="425"/>
      <c r="E61" s="425"/>
      <c r="F61" s="425"/>
      <c r="G61" s="425"/>
      <c r="H61" s="425"/>
      <c r="I61" s="425"/>
      <c r="J61" s="425"/>
      <c r="K61" s="425"/>
      <c r="L61" s="425"/>
      <c r="M61" s="425"/>
      <c r="N61" s="428"/>
    </row>
    <row r="62" spans="2:14" x14ac:dyDescent="0.25">
      <c r="B62" s="432" t="s">
        <v>250</v>
      </c>
      <c r="C62" s="433"/>
      <c r="D62" s="433"/>
      <c r="E62" s="433"/>
      <c r="F62" s="433"/>
      <c r="G62" s="433"/>
      <c r="H62" s="433"/>
      <c r="I62" s="433"/>
      <c r="J62" s="433"/>
      <c r="K62" s="433"/>
      <c r="L62" s="433"/>
      <c r="M62" s="433"/>
      <c r="N62" s="434"/>
    </row>
    <row r="63" spans="2:14" ht="14.4" thickBot="1" x14ac:dyDescent="0.3">
      <c r="B63" s="443" t="s">
        <v>251</v>
      </c>
      <c r="C63" s="444"/>
      <c r="D63" s="444"/>
      <c r="E63" s="444"/>
      <c r="F63" s="444"/>
      <c r="G63" s="444"/>
      <c r="H63" s="444"/>
      <c r="I63" s="444"/>
      <c r="J63" s="444"/>
      <c r="K63" s="444"/>
      <c r="L63" s="444"/>
      <c r="M63" s="444"/>
      <c r="N63" s="445"/>
    </row>
    <row r="66" spans="2:14" ht="14.25" customHeight="1" x14ac:dyDescent="0.25">
      <c r="B66" s="421" t="s">
        <v>108</v>
      </c>
      <c r="C66" s="419" t="s">
        <v>253</v>
      </c>
      <c r="D66" s="420"/>
      <c r="E66" s="420"/>
      <c r="F66" s="420"/>
      <c r="G66" s="420"/>
      <c r="H66" s="420"/>
      <c r="I66" s="420"/>
      <c r="J66" s="420"/>
      <c r="K66" s="420"/>
      <c r="L66" s="420"/>
      <c r="M66" s="420"/>
      <c r="N66" s="420"/>
    </row>
    <row r="67" spans="2:14" x14ac:dyDescent="0.25">
      <c r="B67" s="421"/>
      <c r="C67" s="420"/>
      <c r="D67" s="420"/>
      <c r="E67" s="420"/>
      <c r="F67" s="420"/>
      <c r="G67" s="420"/>
      <c r="H67" s="420"/>
      <c r="I67" s="420"/>
      <c r="J67" s="420"/>
      <c r="K67" s="420"/>
      <c r="L67" s="420"/>
      <c r="M67" s="420"/>
      <c r="N67" s="420"/>
    </row>
    <row r="68" spans="2:14" x14ac:dyDescent="0.25">
      <c r="B68" s="185"/>
      <c r="C68" s="184"/>
      <c r="D68" s="184"/>
      <c r="E68" s="184"/>
      <c r="F68" s="184"/>
      <c r="G68" s="184"/>
      <c r="H68" s="184"/>
      <c r="I68" s="184"/>
      <c r="J68" s="184"/>
      <c r="K68" s="184"/>
    </row>
    <row r="69" spans="2:14" ht="13.8" customHeight="1" x14ac:dyDescent="0.25">
      <c r="C69" s="1" t="s">
        <v>114</v>
      </c>
      <c r="D69" s="2"/>
      <c r="E69" s="2"/>
      <c r="F69" s="2"/>
      <c r="G69" s="2"/>
      <c r="H69" s="2"/>
      <c r="I69" s="2"/>
      <c r="J69" s="2"/>
      <c r="K69" s="2"/>
      <c r="L69" s="2"/>
      <c r="M69" s="2"/>
      <c r="N69" s="2"/>
    </row>
    <row r="70" spans="2:14" x14ac:dyDescent="0.25">
      <c r="C70" s="407" t="s">
        <v>256</v>
      </c>
      <c r="D70" s="407"/>
      <c r="E70" s="407"/>
      <c r="F70" s="407"/>
      <c r="G70" s="407"/>
      <c r="H70" s="407"/>
      <c r="I70" s="407"/>
      <c r="J70" s="407"/>
      <c r="K70" s="407"/>
      <c r="L70" s="407"/>
      <c r="M70" s="407"/>
      <c r="N70" s="407"/>
    </row>
    <row r="71" spans="2:14" x14ac:dyDescent="0.25">
      <c r="C71" s="407"/>
      <c r="D71" s="407"/>
      <c r="E71" s="407"/>
      <c r="F71" s="407"/>
      <c r="G71" s="407"/>
      <c r="H71" s="407"/>
      <c r="I71" s="407"/>
      <c r="J71" s="407"/>
      <c r="K71" s="407"/>
      <c r="L71" s="407"/>
      <c r="M71" s="407"/>
      <c r="N71" s="407"/>
    </row>
    <row r="72" spans="2:14" x14ac:dyDescent="0.25">
      <c r="C72" s="407"/>
      <c r="D72" s="407"/>
      <c r="E72" s="407"/>
      <c r="F72" s="407"/>
      <c r="G72" s="407"/>
      <c r="H72" s="407"/>
      <c r="I72" s="407"/>
      <c r="J72" s="407"/>
      <c r="K72" s="407"/>
      <c r="L72" s="407"/>
      <c r="M72" s="407"/>
      <c r="N72" s="407"/>
    </row>
    <row r="73" spans="2:14" ht="13.8" customHeight="1" x14ac:dyDescent="0.25">
      <c r="C73" s="1" t="s">
        <v>115</v>
      </c>
      <c r="D73" s="2"/>
      <c r="E73" s="2"/>
      <c r="F73" s="2"/>
      <c r="G73" s="2"/>
      <c r="H73" s="2"/>
      <c r="I73" s="2"/>
      <c r="J73" s="2"/>
      <c r="K73" s="2"/>
      <c r="L73" s="2"/>
      <c r="M73" s="2"/>
      <c r="N73" s="2"/>
    </row>
    <row r="74" spans="2:14" x14ac:dyDescent="0.25">
      <c r="C74" s="407" t="s">
        <v>254</v>
      </c>
      <c r="D74" s="407"/>
      <c r="E74" s="407"/>
      <c r="F74" s="407"/>
      <c r="G74" s="407"/>
      <c r="H74" s="407"/>
      <c r="I74" s="407"/>
      <c r="J74" s="407"/>
      <c r="K74" s="407"/>
      <c r="L74" s="407"/>
      <c r="M74" s="407"/>
      <c r="N74" s="407"/>
    </row>
    <row r="75" spans="2:14" x14ac:dyDescent="0.25">
      <c r="C75" s="407"/>
      <c r="D75" s="407"/>
      <c r="E75" s="407"/>
      <c r="F75" s="407"/>
      <c r="G75" s="407"/>
      <c r="H75" s="407"/>
      <c r="I75" s="407"/>
      <c r="J75" s="407"/>
      <c r="K75" s="407"/>
      <c r="L75" s="407"/>
      <c r="M75" s="407"/>
      <c r="N75" s="407"/>
    </row>
    <row r="76" spans="2:14" x14ac:dyDescent="0.25">
      <c r="C76" s="407"/>
      <c r="D76" s="407"/>
      <c r="E76" s="407"/>
      <c r="F76" s="407"/>
      <c r="G76" s="407"/>
      <c r="H76" s="407"/>
      <c r="I76" s="407"/>
      <c r="J76" s="407"/>
      <c r="K76" s="407"/>
      <c r="L76" s="407"/>
      <c r="M76" s="407"/>
      <c r="N76" s="407"/>
    </row>
    <row r="77" spans="2:14" x14ac:dyDescent="0.25">
      <c r="C77" s="407"/>
      <c r="D77" s="407"/>
      <c r="E77" s="407"/>
      <c r="F77" s="407"/>
      <c r="G77" s="407"/>
      <c r="H77" s="407"/>
      <c r="I77" s="407"/>
      <c r="J77" s="407"/>
      <c r="K77" s="407"/>
      <c r="L77" s="407"/>
      <c r="M77" s="407"/>
      <c r="N77" s="407"/>
    </row>
    <row r="78" spans="2:14" x14ac:dyDescent="0.25">
      <c r="C78" s="2" t="s">
        <v>255</v>
      </c>
      <c r="D78" s="2"/>
      <c r="E78" s="2"/>
      <c r="F78" s="2"/>
      <c r="G78" s="2"/>
      <c r="H78" s="2"/>
      <c r="I78" s="2"/>
      <c r="J78" s="2"/>
      <c r="K78" s="2"/>
      <c r="L78" s="2"/>
      <c r="M78" s="2"/>
      <c r="N78" s="2"/>
    </row>
    <row r="79" spans="2:14" x14ac:dyDescent="0.25">
      <c r="C79" s="2"/>
      <c r="D79" s="2"/>
      <c r="E79" s="2"/>
      <c r="F79" s="2"/>
      <c r="G79" s="2"/>
      <c r="H79" s="2"/>
      <c r="I79" s="2"/>
      <c r="J79" s="2"/>
      <c r="K79" s="2"/>
      <c r="L79" s="2"/>
      <c r="M79" s="2"/>
      <c r="N79" s="2"/>
    </row>
  </sheetData>
  <mergeCells count="39">
    <mergeCell ref="C70:N72"/>
    <mergeCell ref="C74:N77"/>
    <mergeCell ref="B63:N63"/>
    <mergeCell ref="B59:N59"/>
    <mergeCell ref="H32:H43"/>
    <mergeCell ref="I32:N32"/>
    <mergeCell ref="B52:N52"/>
    <mergeCell ref="B53:N54"/>
    <mergeCell ref="B47:N47"/>
    <mergeCell ref="B48:N49"/>
    <mergeCell ref="B50:N50"/>
    <mergeCell ref="B46:N46"/>
    <mergeCell ref="C66:N67"/>
    <mergeCell ref="B66:B67"/>
    <mergeCell ref="B55:N56"/>
    <mergeCell ref="B57:N57"/>
    <mergeCell ref="B60:N61"/>
    <mergeCell ref="B62:N62"/>
    <mergeCell ref="B36:G39"/>
    <mergeCell ref="I36:N39"/>
    <mergeCell ref="B40:G43"/>
    <mergeCell ref="I40:N43"/>
    <mergeCell ref="B45:M45"/>
    <mergeCell ref="B33:G35"/>
    <mergeCell ref="B32:G32"/>
    <mergeCell ref="I33:N35"/>
    <mergeCell ref="B27:B29"/>
    <mergeCell ref="B11:B12"/>
    <mergeCell ref="B31:N31"/>
    <mergeCell ref="C14:N15"/>
    <mergeCell ref="C16:N17"/>
    <mergeCell ref="C18:N19"/>
    <mergeCell ref="C20:N21"/>
    <mergeCell ref="C22:N24"/>
    <mergeCell ref="C2:N4"/>
    <mergeCell ref="B2:B4"/>
    <mergeCell ref="C6:N9"/>
    <mergeCell ref="C11:N12"/>
    <mergeCell ref="C27:N29"/>
  </mergeCells>
  <pageMargins left="0.7" right="0.7" top="0.75" bottom="0.75" header="0.3" footer="0.3"/>
  <pageSetup scale="8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199C-91D9-417A-AF12-4BCC62A0A9C9}">
  <sheetPr>
    <tabColor rgb="FFCCFFFF"/>
    <pageSetUpPr fitToPage="1"/>
  </sheetPr>
  <dimension ref="B2:N54"/>
  <sheetViews>
    <sheetView workbookViewId="0">
      <selection activeCell="I33" sqref="I33:K33"/>
    </sheetView>
  </sheetViews>
  <sheetFormatPr baseColWidth="10" defaultColWidth="11.44140625" defaultRowHeight="13.8" x14ac:dyDescent="0.25"/>
  <cols>
    <col min="1" max="1" width="11.44140625" style="182"/>
    <col min="2" max="2" width="3.88671875" style="182" customWidth="1"/>
    <col min="3" max="6" width="11.44140625" style="182"/>
    <col min="7" max="7" width="14.109375" style="182" customWidth="1"/>
    <col min="8" max="8" width="16.5546875" style="182" customWidth="1"/>
    <col min="9" max="9" width="19.5546875" style="182" customWidth="1"/>
    <col min="10" max="10" width="11.44140625" style="182"/>
    <col min="11" max="11" width="18.44140625" style="182" customWidth="1"/>
    <col min="12" max="16384" width="11.44140625" style="182"/>
  </cols>
  <sheetData>
    <row r="2" spans="2:14" ht="14.25" customHeight="1" x14ac:dyDescent="0.25">
      <c r="B2" s="421">
        <v>2</v>
      </c>
      <c r="C2" s="420" t="s">
        <v>116</v>
      </c>
      <c r="D2" s="420"/>
      <c r="E2" s="420"/>
      <c r="F2" s="420"/>
      <c r="G2" s="420"/>
      <c r="H2" s="420"/>
      <c r="I2" s="420"/>
      <c r="J2" s="420"/>
      <c r="K2" s="420"/>
      <c r="L2" s="203"/>
      <c r="M2" s="203"/>
      <c r="N2" s="203"/>
    </row>
    <row r="3" spans="2:14" x14ac:dyDescent="0.25">
      <c r="B3" s="421"/>
      <c r="C3" s="420"/>
      <c r="D3" s="420"/>
      <c r="E3" s="420"/>
      <c r="F3" s="420"/>
      <c r="G3" s="420"/>
      <c r="H3" s="420"/>
      <c r="I3" s="420"/>
      <c r="J3" s="420"/>
      <c r="K3" s="420"/>
      <c r="L3" s="203"/>
      <c r="M3" s="203"/>
      <c r="N3" s="203"/>
    </row>
    <row r="4" spans="2:14" x14ac:dyDescent="0.25">
      <c r="B4" s="421"/>
      <c r="C4" s="420"/>
      <c r="D4" s="420"/>
      <c r="E4" s="420"/>
      <c r="F4" s="420"/>
      <c r="G4" s="420"/>
      <c r="H4" s="420"/>
      <c r="I4" s="420"/>
      <c r="J4" s="420"/>
      <c r="K4" s="420"/>
      <c r="L4" s="203"/>
      <c r="M4" s="203"/>
      <c r="N4" s="203"/>
    </row>
    <row r="5" spans="2:14" x14ac:dyDescent="0.25">
      <c r="B5" s="421"/>
      <c r="C5" s="420"/>
      <c r="D5" s="420"/>
      <c r="E5" s="420"/>
      <c r="F5" s="420"/>
      <c r="G5" s="420"/>
      <c r="H5" s="420"/>
      <c r="I5" s="420"/>
      <c r="J5" s="420"/>
      <c r="K5" s="420"/>
      <c r="L5" s="203"/>
      <c r="M5" s="203"/>
      <c r="N5" s="203"/>
    </row>
    <row r="6" spans="2:14" x14ac:dyDescent="0.25">
      <c r="B6" s="200"/>
      <c r="C6" s="183"/>
      <c r="D6" s="183"/>
      <c r="E6" s="183"/>
      <c r="F6" s="183"/>
      <c r="G6" s="183"/>
      <c r="H6" s="183"/>
      <c r="I6" s="183"/>
      <c r="J6" s="183"/>
      <c r="K6" s="183"/>
      <c r="L6" s="183"/>
      <c r="M6" s="183"/>
      <c r="N6" s="183"/>
    </row>
    <row r="7" spans="2:14" ht="15" customHeight="1" x14ac:dyDescent="0.25">
      <c r="C7" s="468" t="s">
        <v>124</v>
      </c>
      <c r="D7" s="468"/>
      <c r="E7" s="468"/>
      <c r="F7" s="468" t="s">
        <v>1</v>
      </c>
      <c r="G7" s="468" t="s">
        <v>2</v>
      </c>
      <c r="H7" s="467" t="s">
        <v>125</v>
      </c>
      <c r="I7" s="467" t="s">
        <v>126</v>
      </c>
    </row>
    <row r="8" spans="2:14" ht="27" customHeight="1" x14ac:dyDescent="0.25">
      <c r="C8" s="468"/>
      <c r="D8" s="468"/>
      <c r="E8" s="468"/>
      <c r="F8" s="468"/>
      <c r="G8" s="468"/>
      <c r="H8" s="467"/>
      <c r="I8" s="467"/>
    </row>
    <row r="9" spans="2:14" x14ac:dyDescent="0.25">
      <c r="C9" s="469" t="s">
        <v>117</v>
      </c>
      <c r="D9" s="469"/>
      <c r="E9" s="469"/>
      <c r="F9" s="199" t="s">
        <v>127</v>
      </c>
      <c r="G9" s="199" t="s">
        <v>128</v>
      </c>
      <c r="H9" s="199" t="s">
        <v>129</v>
      </c>
      <c r="I9" s="199" t="s">
        <v>130</v>
      </c>
    </row>
    <row r="10" spans="2:14" x14ac:dyDescent="0.25">
      <c r="C10" s="469" t="s">
        <v>118</v>
      </c>
      <c r="D10" s="469"/>
      <c r="E10" s="469"/>
      <c r="F10" s="201">
        <v>0.57999999999999996</v>
      </c>
      <c r="G10" s="201">
        <v>0.52</v>
      </c>
      <c r="H10" s="201">
        <v>0.5</v>
      </c>
      <c r="I10" s="201">
        <v>0.53</v>
      </c>
    </row>
    <row r="11" spans="2:14" x14ac:dyDescent="0.25">
      <c r="C11" s="469" t="s">
        <v>94</v>
      </c>
      <c r="D11" s="469"/>
      <c r="E11" s="469"/>
      <c r="F11" s="201">
        <v>0.1</v>
      </c>
      <c r="G11" s="201">
        <v>0.08</v>
      </c>
      <c r="H11" s="201">
        <v>0.12</v>
      </c>
      <c r="I11" s="201">
        <v>0.14000000000000001</v>
      </c>
    </row>
    <row r="12" spans="2:14" x14ac:dyDescent="0.25">
      <c r="C12" s="469" t="s">
        <v>119</v>
      </c>
      <c r="D12" s="469"/>
      <c r="E12" s="469"/>
      <c r="F12" s="199" t="s">
        <v>131</v>
      </c>
      <c r="G12" s="199" t="s">
        <v>132</v>
      </c>
      <c r="H12" s="199" t="s">
        <v>133</v>
      </c>
      <c r="I12" s="199" t="s">
        <v>133</v>
      </c>
    </row>
    <row r="13" spans="2:14" x14ac:dyDescent="0.25">
      <c r="C13" s="469" t="s">
        <v>120</v>
      </c>
      <c r="D13" s="469"/>
      <c r="E13" s="469"/>
      <c r="F13" s="202">
        <v>0.63349999999999995</v>
      </c>
      <c r="G13" s="202">
        <v>0.53449999999999998</v>
      </c>
      <c r="H13" s="201">
        <v>0.5</v>
      </c>
      <c r="I13" s="201">
        <v>0.45</v>
      </c>
      <c r="K13" s="360"/>
    </row>
    <row r="14" spans="2:14" x14ac:dyDescent="0.25">
      <c r="C14" s="469" t="s">
        <v>142</v>
      </c>
      <c r="D14" s="469"/>
      <c r="E14" s="469"/>
      <c r="F14" s="199" t="s">
        <v>134</v>
      </c>
      <c r="G14" s="199" t="s">
        <v>135</v>
      </c>
      <c r="H14" s="199" t="s">
        <v>136</v>
      </c>
      <c r="I14" s="199" t="s">
        <v>137</v>
      </c>
    </row>
    <row r="15" spans="2:14" x14ac:dyDescent="0.25">
      <c r="C15" s="469" t="s">
        <v>143</v>
      </c>
      <c r="D15" s="469"/>
      <c r="E15" s="469"/>
      <c r="F15" s="201">
        <v>0.09</v>
      </c>
      <c r="G15" s="201">
        <v>0.11</v>
      </c>
      <c r="H15" s="201">
        <v>0.15</v>
      </c>
      <c r="I15" s="201">
        <v>0.18</v>
      </c>
    </row>
    <row r="16" spans="2:14" x14ac:dyDescent="0.25">
      <c r="C16" s="469" t="s">
        <v>144</v>
      </c>
      <c r="D16" s="469"/>
      <c r="E16" s="469"/>
      <c r="F16" s="199" t="s">
        <v>138</v>
      </c>
      <c r="G16" s="199" t="s">
        <v>139</v>
      </c>
      <c r="H16" s="199" t="s">
        <v>140</v>
      </c>
      <c r="I16" s="199" t="s">
        <v>141</v>
      </c>
    </row>
    <row r="17" spans="2:11" x14ac:dyDescent="0.25">
      <c r="C17" s="469" t="s">
        <v>121</v>
      </c>
      <c r="D17" s="469"/>
      <c r="E17" s="469"/>
      <c r="F17" s="199" t="s">
        <v>145</v>
      </c>
      <c r="G17" s="199" t="s">
        <v>146</v>
      </c>
      <c r="H17" s="199" t="s">
        <v>147</v>
      </c>
      <c r="I17" s="199" t="s">
        <v>148</v>
      </c>
    </row>
    <row r="18" spans="2:11" x14ac:dyDescent="0.25">
      <c r="C18" s="469" t="s">
        <v>92</v>
      </c>
      <c r="D18" s="469"/>
      <c r="E18" s="469"/>
      <c r="F18" s="201">
        <v>0.41</v>
      </c>
      <c r="G18" s="201">
        <v>0.43</v>
      </c>
      <c r="H18" s="201">
        <v>0.5</v>
      </c>
      <c r="I18" s="201">
        <v>0.5</v>
      </c>
    </row>
    <row r="19" spans="2:11" x14ac:dyDescent="0.25">
      <c r="C19" s="469" t="s">
        <v>122</v>
      </c>
      <c r="D19" s="469"/>
      <c r="E19" s="469"/>
      <c r="F19" s="199" t="s">
        <v>149</v>
      </c>
      <c r="G19" s="199" t="s">
        <v>150</v>
      </c>
      <c r="H19" s="199" t="s">
        <v>134</v>
      </c>
      <c r="I19" s="199" t="s">
        <v>134</v>
      </c>
    </row>
    <row r="20" spans="2:11" x14ac:dyDescent="0.25">
      <c r="C20" s="469" t="s">
        <v>123</v>
      </c>
      <c r="D20" s="469"/>
      <c r="E20" s="469"/>
      <c r="F20" s="201">
        <v>0.03</v>
      </c>
      <c r="G20" s="202">
        <v>3.1E-2</v>
      </c>
      <c r="H20" s="201">
        <v>0.04</v>
      </c>
      <c r="I20" s="201">
        <v>0.05</v>
      </c>
    </row>
    <row r="23" spans="2:11" x14ac:dyDescent="0.25">
      <c r="B23" s="462" t="s">
        <v>151</v>
      </c>
      <c r="C23" s="470" t="s">
        <v>152</v>
      </c>
      <c r="D23" s="470"/>
      <c r="E23" s="470"/>
      <c r="F23" s="470"/>
      <c r="G23" s="470"/>
      <c r="H23" s="470"/>
      <c r="I23" s="470"/>
      <c r="J23" s="470"/>
      <c r="K23" s="470"/>
    </row>
    <row r="24" spans="2:11" x14ac:dyDescent="0.25">
      <c r="B24" s="462"/>
      <c r="C24" s="470"/>
      <c r="D24" s="470"/>
      <c r="E24" s="470"/>
      <c r="F24" s="470"/>
      <c r="G24" s="470"/>
      <c r="H24" s="470"/>
      <c r="I24" s="470"/>
      <c r="J24" s="470"/>
      <c r="K24" s="470"/>
    </row>
    <row r="26" spans="2:11" x14ac:dyDescent="0.25">
      <c r="C26" s="464" t="s">
        <v>124</v>
      </c>
      <c r="D26" s="464"/>
      <c r="E26" s="464"/>
      <c r="F26" s="464" t="s">
        <v>153</v>
      </c>
      <c r="G26" s="464"/>
      <c r="H26" s="464"/>
      <c r="I26" s="464" t="s">
        <v>154</v>
      </c>
      <c r="J26" s="464"/>
      <c r="K26" s="464"/>
    </row>
    <row r="27" spans="2:11" x14ac:dyDescent="0.25">
      <c r="C27" s="464"/>
      <c r="D27" s="464"/>
      <c r="E27" s="464"/>
      <c r="F27" s="464"/>
      <c r="G27" s="464"/>
      <c r="H27" s="464"/>
      <c r="I27" s="464"/>
      <c r="J27" s="464"/>
      <c r="K27" s="464"/>
    </row>
    <row r="28" spans="2:11" ht="74.25" customHeight="1" x14ac:dyDescent="0.25">
      <c r="C28" s="466" t="s">
        <v>117</v>
      </c>
      <c r="D28" s="466"/>
      <c r="E28" s="466"/>
      <c r="F28" s="471"/>
      <c r="G28" s="471"/>
      <c r="H28" s="471"/>
      <c r="I28" s="459" t="s">
        <v>257</v>
      </c>
      <c r="J28" s="459"/>
      <c r="K28" s="459"/>
    </row>
    <row r="29" spans="2:11" ht="66" customHeight="1" x14ac:dyDescent="0.25">
      <c r="C29" s="466" t="s">
        <v>118</v>
      </c>
      <c r="D29" s="466"/>
      <c r="E29" s="466"/>
      <c r="F29" s="459" t="s">
        <v>259</v>
      </c>
      <c r="G29" s="459"/>
      <c r="H29" s="459"/>
      <c r="I29" s="459" t="s">
        <v>258</v>
      </c>
      <c r="J29" s="459"/>
      <c r="K29" s="459"/>
    </row>
    <row r="30" spans="2:11" ht="75.75" customHeight="1" x14ac:dyDescent="0.25">
      <c r="C30" s="460" t="s">
        <v>94</v>
      </c>
      <c r="D30" s="460"/>
      <c r="E30" s="460"/>
      <c r="F30" s="465"/>
      <c r="G30" s="465"/>
      <c r="H30" s="465"/>
      <c r="I30" s="458" t="s">
        <v>262</v>
      </c>
      <c r="J30" s="458"/>
      <c r="K30" s="458"/>
    </row>
    <row r="31" spans="2:11" ht="41.25" customHeight="1" x14ac:dyDescent="0.25">
      <c r="C31" s="460" t="s">
        <v>119</v>
      </c>
      <c r="D31" s="460"/>
      <c r="E31" s="460"/>
      <c r="F31" s="457" t="s">
        <v>263</v>
      </c>
      <c r="G31" s="457"/>
      <c r="H31" s="457"/>
      <c r="I31" s="457" t="s">
        <v>264</v>
      </c>
      <c r="J31" s="457"/>
      <c r="K31" s="457"/>
    </row>
    <row r="32" spans="2:11" ht="74.25" customHeight="1" x14ac:dyDescent="0.25">
      <c r="C32" s="460" t="s">
        <v>120</v>
      </c>
      <c r="D32" s="460"/>
      <c r="E32" s="460"/>
      <c r="F32" s="458" t="s">
        <v>265</v>
      </c>
      <c r="G32" s="458"/>
      <c r="H32" s="458"/>
      <c r="I32" s="458" t="s">
        <v>266</v>
      </c>
      <c r="J32" s="458"/>
      <c r="K32" s="458"/>
    </row>
    <row r="33" spans="2:11" ht="48.75" customHeight="1" x14ac:dyDescent="0.25">
      <c r="C33" s="460" t="s">
        <v>142</v>
      </c>
      <c r="D33" s="460"/>
      <c r="E33" s="460"/>
      <c r="F33" s="458" t="s">
        <v>267</v>
      </c>
      <c r="G33" s="458"/>
      <c r="H33" s="458"/>
      <c r="I33" s="458" t="s">
        <v>268</v>
      </c>
      <c r="J33" s="458"/>
      <c r="K33" s="458"/>
    </row>
    <row r="34" spans="2:11" ht="63.75" customHeight="1" x14ac:dyDescent="0.25">
      <c r="C34" s="460" t="s">
        <v>143</v>
      </c>
      <c r="D34" s="460"/>
      <c r="E34" s="460"/>
      <c r="F34" s="459" t="s">
        <v>269</v>
      </c>
      <c r="G34" s="459"/>
      <c r="H34" s="459"/>
      <c r="I34" s="459" t="s">
        <v>270</v>
      </c>
      <c r="J34" s="459"/>
      <c r="K34" s="459"/>
    </row>
    <row r="35" spans="2:11" ht="87.75" customHeight="1" x14ac:dyDescent="0.25">
      <c r="C35" s="460" t="s">
        <v>144</v>
      </c>
      <c r="D35" s="460"/>
      <c r="E35" s="460"/>
      <c r="F35" s="463"/>
      <c r="G35" s="463"/>
      <c r="H35" s="463"/>
      <c r="I35" s="459" t="s">
        <v>271</v>
      </c>
      <c r="J35" s="459"/>
      <c r="K35" s="459"/>
    </row>
    <row r="36" spans="2:11" ht="72" customHeight="1" x14ac:dyDescent="0.25">
      <c r="C36" s="460" t="s">
        <v>121</v>
      </c>
      <c r="D36" s="460"/>
      <c r="E36" s="460"/>
      <c r="F36" s="459" t="s">
        <v>272</v>
      </c>
      <c r="G36" s="459"/>
      <c r="H36" s="459"/>
      <c r="I36" s="457" t="s">
        <v>273</v>
      </c>
      <c r="J36" s="457"/>
      <c r="K36" s="457"/>
    </row>
    <row r="37" spans="2:11" ht="57" customHeight="1" x14ac:dyDescent="0.25">
      <c r="C37" s="460" t="s">
        <v>92</v>
      </c>
      <c r="D37" s="460"/>
      <c r="E37" s="460"/>
      <c r="F37" s="459" t="s">
        <v>274</v>
      </c>
      <c r="G37" s="459"/>
      <c r="H37" s="459"/>
      <c r="I37" s="458" t="s">
        <v>275</v>
      </c>
      <c r="J37" s="458"/>
      <c r="K37" s="458"/>
    </row>
    <row r="38" spans="2:11" ht="48" customHeight="1" x14ac:dyDescent="0.25">
      <c r="C38" s="460" t="s">
        <v>122</v>
      </c>
      <c r="D38" s="460"/>
      <c r="E38" s="460"/>
      <c r="F38" s="457" t="s">
        <v>276</v>
      </c>
      <c r="G38" s="457"/>
      <c r="H38" s="457"/>
      <c r="I38" s="458" t="s">
        <v>277</v>
      </c>
      <c r="J38" s="458"/>
      <c r="K38" s="458"/>
    </row>
    <row r="39" spans="2:11" ht="45" customHeight="1" x14ac:dyDescent="0.25">
      <c r="C39" s="460" t="s">
        <v>123</v>
      </c>
      <c r="D39" s="460"/>
      <c r="E39" s="460"/>
      <c r="F39" s="459" t="s">
        <v>278</v>
      </c>
      <c r="G39" s="459"/>
      <c r="H39" s="459"/>
      <c r="I39" s="457" t="s">
        <v>279</v>
      </c>
      <c r="J39" s="457"/>
      <c r="K39" s="457"/>
    </row>
    <row r="40" spans="2:11" x14ac:dyDescent="0.25">
      <c r="C40" s="2"/>
      <c r="D40" s="2"/>
      <c r="E40" s="2"/>
      <c r="F40" s="2"/>
      <c r="G40" s="2"/>
      <c r="H40" s="2"/>
      <c r="I40" s="2"/>
      <c r="J40" s="2"/>
      <c r="K40" s="2"/>
    </row>
    <row r="41" spans="2:11" x14ac:dyDescent="0.25">
      <c r="C41" s="2"/>
      <c r="D41" s="2"/>
      <c r="E41" s="2"/>
      <c r="F41" s="2"/>
      <c r="G41" s="2"/>
      <c r="H41" s="2"/>
      <c r="I41" s="2"/>
      <c r="J41" s="2"/>
      <c r="K41" s="2"/>
    </row>
    <row r="42" spans="2:11" x14ac:dyDescent="0.25">
      <c r="C42" s="2"/>
      <c r="D42" s="2"/>
      <c r="E42" s="2"/>
      <c r="F42" s="2"/>
      <c r="G42" s="2"/>
      <c r="H42" s="2"/>
      <c r="I42" s="2"/>
      <c r="J42" s="2"/>
      <c r="K42" s="2"/>
    </row>
    <row r="43" spans="2:11" x14ac:dyDescent="0.25">
      <c r="B43" s="204" t="s">
        <v>151</v>
      </c>
      <c r="C43" s="2"/>
      <c r="D43" s="2"/>
      <c r="E43" s="2"/>
      <c r="F43" s="2"/>
      <c r="G43" s="2"/>
      <c r="H43" s="2"/>
      <c r="I43" s="2"/>
      <c r="J43" s="2"/>
      <c r="K43" s="2"/>
    </row>
    <row r="44" spans="2:11" x14ac:dyDescent="0.25">
      <c r="C44" s="296" t="s">
        <v>156</v>
      </c>
      <c r="D44" s="296"/>
      <c r="E44" s="296"/>
      <c r="F44" s="296"/>
      <c r="G44" s="296"/>
      <c r="H44" s="296"/>
      <c r="I44" s="296"/>
      <c r="J44" s="2"/>
      <c r="K44" s="2"/>
    </row>
    <row r="45" spans="2:11" x14ac:dyDescent="0.25">
      <c r="C45" s="2"/>
      <c r="D45" s="2"/>
      <c r="E45" s="2"/>
      <c r="F45" s="2"/>
      <c r="G45" s="2"/>
      <c r="H45" s="2"/>
      <c r="I45" s="2"/>
      <c r="J45" s="2"/>
      <c r="K45" s="2"/>
    </row>
    <row r="46" spans="2:11" x14ac:dyDescent="0.25">
      <c r="C46" s="461" t="s">
        <v>280</v>
      </c>
      <c r="D46" s="461"/>
      <c r="E46" s="461"/>
      <c r="F46" s="461"/>
      <c r="G46" s="461"/>
      <c r="H46" s="461"/>
      <c r="I46" s="461"/>
      <c r="J46" s="461"/>
      <c r="K46" s="461"/>
    </row>
    <row r="47" spans="2:11" x14ac:dyDescent="0.25">
      <c r="C47" s="461"/>
      <c r="D47" s="461"/>
      <c r="E47" s="461"/>
      <c r="F47" s="461"/>
      <c r="G47" s="461"/>
      <c r="H47" s="461"/>
      <c r="I47" s="461"/>
      <c r="J47" s="461"/>
      <c r="K47" s="461"/>
    </row>
    <row r="48" spans="2:11" x14ac:dyDescent="0.25">
      <c r="C48" s="461"/>
      <c r="D48" s="461"/>
      <c r="E48" s="461"/>
      <c r="F48" s="461"/>
      <c r="G48" s="461"/>
      <c r="H48" s="461"/>
      <c r="I48" s="461"/>
      <c r="J48" s="461"/>
      <c r="K48" s="461"/>
    </row>
    <row r="49" spans="2:11" x14ac:dyDescent="0.25">
      <c r="B49" s="204" t="s">
        <v>151</v>
      </c>
      <c r="C49" s="2"/>
      <c r="D49" s="2"/>
      <c r="E49" s="2"/>
      <c r="F49" s="2"/>
      <c r="G49" s="2"/>
      <c r="H49" s="2"/>
      <c r="I49" s="2"/>
      <c r="J49" s="2"/>
      <c r="K49" s="2"/>
    </row>
    <row r="50" spans="2:11" x14ac:dyDescent="0.25">
      <c r="C50" s="296" t="s">
        <v>157</v>
      </c>
      <c r="D50" s="2"/>
      <c r="E50" s="2"/>
      <c r="F50" s="2"/>
      <c r="G50" s="2"/>
      <c r="H50" s="2"/>
      <c r="I50" s="2"/>
      <c r="J50" s="2"/>
      <c r="K50" s="2"/>
    </row>
    <row r="51" spans="2:11" x14ac:dyDescent="0.25">
      <c r="C51" s="2"/>
      <c r="D51" s="2"/>
      <c r="E51" s="2"/>
      <c r="F51" s="2"/>
      <c r="G51" s="2"/>
      <c r="H51" s="2"/>
      <c r="I51" s="2"/>
      <c r="J51" s="2"/>
      <c r="K51" s="2"/>
    </row>
    <row r="52" spans="2:11" x14ac:dyDescent="0.25">
      <c r="C52" s="413" t="s">
        <v>281</v>
      </c>
      <c r="D52" s="413"/>
      <c r="E52" s="413"/>
      <c r="F52" s="413"/>
      <c r="G52" s="413"/>
      <c r="H52" s="413"/>
      <c r="I52" s="413"/>
      <c r="J52" s="413"/>
      <c r="K52" s="413"/>
    </row>
    <row r="53" spans="2:11" x14ac:dyDescent="0.25">
      <c r="C53" s="413"/>
      <c r="D53" s="413"/>
      <c r="E53" s="413"/>
      <c r="F53" s="413"/>
      <c r="G53" s="413"/>
      <c r="H53" s="413"/>
      <c r="I53" s="413"/>
      <c r="J53" s="413"/>
      <c r="K53" s="413"/>
    </row>
    <row r="54" spans="2:11" x14ac:dyDescent="0.25">
      <c r="C54" s="2"/>
      <c r="D54" s="2"/>
      <c r="E54" s="2"/>
      <c r="F54" s="2"/>
      <c r="G54" s="2"/>
      <c r="H54" s="2"/>
      <c r="I54" s="2"/>
      <c r="J54" s="2"/>
      <c r="K54" s="2"/>
    </row>
  </sheetData>
  <mergeCells count="62">
    <mergeCell ref="C23:K24"/>
    <mergeCell ref="F28:H28"/>
    <mergeCell ref="F29:H29"/>
    <mergeCell ref="I29:K29"/>
    <mergeCell ref="B2:B5"/>
    <mergeCell ref="C9:E9"/>
    <mergeCell ref="C10:E10"/>
    <mergeCell ref="C11:E11"/>
    <mergeCell ref="H7:H8"/>
    <mergeCell ref="C7:E8"/>
    <mergeCell ref="F7:F8"/>
    <mergeCell ref="C2:K5"/>
    <mergeCell ref="C17:E17"/>
    <mergeCell ref="C18:E18"/>
    <mergeCell ref="C19:E19"/>
    <mergeCell ref="C20:E20"/>
    <mergeCell ref="I7:I8"/>
    <mergeCell ref="G7:G8"/>
    <mergeCell ref="C14:E14"/>
    <mergeCell ref="C15:E15"/>
    <mergeCell ref="C16:E16"/>
    <mergeCell ref="C12:E12"/>
    <mergeCell ref="C13:E13"/>
    <mergeCell ref="C37:E37"/>
    <mergeCell ref="C26:E27"/>
    <mergeCell ref="C28:E28"/>
    <mergeCell ref="C29:E29"/>
    <mergeCell ref="C30:E30"/>
    <mergeCell ref="C31:E31"/>
    <mergeCell ref="F30:H30"/>
    <mergeCell ref="F31:H31"/>
    <mergeCell ref="F37:H37"/>
    <mergeCell ref="I37:K37"/>
    <mergeCell ref="F32:H32"/>
    <mergeCell ref="I32:K32"/>
    <mergeCell ref="F33:H33"/>
    <mergeCell ref="I33:K33"/>
    <mergeCell ref="F34:H34"/>
    <mergeCell ref="I34:K34"/>
    <mergeCell ref="I31:K31"/>
    <mergeCell ref="C46:K48"/>
    <mergeCell ref="C52:K53"/>
    <mergeCell ref="B23:B24"/>
    <mergeCell ref="I35:K35"/>
    <mergeCell ref="F35:H35"/>
    <mergeCell ref="F36:H36"/>
    <mergeCell ref="I36:K36"/>
    <mergeCell ref="F26:H27"/>
    <mergeCell ref="I26:K27"/>
    <mergeCell ref="I28:K28"/>
    <mergeCell ref="C32:E32"/>
    <mergeCell ref="C33:E33"/>
    <mergeCell ref="C34:E34"/>
    <mergeCell ref="C35:E35"/>
    <mergeCell ref="C36:E36"/>
    <mergeCell ref="I30:K30"/>
    <mergeCell ref="F38:H38"/>
    <mergeCell ref="I38:K38"/>
    <mergeCell ref="F39:H39"/>
    <mergeCell ref="I39:K39"/>
    <mergeCell ref="C38:E38"/>
    <mergeCell ref="C39:E39"/>
  </mergeCells>
  <pageMargins left="0.7" right="0.7" top="0.75" bottom="0.75" header="0.3" footer="0.3"/>
  <pageSetup scale="8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44D3-BEAE-40E3-B0CD-0919ED4272BC}">
  <sheetPr>
    <tabColor rgb="FFFF99CC"/>
    <pageSetUpPr fitToPage="1"/>
  </sheetPr>
  <dimension ref="B2:T206"/>
  <sheetViews>
    <sheetView tabSelected="1" topLeftCell="A14" workbookViewId="0">
      <selection activeCell="B117" sqref="B117:K117"/>
    </sheetView>
  </sheetViews>
  <sheetFormatPr baseColWidth="10" defaultColWidth="11.44140625" defaultRowHeight="13.8" x14ac:dyDescent="0.25"/>
  <cols>
    <col min="1" max="1" width="11.44140625" style="2"/>
    <col min="2" max="2" width="7.5546875" style="2" customWidth="1"/>
    <col min="3" max="3" width="36.109375" style="2" bestFit="1" customWidth="1"/>
    <col min="4" max="4" width="9.88671875" style="2" customWidth="1"/>
    <col min="5" max="5" width="12.33203125" style="2" customWidth="1"/>
    <col min="6" max="6" width="12" style="2" customWidth="1"/>
    <col min="7" max="7" width="12.6640625" style="2" customWidth="1"/>
    <col min="8" max="9" width="11.44140625" style="2" customWidth="1"/>
    <col min="10" max="11" width="11.44140625" style="2"/>
    <col min="12" max="12" width="13.33203125" style="2" customWidth="1"/>
    <col min="13" max="14" width="12.6640625" style="2" customWidth="1"/>
    <col min="15" max="16384" width="11.44140625" style="2"/>
  </cols>
  <sheetData>
    <row r="2" spans="2:14" ht="14.25" customHeight="1" x14ac:dyDescent="0.25">
      <c r="B2" s="520">
        <v>3</v>
      </c>
      <c r="C2" s="521" t="s">
        <v>184</v>
      </c>
      <c r="D2" s="521"/>
      <c r="E2" s="521"/>
      <c r="F2" s="521"/>
      <c r="G2" s="521"/>
      <c r="H2" s="521"/>
      <c r="I2" s="521"/>
      <c r="J2" s="521"/>
      <c r="K2" s="521"/>
      <c r="L2" s="521"/>
      <c r="M2" s="521"/>
      <c r="N2" s="521"/>
    </row>
    <row r="3" spans="2:14" x14ac:dyDescent="0.25">
      <c r="B3" s="520"/>
      <c r="C3" s="521"/>
      <c r="D3" s="521"/>
      <c r="E3" s="521"/>
      <c r="F3" s="521"/>
      <c r="G3" s="521"/>
      <c r="H3" s="521"/>
      <c r="I3" s="521"/>
      <c r="J3" s="521"/>
      <c r="K3" s="521"/>
      <c r="L3" s="521"/>
      <c r="M3" s="521"/>
      <c r="N3" s="521"/>
    </row>
    <row r="4" spans="2:14" x14ac:dyDescent="0.25">
      <c r="B4" s="297"/>
      <c r="C4" s="521"/>
      <c r="D4" s="521"/>
      <c r="E4" s="521"/>
      <c r="F4" s="521"/>
      <c r="G4" s="521"/>
      <c r="H4" s="521"/>
      <c r="I4" s="521"/>
      <c r="J4" s="521"/>
      <c r="K4" s="521"/>
      <c r="L4" s="521"/>
      <c r="M4" s="521"/>
      <c r="N4" s="521"/>
    </row>
    <row r="5" spans="2:14" x14ac:dyDescent="0.25">
      <c r="C5" s="294"/>
      <c r="D5" s="294"/>
      <c r="E5" s="294"/>
      <c r="F5" s="294"/>
      <c r="G5" s="294"/>
      <c r="H5" s="294"/>
      <c r="I5" s="294"/>
      <c r="J5" s="294"/>
      <c r="K5" s="294"/>
      <c r="L5" s="294"/>
      <c r="M5" s="294"/>
    </row>
    <row r="6" spans="2:14" ht="14.25" customHeight="1" x14ac:dyDescent="0.25">
      <c r="B6" s="515" t="s">
        <v>185</v>
      </c>
      <c r="C6" s="516" t="s">
        <v>186</v>
      </c>
      <c r="D6" s="516"/>
      <c r="E6" s="516"/>
      <c r="F6" s="516"/>
      <c r="G6" s="516"/>
      <c r="H6" s="516"/>
      <c r="I6" s="516"/>
      <c r="J6" s="516"/>
      <c r="K6" s="516"/>
      <c r="L6" s="516"/>
      <c r="M6" s="516"/>
      <c r="N6" s="516"/>
    </row>
    <row r="7" spans="2:14" x14ac:dyDescent="0.25">
      <c r="B7" s="515"/>
      <c r="C7" s="516"/>
      <c r="D7" s="516"/>
      <c r="E7" s="516"/>
      <c r="F7" s="516"/>
      <c r="G7" s="516"/>
      <c r="H7" s="516"/>
      <c r="I7" s="516"/>
      <c r="J7" s="516"/>
      <c r="K7" s="516"/>
      <c r="L7" s="516"/>
      <c r="M7" s="516"/>
      <c r="N7" s="516"/>
    </row>
    <row r="8" spans="2:14" x14ac:dyDescent="0.25">
      <c r="B8" s="1"/>
      <c r="C8" s="300"/>
      <c r="D8" s="301"/>
      <c r="E8" s="301"/>
      <c r="F8" s="301"/>
      <c r="G8" s="301"/>
      <c r="H8" s="301"/>
      <c r="I8" s="301"/>
      <c r="J8" s="301"/>
      <c r="K8" s="301"/>
      <c r="L8" s="301"/>
      <c r="M8" s="301"/>
    </row>
    <row r="9" spans="2:14" ht="14.25" customHeight="1" x14ac:dyDescent="0.25">
      <c r="B9" s="515" t="s">
        <v>187</v>
      </c>
      <c r="C9" s="516" t="s">
        <v>188</v>
      </c>
      <c r="D9" s="516"/>
      <c r="E9" s="516"/>
      <c r="F9" s="516"/>
      <c r="G9" s="516"/>
      <c r="H9" s="516"/>
      <c r="I9" s="516"/>
      <c r="J9" s="516"/>
      <c r="K9" s="516"/>
      <c r="L9" s="516"/>
      <c r="M9" s="516"/>
      <c r="N9" s="516"/>
    </row>
    <row r="10" spans="2:14" x14ac:dyDescent="0.25">
      <c r="B10" s="515"/>
      <c r="C10" s="516"/>
      <c r="D10" s="516"/>
      <c r="E10" s="516"/>
      <c r="F10" s="516"/>
      <c r="G10" s="516"/>
      <c r="H10" s="516"/>
      <c r="I10" s="516"/>
      <c r="J10" s="516"/>
      <c r="K10" s="516"/>
      <c r="L10" s="516"/>
      <c r="M10" s="516"/>
      <c r="N10" s="516"/>
    </row>
    <row r="11" spans="2:14" x14ac:dyDescent="0.25">
      <c r="B11" s="298"/>
      <c r="C11" s="299"/>
      <c r="D11" s="299"/>
      <c r="E11" s="299"/>
      <c r="F11" s="299"/>
      <c r="G11" s="299"/>
      <c r="H11" s="299"/>
      <c r="I11" s="299"/>
      <c r="J11" s="299"/>
      <c r="K11" s="299"/>
      <c r="L11" s="299"/>
      <c r="M11" s="299"/>
    </row>
    <row r="12" spans="2:14" ht="14.25" customHeight="1" x14ac:dyDescent="0.25">
      <c r="B12" s="515" t="s">
        <v>189</v>
      </c>
      <c r="C12" s="516" t="s">
        <v>190</v>
      </c>
      <c r="D12" s="516"/>
      <c r="E12" s="516"/>
      <c r="F12" s="516"/>
      <c r="G12" s="516"/>
      <c r="H12" s="516"/>
      <c r="I12" s="516"/>
      <c r="J12" s="516"/>
      <c r="K12" s="516"/>
      <c r="L12" s="516"/>
      <c r="M12" s="516"/>
      <c r="N12" s="516"/>
    </row>
    <row r="13" spans="2:14" x14ac:dyDescent="0.25">
      <c r="B13" s="515"/>
      <c r="C13" s="516"/>
      <c r="D13" s="516"/>
      <c r="E13" s="516"/>
      <c r="F13" s="516"/>
      <c r="G13" s="516"/>
      <c r="H13" s="516"/>
      <c r="I13" s="516"/>
      <c r="J13" s="516"/>
      <c r="K13" s="516"/>
      <c r="L13" s="516"/>
      <c r="M13" s="516"/>
      <c r="N13" s="516"/>
    </row>
    <row r="14" spans="2:14" x14ac:dyDescent="0.25">
      <c r="B14" s="302"/>
      <c r="C14" s="303"/>
      <c r="D14" s="303"/>
      <c r="E14" s="303"/>
      <c r="F14" s="303"/>
      <c r="G14" s="303"/>
      <c r="H14" s="303"/>
      <c r="I14" s="303"/>
      <c r="J14" s="303"/>
      <c r="K14" s="303"/>
      <c r="L14" s="303"/>
      <c r="M14" s="303"/>
    </row>
    <row r="15" spans="2:14" ht="14.4" thickBot="1" x14ac:dyDescent="0.3"/>
    <row r="16" spans="2:14" ht="15.6" x14ac:dyDescent="0.3">
      <c r="C16" s="304" t="s">
        <v>162</v>
      </c>
      <c r="D16" s="305"/>
      <c r="E16" s="305"/>
      <c r="F16" s="305"/>
      <c r="G16" s="306"/>
      <c r="I16" s="304" t="s">
        <v>191</v>
      </c>
      <c r="J16" s="305"/>
      <c r="K16" s="305"/>
      <c r="L16" s="305"/>
      <c r="M16" s="305"/>
      <c r="N16" s="306"/>
    </row>
    <row r="17" spans="3:16" ht="15.6" x14ac:dyDescent="0.3">
      <c r="C17" s="307" t="s">
        <v>163</v>
      </c>
      <c r="G17" s="308"/>
      <c r="I17" s="307" t="s">
        <v>163</v>
      </c>
      <c r="N17" s="308"/>
    </row>
    <row r="18" spans="3:16" x14ac:dyDescent="0.25">
      <c r="C18" s="206" t="s">
        <v>158</v>
      </c>
      <c r="E18" s="1" t="s">
        <v>159</v>
      </c>
      <c r="F18" s="1" t="s">
        <v>160</v>
      </c>
      <c r="G18" s="309" t="s">
        <v>161</v>
      </c>
      <c r="I18" s="206"/>
      <c r="L18" s="1" t="s">
        <v>159</v>
      </c>
      <c r="M18" s="1" t="s">
        <v>160</v>
      </c>
      <c r="N18" s="309" t="s">
        <v>161</v>
      </c>
    </row>
    <row r="19" spans="3:16" x14ac:dyDescent="0.25">
      <c r="C19" s="310" t="s">
        <v>169</v>
      </c>
      <c r="D19" s="311"/>
      <c r="E19" s="311"/>
      <c r="F19" s="311"/>
      <c r="G19" s="312"/>
      <c r="I19" s="517" t="s">
        <v>4</v>
      </c>
      <c r="J19" s="518"/>
      <c r="K19" s="518"/>
      <c r="L19" s="3">
        <v>2000</v>
      </c>
      <c r="M19" s="3">
        <v>2000</v>
      </c>
      <c r="N19" s="231">
        <v>2000</v>
      </c>
    </row>
    <row r="20" spans="3:16" x14ac:dyDescent="0.25">
      <c r="C20" s="206" t="s">
        <v>164</v>
      </c>
      <c r="G20" s="308"/>
      <c r="I20" s="506" t="s">
        <v>6</v>
      </c>
      <c r="J20" s="366"/>
      <c r="K20" s="366"/>
      <c r="L20" s="313">
        <v>-1000</v>
      </c>
      <c r="M20" s="313">
        <v>-1000</v>
      </c>
      <c r="N20" s="314">
        <v>-1000</v>
      </c>
    </row>
    <row r="21" spans="3:16" x14ac:dyDescent="0.25">
      <c r="C21" s="206" t="s">
        <v>165</v>
      </c>
      <c r="E21" s="2">
        <v>150</v>
      </c>
      <c r="F21" s="2">
        <v>100</v>
      </c>
      <c r="G21" s="308">
        <v>50</v>
      </c>
      <c r="I21" s="519" t="s">
        <v>192</v>
      </c>
      <c r="J21" s="371"/>
      <c r="K21" s="371"/>
      <c r="L21" s="53">
        <f>SUM(L19:L20)</f>
        <v>1000</v>
      </c>
      <c r="M21" s="53">
        <f t="shared" ref="M21:N21" si="0">SUM(M19:M20)</f>
        <v>1000</v>
      </c>
      <c r="N21" s="315">
        <f t="shared" si="0"/>
        <v>1000</v>
      </c>
    </row>
    <row r="22" spans="3:16" x14ac:dyDescent="0.25">
      <c r="C22" s="206" t="s">
        <v>28</v>
      </c>
      <c r="E22" s="2">
        <v>450</v>
      </c>
      <c r="F22" s="2">
        <v>300</v>
      </c>
      <c r="G22" s="308">
        <v>150</v>
      </c>
      <c r="I22" s="506" t="s">
        <v>193</v>
      </c>
      <c r="J22" s="366"/>
      <c r="K22" s="366"/>
      <c r="L22" s="313">
        <v>-110</v>
      </c>
      <c r="M22" s="313">
        <v>-110</v>
      </c>
      <c r="N22" s="314">
        <v>-110</v>
      </c>
    </row>
    <row r="23" spans="3:16" x14ac:dyDescent="0.25">
      <c r="C23" s="206" t="s">
        <v>29</v>
      </c>
      <c r="E23" s="2">
        <v>600</v>
      </c>
      <c r="F23" s="2">
        <v>400</v>
      </c>
      <c r="G23" s="308">
        <v>200</v>
      </c>
      <c r="I23" s="511" t="s">
        <v>282</v>
      </c>
      <c r="J23" s="512"/>
      <c r="K23" s="512"/>
      <c r="L23" s="316">
        <v>-250</v>
      </c>
      <c r="M23" s="316">
        <v>-250</v>
      </c>
      <c r="N23" s="317">
        <v>-250</v>
      </c>
      <c r="P23" s="2">
        <f>+L23/L20</f>
        <v>0.25</v>
      </c>
    </row>
    <row r="24" spans="3:16" x14ac:dyDescent="0.25">
      <c r="C24" s="318" t="s">
        <v>166</v>
      </c>
      <c r="D24" s="81"/>
      <c r="E24" s="81">
        <f>SUM(E21:E23)</f>
        <v>1200</v>
      </c>
      <c r="F24" s="81">
        <f>SUM(F21:F23)</f>
        <v>800</v>
      </c>
      <c r="G24" s="319">
        <f>SUM(G21:G23)</f>
        <v>400</v>
      </c>
      <c r="I24" s="506" t="s">
        <v>194</v>
      </c>
      <c r="J24" s="366"/>
      <c r="K24" s="366"/>
      <c r="L24" s="313">
        <v>-280</v>
      </c>
      <c r="M24" s="313">
        <v>-280</v>
      </c>
      <c r="N24" s="314">
        <v>-280</v>
      </c>
    </row>
    <row r="25" spans="3:16" x14ac:dyDescent="0.25">
      <c r="C25" s="206" t="s">
        <v>31</v>
      </c>
      <c r="G25" s="308"/>
      <c r="I25" s="513" t="s">
        <v>195</v>
      </c>
      <c r="J25" s="514"/>
      <c r="K25" s="514"/>
      <c r="L25" s="501">
        <f>SUM(L21:L24)</f>
        <v>360</v>
      </c>
      <c r="M25" s="501">
        <f t="shared" ref="M25:N25" si="1">SUM(M21:M24)</f>
        <v>360</v>
      </c>
      <c r="N25" s="502">
        <f t="shared" si="1"/>
        <v>360</v>
      </c>
    </row>
    <row r="26" spans="3:16" x14ac:dyDescent="0.25">
      <c r="C26" s="206" t="s">
        <v>167</v>
      </c>
      <c r="E26" s="2">
        <v>800</v>
      </c>
      <c r="F26" s="2">
        <v>800</v>
      </c>
      <c r="G26" s="308">
        <v>800</v>
      </c>
      <c r="I26" s="513"/>
      <c r="J26" s="514"/>
      <c r="K26" s="514"/>
      <c r="L26" s="501"/>
      <c r="M26" s="501"/>
      <c r="N26" s="502"/>
    </row>
    <row r="27" spans="3:16" x14ac:dyDescent="0.25">
      <c r="C27" s="318" t="s">
        <v>34</v>
      </c>
      <c r="D27" s="81"/>
      <c r="E27" s="81">
        <f>+E26</f>
        <v>800</v>
      </c>
      <c r="F27" s="81">
        <f>+F26</f>
        <v>800</v>
      </c>
      <c r="G27" s="319">
        <f>+G26</f>
        <v>800</v>
      </c>
      <c r="I27" s="506" t="s">
        <v>196</v>
      </c>
      <c r="J27" s="366"/>
      <c r="K27" s="366"/>
      <c r="L27" s="313">
        <v>-60</v>
      </c>
      <c r="M27" s="313">
        <v>-40</v>
      </c>
      <c r="N27" s="314">
        <v>-20</v>
      </c>
    </row>
    <row r="28" spans="3:16" x14ac:dyDescent="0.25">
      <c r="C28" s="310" t="s">
        <v>35</v>
      </c>
      <c r="D28" s="320"/>
      <c r="E28" s="320">
        <f>+E24+E27</f>
        <v>2000</v>
      </c>
      <c r="F28" s="320">
        <f>+F24+F27</f>
        <v>1600</v>
      </c>
      <c r="G28" s="321">
        <f>+G24+G27</f>
        <v>1200</v>
      </c>
      <c r="I28" s="507" t="s">
        <v>17</v>
      </c>
      <c r="J28" s="392"/>
      <c r="K28" s="392"/>
      <c r="L28" s="3">
        <f>SUM(L25:L27)</f>
        <v>300</v>
      </c>
      <c r="M28" s="3">
        <f t="shared" ref="M28:N28" si="2">SUM(M25:M27)</f>
        <v>320</v>
      </c>
      <c r="N28" s="231">
        <f t="shared" si="2"/>
        <v>340</v>
      </c>
    </row>
    <row r="29" spans="3:16" x14ac:dyDescent="0.25">
      <c r="C29" s="206"/>
      <c r="G29" s="308"/>
      <c r="I29" s="506" t="s">
        <v>197</v>
      </c>
      <c r="J29" s="366"/>
      <c r="K29" s="366"/>
      <c r="L29" s="313">
        <f>-L28*0.5</f>
        <v>-150</v>
      </c>
      <c r="M29" s="313">
        <f t="shared" ref="M29:N29" si="3">-M28*0.5</f>
        <v>-160</v>
      </c>
      <c r="N29" s="314">
        <f t="shared" si="3"/>
        <v>-170</v>
      </c>
    </row>
    <row r="30" spans="3:16" ht="14.4" thickBot="1" x14ac:dyDescent="0.3">
      <c r="C30" s="322" t="s">
        <v>168</v>
      </c>
      <c r="D30" s="74"/>
      <c r="E30" s="74"/>
      <c r="F30" s="74"/>
      <c r="G30" s="323"/>
      <c r="I30" s="508" t="s">
        <v>198</v>
      </c>
      <c r="J30" s="509"/>
      <c r="K30" s="509"/>
      <c r="L30" s="324">
        <f>SUM(L28:L29)</f>
        <v>150</v>
      </c>
      <c r="M30" s="324">
        <f t="shared" ref="M30:N30" si="4">SUM(M28:M29)</f>
        <v>160</v>
      </c>
      <c r="N30" s="325">
        <f t="shared" si="4"/>
        <v>170</v>
      </c>
    </row>
    <row r="31" spans="3:16" x14ac:dyDescent="0.25">
      <c r="C31" s="206" t="s">
        <v>170</v>
      </c>
      <c r="G31" s="308"/>
      <c r="L31" s="3"/>
      <c r="M31" s="3"/>
      <c r="N31" s="3"/>
    </row>
    <row r="32" spans="3:16" x14ac:dyDescent="0.25">
      <c r="C32" s="206" t="s">
        <v>171</v>
      </c>
      <c r="E32" s="2">
        <v>300</v>
      </c>
      <c r="F32" s="2">
        <v>300</v>
      </c>
      <c r="G32" s="308">
        <v>300</v>
      </c>
    </row>
    <row r="33" spans="3:8" x14ac:dyDescent="0.25">
      <c r="C33" s="206" t="s">
        <v>172</v>
      </c>
      <c r="E33" s="2">
        <v>100</v>
      </c>
      <c r="F33" s="2">
        <v>100</v>
      </c>
      <c r="G33" s="308">
        <v>100</v>
      </c>
    </row>
    <row r="34" spans="3:8" x14ac:dyDescent="0.25">
      <c r="C34" s="318" t="s">
        <v>173</v>
      </c>
      <c r="D34" s="81"/>
      <c r="E34" s="81">
        <f>SUM(E32:E33)</f>
        <v>400</v>
      </c>
      <c r="F34" s="81">
        <f>SUM(F32:F33)</f>
        <v>400</v>
      </c>
      <c r="G34" s="319">
        <f>SUM(G32:G33)</f>
        <v>400</v>
      </c>
      <c r="H34" s="81"/>
    </row>
    <row r="35" spans="3:8" x14ac:dyDescent="0.25">
      <c r="C35" s="206" t="s">
        <v>174</v>
      </c>
      <c r="D35" s="1"/>
      <c r="G35" s="308"/>
    </row>
    <row r="36" spans="3:8" x14ac:dyDescent="0.25">
      <c r="C36" s="206" t="s">
        <v>175</v>
      </c>
      <c r="E36" s="2">
        <v>200</v>
      </c>
      <c r="F36" s="2">
        <v>150</v>
      </c>
      <c r="G36" s="308">
        <v>100</v>
      </c>
    </row>
    <row r="37" spans="3:8" x14ac:dyDescent="0.25">
      <c r="C37" s="206" t="s">
        <v>176</v>
      </c>
      <c r="E37" s="2">
        <v>400</v>
      </c>
      <c r="F37" s="2">
        <v>250</v>
      </c>
      <c r="G37" s="308">
        <v>100</v>
      </c>
    </row>
    <row r="38" spans="3:8" x14ac:dyDescent="0.25">
      <c r="C38" s="205" t="s">
        <v>177</v>
      </c>
      <c r="D38" s="81"/>
      <c r="E38" s="81">
        <f>SUM(E36:E37)</f>
        <v>600</v>
      </c>
      <c r="F38" s="81">
        <f>SUM(F36:F37)</f>
        <v>400</v>
      </c>
      <c r="G38" s="319">
        <f>SUM(G36:G37)</f>
        <v>200</v>
      </c>
      <c r="H38" s="81"/>
    </row>
    <row r="39" spans="3:8" x14ac:dyDescent="0.25">
      <c r="C39" s="326" t="s">
        <v>178</v>
      </c>
      <c r="D39" s="44"/>
      <c r="E39" s="44">
        <f>+E34+E38</f>
        <v>1000</v>
      </c>
      <c r="F39" s="44">
        <f>+F34+F38</f>
        <v>800</v>
      </c>
      <c r="G39" s="327">
        <f>+G34+G38</f>
        <v>600</v>
      </c>
      <c r="H39" s="1"/>
    </row>
    <row r="40" spans="3:8" x14ac:dyDescent="0.25">
      <c r="C40" s="328"/>
      <c r="G40" s="308"/>
    </row>
    <row r="41" spans="3:8" x14ac:dyDescent="0.25">
      <c r="C41" s="329" t="s">
        <v>179</v>
      </c>
      <c r="D41" s="330"/>
      <c r="E41" s="330"/>
      <c r="F41" s="330"/>
      <c r="G41" s="331"/>
    </row>
    <row r="42" spans="3:8" x14ac:dyDescent="0.25">
      <c r="C42" s="332" t="s">
        <v>180</v>
      </c>
      <c r="E42" s="2">
        <v>700</v>
      </c>
      <c r="F42" s="2">
        <v>500</v>
      </c>
      <c r="G42" s="308">
        <v>300</v>
      </c>
    </row>
    <row r="43" spans="3:8" x14ac:dyDescent="0.25">
      <c r="C43" s="332" t="s">
        <v>181</v>
      </c>
      <c r="E43" s="2">
        <v>300</v>
      </c>
      <c r="F43" s="2">
        <v>300</v>
      </c>
      <c r="G43" s="308">
        <v>300</v>
      </c>
    </row>
    <row r="44" spans="3:8" x14ac:dyDescent="0.25">
      <c r="C44" s="333" t="s">
        <v>182</v>
      </c>
      <c r="D44" s="334"/>
      <c r="E44" s="334">
        <f>SUM(E42:E43)</f>
        <v>1000</v>
      </c>
      <c r="F44" s="334">
        <f>SUM(F42:F43)</f>
        <v>800</v>
      </c>
      <c r="G44" s="335">
        <f>SUM(G42:G43)</f>
        <v>600</v>
      </c>
      <c r="H44" s="1"/>
    </row>
    <row r="45" spans="3:8" x14ac:dyDescent="0.25">
      <c r="C45" s="328"/>
      <c r="D45" s="1"/>
      <c r="G45" s="308"/>
    </row>
    <row r="46" spans="3:8" ht="14.4" thickBot="1" x14ac:dyDescent="0.3">
      <c r="C46" s="336" t="s">
        <v>183</v>
      </c>
      <c r="D46" s="337"/>
      <c r="E46" s="337">
        <f>+E39+E44</f>
        <v>2000</v>
      </c>
      <c r="F46" s="337">
        <f>+F39+F44</f>
        <v>1600</v>
      </c>
      <c r="G46" s="338">
        <f>+G39+G44</f>
        <v>1200</v>
      </c>
      <c r="H46" s="1"/>
    </row>
    <row r="47" spans="3:8" customFormat="1" ht="14.4" x14ac:dyDescent="0.3"/>
    <row r="48" spans="3:8" customFormat="1" ht="14.4" x14ac:dyDescent="0.3"/>
    <row r="49" spans="2:14" customFormat="1" ht="14.4" x14ac:dyDescent="0.3"/>
    <row r="50" spans="2:14" customFormat="1" ht="14.4" x14ac:dyDescent="0.3"/>
    <row r="51" spans="2:14" customFormat="1" ht="14.4" x14ac:dyDescent="0.3"/>
    <row r="52" spans="2:14" customFormat="1" ht="14.4" x14ac:dyDescent="0.3"/>
    <row r="53" spans="2:14" customFormat="1" ht="14.4" x14ac:dyDescent="0.3"/>
    <row r="54" spans="2:14" customFormat="1" ht="14.4" x14ac:dyDescent="0.3"/>
    <row r="55" spans="2:14" customFormat="1" ht="14.4" x14ac:dyDescent="0.3"/>
    <row r="56" spans="2:14" customFormat="1" ht="14.4" x14ac:dyDescent="0.3"/>
    <row r="57" spans="2:14" customFormat="1" ht="14.4" x14ac:dyDescent="0.3"/>
    <row r="58" spans="2:14" customFormat="1" ht="14.4" x14ac:dyDescent="0.3"/>
    <row r="60" spans="2:14" x14ac:dyDescent="0.25">
      <c r="B60" s="399">
        <v>1</v>
      </c>
      <c r="C60" s="510" t="s">
        <v>199</v>
      </c>
      <c r="D60" s="510"/>
      <c r="E60" s="510"/>
      <c r="F60" s="510"/>
      <c r="G60" s="510"/>
      <c r="H60" s="510"/>
      <c r="I60" s="510"/>
      <c r="J60" s="510"/>
      <c r="K60" s="510"/>
      <c r="L60" s="510"/>
      <c r="M60" s="510"/>
      <c r="N60" s="510"/>
    </row>
    <row r="61" spans="2:14" x14ac:dyDescent="0.25">
      <c r="B61" s="399"/>
      <c r="C61" s="510"/>
      <c r="D61" s="510"/>
      <c r="E61" s="510"/>
      <c r="F61" s="510"/>
      <c r="G61" s="510"/>
      <c r="H61" s="510"/>
      <c r="I61" s="510"/>
      <c r="J61" s="510"/>
      <c r="K61" s="510"/>
      <c r="L61" s="510"/>
      <c r="M61" s="510"/>
      <c r="N61" s="510"/>
    </row>
    <row r="63" spans="2:14" ht="20.399999999999999" x14ac:dyDescent="0.35">
      <c r="C63" s="49" t="s">
        <v>3</v>
      </c>
    </row>
    <row r="64" spans="2:14" ht="14.4" thickBot="1" x14ac:dyDescent="0.3"/>
    <row r="65" spans="3:16" ht="15.6" x14ac:dyDescent="0.3">
      <c r="C65" s="238" t="s">
        <v>162</v>
      </c>
      <c r="E65" s="497" t="s">
        <v>159</v>
      </c>
      <c r="F65" s="498"/>
      <c r="G65" s="498"/>
      <c r="H65" s="499"/>
      <c r="I65" s="497" t="s">
        <v>160</v>
      </c>
      <c r="J65" s="498"/>
      <c r="K65" s="498"/>
      <c r="L65" s="499"/>
      <c r="M65" s="497" t="s">
        <v>161</v>
      </c>
      <c r="N65" s="498"/>
      <c r="O65" s="498"/>
      <c r="P65" s="499"/>
    </row>
    <row r="66" spans="3:16" ht="15.6" x14ac:dyDescent="0.3">
      <c r="C66" s="238" t="s">
        <v>163</v>
      </c>
      <c r="E66" s="500"/>
      <c r="F66" s="501"/>
      <c r="G66" s="501"/>
      <c r="H66" s="502"/>
      <c r="I66" s="500"/>
      <c r="J66" s="501"/>
      <c r="K66" s="501"/>
      <c r="L66" s="502"/>
      <c r="M66" s="500"/>
      <c r="N66" s="501"/>
      <c r="O66" s="501"/>
      <c r="P66" s="502"/>
    </row>
    <row r="67" spans="3:16" ht="14.4" thickBot="1" x14ac:dyDescent="0.3">
      <c r="C67" s="2" t="s">
        <v>158</v>
      </c>
      <c r="E67" s="503"/>
      <c r="F67" s="504"/>
      <c r="G67" s="504"/>
      <c r="H67" s="505"/>
      <c r="I67" s="503"/>
      <c r="J67" s="504"/>
      <c r="K67" s="504"/>
      <c r="L67" s="505"/>
      <c r="M67" s="503"/>
      <c r="N67" s="504"/>
      <c r="O67" s="504"/>
      <c r="P67" s="505"/>
    </row>
    <row r="68" spans="3:16" ht="14.4" thickTop="1" x14ac:dyDescent="0.25">
      <c r="C68" s="320" t="s">
        <v>169</v>
      </c>
      <c r="D68" s="311"/>
      <c r="E68" s="339"/>
      <c r="F68" s="311"/>
      <c r="G68" s="311"/>
      <c r="H68" s="312"/>
      <c r="I68" s="339"/>
      <c r="J68" s="311"/>
      <c r="K68" s="311"/>
      <c r="L68" s="312"/>
      <c r="M68" s="339"/>
      <c r="N68" s="311"/>
      <c r="O68" s="311"/>
      <c r="P68" s="312"/>
    </row>
    <row r="69" spans="3:16" x14ac:dyDescent="0.25">
      <c r="C69" s="2" t="s">
        <v>164</v>
      </c>
      <c r="E69" s="206"/>
      <c r="F69" s="35"/>
      <c r="H69" s="340"/>
      <c r="I69" s="206"/>
      <c r="J69" s="35"/>
      <c r="L69" s="340"/>
      <c r="M69" s="206"/>
      <c r="N69" s="35"/>
      <c r="P69" s="340"/>
    </row>
    <row r="70" spans="3:16" x14ac:dyDescent="0.25">
      <c r="C70" s="2" t="s">
        <v>165</v>
      </c>
      <c r="E70" s="206">
        <v>150</v>
      </c>
      <c r="F70" s="35">
        <f>+E70/E77</f>
        <v>7.4999999999999997E-2</v>
      </c>
      <c r="H70" s="340">
        <f>+E70/E73</f>
        <v>0.125</v>
      </c>
      <c r="I70" s="206">
        <v>100</v>
      </c>
      <c r="J70" s="35">
        <f>+I70/I77</f>
        <v>6.25E-2</v>
      </c>
      <c r="L70" s="340">
        <f>+I70/I73</f>
        <v>0.125</v>
      </c>
      <c r="M70" s="206">
        <v>50</v>
      </c>
      <c r="N70" s="35">
        <f>+M70/M77</f>
        <v>4.1666666666666664E-2</v>
      </c>
      <c r="P70" s="340">
        <f>+M70/M73</f>
        <v>0.125</v>
      </c>
    </row>
    <row r="71" spans="3:16" x14ac:dyDescent="0.25">
      <c r="C71" s="2" t="s">
        <v>28</v>
      </c>
      <c r="E71" s="206">
        <v>450</v>
      </c>
      <c r="F71" s="35">
        <f>+E71/E77</f>
        <v>0.22500000000000001</v>
      </c>
      <c r="H71" s="340">
        <f>+E71/E73</f>
        <v>0.375</v>
      </c>
      <c r="I71" s="206">
        <v>300</v>
      </c>
      <c r="J71" s="35">
        <f>+I71/I77</f>
        <v>0.1875</v>
      </c>
      <c r="L71" s="340">
        <f>+I71/I73</f>
        <v>0.375</v>
      </c>
      <c r="M71" s="206">
        <v>150</v>
      </c>
      <c r="N71" s="35">
        <f>+M71/M77</f>
        <v>0.125</v>
      </c>
      <c r="P71" s="340">
        <f>+M71/M73</f>
        <v>0.375</v>
      </c>
    </row>
    <row r="72" spans="3:16" x14ac:dyDescent="0.25">
      <c r="C72" s="2" t="s">
        <v>29</v>
      </c>
      <c r="E72" s="223">
        <v>600</v>
      </c>
      <c r="F72" s="35">
        <f>+E72/E77</f>
        <v>0.3</v>
      </c>
      <c r="H72" s="341">
        <f>+E72/E73</f>
        <v>0.5</v>
      </c>
      <c r="I72" s="223">
        <v>400</v>
      </c>
      <c r="J72" s="35">
        <f>+I72/I77</f>
        <v>0.25</v>
      </c>
      <c r="L72" s="341">
        <f>+I72/I73</f>
        <v>0.5</v>
      </c>
      <c r="M72" s="223">
        <v>200</v>
      </c>
      <c r="N72" s="35">
        <f>+M72/M77</f>
        <v>0.16666666666666666</v>
      </c>
      <c r="P72" s="341">
        <f>+M72/M73</f>
        <v>0.5</v>
      </c>
    </row>
    <row r="73" spans="3:16" x14ac:dyDescent="0.25">
      <c r="C73" s="81" t="s">
        <v>166</v>
      </c>
      <c r="D73" s="81"/>
      <c r="E73" s="318">
        <f>SUM(E70:E72)</f>
        <v>1200</v>
      </c>
      <c r="F73" s="35"/>
      <c r="G73" s="207">
        <f>SUM(F70:F72)</f>
        <v>0.6</v>
      </c>
      <c r="H73" s="208">
        <f>SUM(H70:H72)</f>
        <v>1</v>
      </c>
      <c r="I73" s="318">
        <f>SUM(I70:I72)</f>
        <v>800</v>
      </c>
      <c r="J73" s="35"/>
      <c r="K73" s="207">
        <f>SUM(J70:J72)</f>
        <v>0.5</v>
      </c>
      <c r="L73" s="208">
        <f>SUM(L70:L72)</f>
        <v>1</v>
      </c>
      <c r="M73" s="318">
        <f>SUM(M70:M72)</f>
        <v>400</v>
      </c>
      <c r="N73" s="35"/>
      <c r="O73" s="207">
        <f>SUM(N70:N72)</f>
        <v>0.33333333333333331</v>
      </c>
      <c r="P73" s="208">
        <f>SUM(P70:P72)</f>
        <v>1</v>
      </c>
    </row>
    <row r="74" spans="3:16" x14ac:dyDescent="0.25">
      <c r="C74" s="2" t="s">
        <v>31</v>
      </c>
      <c r="E74" s="206"/>
      <c r="F74" s="35"/>
      <c r="H74" s="340"/>
      <c r="I74" s="206"/>
      <c r="J74" s="35"/>
      <c r="L74" s="340"/>
      <c r="M74" s="206"/>
      <c r="N74" s="35"/>
      <c r="P74" s="340"/>
    </row>
    <row r="75" spans="3:16" x14ac:dyDescent="0.25">
      <c r="C75" s="2" t="s">
        <v>167</v>
      </c>
      <c r="E75" s="223">
        <v>800</v>
      </c>
      <c r="F75" s="35">
        <f>+E75/E77</f>
        <v>0.4</v>
      </c>
      <c r="H75" s="340"/>
      <c r="I75" s="223">
        <v>800</v>
      </c>
      <c r="J75" s="35">
        <f>+I75/I77</f>
        <v>0.5</v>
      </c>
      <c r="L75" s="340"/>
      <c r="M75" s="223">
        <v>800</v>
      </c>
      <c r="N75" s="35">
        <f>+M75/M77</f>
        <v>0.66666666666666663</v>
      </c>
      <c r="P75" s="340"/>
    </row>
    <row r="76" spans="3:16" x14ac:dyDescent="0.25">
      <c r="C76" s="81" t="s">
        <v>34</v>
      </c>
      <c r="D76" s="81"/>
      <c r="E76" s="342">
        <f>+E75</f>
        <v>800</v>
      </c>
      <c r="F76" s="35"/>
      <c r="G76" s="209">
        <f>+F75</f>
        <v>0.4</v>
      </c>
      <c r="H76" s="340">
        <f>+E75/E76</f>
        <v>1</v>
      </c>
      <c r="I76" s="342">
        <f>+I75</f>
        <v>800</v>
      </c>
      <c r="J76" s="35"/>
      <c r="K76" s="209">
        <f>+J75</f>
        <v>0.5</v>
      </c>
      <c r="L76" s="340">
        <f>+I75/I76</f>
        <v>1</v>
      </c>
      <c r="M76" s="342">
        <f>+M75</f>
        <v>800</v>
      </c>
      <c r="N76" s="35"/>
      <c r="O76" s="209">
        <f>+N75</f>
        <v>0.66666666666666663</v>
      </c>
      <c r="P76" s="340">
        <f>+M75/M76</f>
        <v>1</v>
      </c>
    </row>
    <row r="77" spans="3:16" x14ac:dyDescent="0.25">
      <c r="C77" s="320" t="s">
        <v>35</v>
      </c>
      <c r="D77" s="320"/>
      <c r="E77" s="310">
        <f>+E73+E76</f>
        <v>2000</v>
      </c>
      <c r="F77" s="259"/>
      <c r="G77" s="212">
        <f>SUM(G73:G76)</f>
        <v>1</v>
      </c>
      <c r="H77" s="343"/>
      <c r="I77" s="310">
        <f>+I73+I76</f>
        <v>1600</v>
      </c>
      <c r="J77" s="259"/>
      <c r="K77" s="212">
        <f>SUM(K73:K76)</f>
        <v>1</v>
      </c>
      <c r="L77" s="343"/>
      <c r="M77" s="310">
        <f>+M73+M76</f>
        <v>1200</v>
      </c>
      <c r="N77" s="259"/>
      <c r="O77" s="212">
        <f>SUM(O73:O76)</f>
        <v>1</v>
      </c>
      <c r="P77" s="343"/>
    </row>
    <row r="78" spans="3:16" x14ac:dyDescent="0.25">
      <c r="E78" s="206"/>
      <c r="F78" s="35"/>
      <c r="H78" s="340"/>
      <c r="I78" s="206"/>
      <c r="J78" s="35"/>
      <c r="L78" s="340"/>
      <c r="M78" s="206"/>
      <c r="N78" s="35"/>
      <c r="P78" s="340"/>
    </row>
    <row r="79" spans="3:16" x14ac:dyDescent="0.25">
      <c r="C79" s="44" t="s">
        <v>168</v>
      </c>
      <c r="D79" s="74"/>
      <c r="E79" s="344"/>
      <c r="F79" s="345"/>
      <c r="G79" s="74"/>
      <c r="H79" s="346"/>
      <c r="I79" s="344"/>
      <c r="J79" s="345"/>
      <c r="K79" s="74"/>
      <c r="L79" s="346"/>
      <c r="M79" s="344"/>
      <c r="N79" s="345"/>
      <c r="O79" s="74"/>
      <c r="P79" s="346"/>
    </row>
    <row r="80" spans="3:16" x14ac:dyDescent="0.25">
      <c r="C80" s="2" t="s">
        <v>170</v>
      </c>
      <c r="E80" s="206"/>
      <c r="F80" s="35"/>
      <c r="H80" s="340"/>
      <c r="I80" s="206"/>
      <c r="J80" s="35"/>
      <c r="L80" s="340"/>
      <c r="M80" s="206"/>
      <c r="N80" s="35"/>
      <c r="P80" s="340"/>
    </row>
    <row r="81" spans="3:16" x14ac:dyDescent="0.25">
      <c r="C81" s="2" t="s">
        <v>171</v>
      </c>
      <c r="E81" s="206">
        <v>300</v>
      </c>
      <c r="F81" s="35">
        <f>+E81/E88</f>
        <v>0.3</v>
      </c>
      <c r="H81" s="340">
        <f>+E81/E83</f>
        <v>0.75</v>
      </c>
      <c r="I81" s="206">
        <v>300</v>
      </c>
      <c r="J81" s="35">
        <f>+I81/I88</f>
        <v>0.375</v>
      </c>
      <c r="L81" s="340">
        <f>+I81/I83</f>
        <v>0.75</v>
      </c>
      <c r="M81" s="206">
        <v>300</v>
      </c>
      <c r="N81" s="35">
        <f>+M81/M88</f>
        <v>0.5</v>
      </c>
      <c r="P81" s="340">
        <f>+M81/M83</f>
        <v>0.75</v>
      </c>
    </row>
    <row r="82" spans="3:16" x14ac:dyDescent="0.25">
      <c r="C82" s="2" t="s">
        <v>172</v>
      </c>
      <c r="E82" s="223">
        <v>100</v>
      </c>
      <c r="F82" s="35">
        <f>+E82/E88</f>
        <v>0.1</v>
      </c>
      <c r="H82" s="341">
        <f>+E82/E83</f>
        <v>0.25</v>
      </c>
      <c r="I82" s="223">
        <v>100</v>
      </c>
      <c r="J82" s="35">
        <f>+I82/I88</f>
        <v>0.125</v>
      </c>
      <c r="L82" s="341">
        <f>+I82/I83</f>
        <v>0.25</v>
      </c>
      <c r="M82" s="223">
        <v>100</v>
      </c>
      <c r="N82" s="35">
        <f>+M82/M88</f>
        <v>0.16666666666666666</v>
      </c>
      <c r="P82" s="341">
        <f>+M82/M83</f>
        <v>0.25</v>
      </c>
    </row>
    <row r="83" spans="3:16" x14ac:dyDescent="0.25">
      <c r="C83" s="81" t="s">
        <v>173</v>
      </c>
      <c r="D83" s="81"/>
      <c r="E83" s="318">
        <f>SUM(E81:E82)</f>
        <v>400</v>
      </c>
      <c r="F83" s="35"/>
      <c r="G83" s="207">
        <f>SUM(F81:F82)</f>
        <v>0.4</v>
      </c>
      <c r="H83" s="208">
        <f>SUM(H81:H82)</f>
        <v>1</v>
      </c>
      <c r="I83" s="318">
        <f>SUM(I81:I82)</f>
        <v>400</v>
      </c>
      <c r="J83" s="35"/>
      <c r="K83" s="207">
        <f>SUM(J81:J82)</f>
        <v>0.5</v>
      </c>
      <c r="L83" s="208">
        <f>SUM(L81:L82)</f>
        <v>1</v>
      </c>
      <c r="M83" s="318">
        <f>SUM(M81:M82)</f>
        <v>400</v>
      </c>
      <c r="N83" s="35"/>
      <c r="O83" s="207">
        <f>SUM(N81:N82)</f>
        <v>0.66666666666666663</v>
      </c>
      <c r="P83" s="208">
        <f>SUM(P81:P82)</f>
        <v>1</v>
      </c>
    </row>
    <row r="84" spans="3:16" x14ac:dyDescent="0.25">
      <c r="C84" s="2" t="s">
        <v>174</v>
      </c>
      <c r="D84" s="1"/>
      <c r="E84" s="206"/>
      <c r="F84" s="35"/>
      <c r="H84" s="340"/>
      <c r="I84" s="206"/>
      <c r="J84" s="35"/>
      <c r="L84" s="340"/>
      <c r="M84" s="206"/>
      <c r="N84" s="35"/>
      <c r="P84" s="340"/>
    </row>
    <row r="85" spans="3:16" x14ac:dyDescent="0.25">
      <c r="C85" s="2" t="s">
        <v>175</v>
      </c>
      <c r="E85" s="206">
        <v>200</v>
      </c>
      <c r="F85" s="35">
        <f>+E85/E88</f>
        <v>0.2</v>
      </c>
      <c r="H85" s="340">
        <f>+E85/E87</f>
        <v>0.33333333333333331</v>
      </c>
      <c r="I85" s="206">
        <v>150</v>
      </c>
      <c r="J85" s="35">
        <f>+I85/I88</f>
        <v>0.1875</v>
      </c>
      <c r="L85" s="340">
        <f>+I85/I87</f>
        <v>0.375</v>
      </c>
      <c r="M85" s="206">
        <v>100</v>
      </c>
      <c r="N85" s="35">
        <f>+M85/M88</f>
        <v>0.16666666666666666</v>
      </c>
      <c r="P85" s="340">
        <f>+M85/M87</f>
        <v>0.5</v>
      </c>
    </row>
    <row r="86" spans="3:16" x14ac:dyDescent="0.25">
      <c r="C86" s="2" t="s">
        <v>176</v>
      </c>
      <c r="E86" s="223">
        <v>400</v>
      </c>
      <c r="F86" s="274">
        <f>+E86/E88</f>
        <v>0.4</v>
      </c>
      <c r="H86" s="341">
        <f>+E86/E87</f>
        <v>0.66666666666666663</v>
      </c>
      <c r="I86" s="223">
        <v>250</v>
      </c>
      <c r="J86" s="35">
        <f>+I86/I88</f>
        <v>0.3125</v>
      </c>
      <c r="L86" s="341">
        <f>+I86/I87</f>
        <v>0.625</v>
      </c>
      <c r="M86" s="223">
        <v>100</v>
      </c>
      <c r="N86" s="35">
        <f>+M86/M88</f>
        <v>0.16666666666666666</v>
      </c>
      <c r="P86" s="341">
        <f>+M86/M87</f>
        <v>0.5</v>
      </c>
    </row>
    <row r="87" spans="3:16" x14ac:dyDescent="0.25">
      <c r="C87" s="211" t="s">
        <v>177</v>
      </c>
      <c r="D87" s="81"/>
      <c r="E87" s="342">
        <f>SUM(E85:E86)</f>
        <v>600</v>
      </c>
      <c r="F87" s="35"/>
      <c r="G87" s="207">
        <f>SUM(F85:F86)</f>
        <v>0.60000000000000009</v>
      </c>
      <c r="H87" s="208">
        <f>SUM(H85:H86)</f>
        <v>1</v>
      </c>
      <c r="I87" s="342">
        <f>SUM(I85:I86)</f>
        <v>400</v>
      </c>
      <c r="J87" s="35"/>
      <c r="K87" s="207">
        <f>SUM(J85:J86)</f>
        <v>0.5</v>
      </c>
      <c r="L87" s="208">
        <f>SUM(L85:L86)</f>
        <v>1</v>
      </c>
      <c r="M87" s="342">
        <f>SUM(M85:M86)</f>
        <v>200</v>
      </c>
      <c r="N87" s="35"/>
      <c r="O87" s="207">
        <f>SUM(N85:N86)</f>
        <v>0.33333333333333331</v>
      </c>
      <c r="P87" s="208">
        <f>SUM(P85:P86)</f>
        <v>1</v>
      </c>
    </row>
    <row r="88" spans="3:16" x14ac:dyDescent="0.25">
      <c r="C88" s="109" t="s">
        <v>178</v>
      </c>
      <c r="D88" s="44"/>
      <c r="E88" s="322">
        <f>+E83+E87</f>
        <v>1000</v>
      </c>
      <c r="F88" s="345"/>
      <c r="G88" s="76">
        <f>+E88/E95</f>
        <v>0.5</v>
      </c>
      <c r="H88" s="346"/>
      <c r="I88" s="322">
        <f>+I83+I87</f>
        <v>800</v>
      </c>
      <c r="J88" s="345"/>
      <c r="K88" s="76">
        <f>+I88/I95</f>
        <v>0.5</v>
      </c>
      <c r="L88" s="346"/>
      <c r="M88" s="322">
        <f>+M83+M87</f>
        <v>600</v>
      </c>
      <c r="N88" s="345"/>
      <c r="O88" s="76">
        <f>+M88/M95</f>
        <v>0.5</v>
      </c>
      <c r="P88" s="346"/>
    </row>
    <row r="89" spans="3:16" x14ac:dyDescent="0.25">
      <c r="C89" s="45"/>
      <c r="E89" s="206"/>
      <c r="F89" s="35"/>
      <c r="H89" s="340"/>
      <c r="I89" s="206"/>
      <c r="J89" s="35"/>
      <c r="L89" s="340"/>
      <c r="M89" s="206"/>
      <c r="N89" s="35"/>
      <c r="P89" s="340"/>
    </row>
    <row r="90" spans="3:16" x14ac:dyDescent="0.25">
      <c r="C90" s="347" t="s">
        <v>179</v>
      </c>
      <c r="D90" s="330"/>
      <c r="E90" s="348"/>
      <c r="F90" s="349"/>
      <c r="G90" s="330"/>
      <c r="H90" s="350"/>
      <c r="I90" s="348"/>
      <c r="J90" s="349"/>
      <c r="K90" s="330"/>
      <c r="L90" s="350"/>
      <c r="M90" s="348"/>
      <c r="N90" s="349"/>
      <c r="O90" s="330"/>
      <c r="P90" s="350"/>
    </row>
    <row r="91" spans="3:16" x14ac:dyDescent="0.25">
      <c r="C91" s="41" t="s">
        <v>180</v>
      </c>
      <c r="E91" s="206">
        <v>700</v>
      </c>
      <c r="F91" s="35">
        <f>+E91/E95</f>
        <v>0.35</v>
      </c>
      <c r="H91" s="340">
        <f>+E91/E93</f>
        <v>0.7</v>
      </c>
      <c r="I91" s="206">
        <v>500</v>
      </c>
      <c r="J91" s="35">
        <f>+I91/I95</f>
        <v>0.3125</v>
      </c>
      <c r="L91" s="340">
        <f>+I91/I93</f>
        <v>0.625</v>
      </c>
      <c r="M91" s="206">
        <v>300</v>
      </c>
      <c r="N91" s="35">
        <f>+M91/M95</f>
        <v>0.25</v>
      </c>
      <c r="P91" s="340">
        <f>+M91/M93</f>
        <v>0.5</v>
      </c>
    </row>
    <row r="92" spans="3:16" x14ac:dyDescent="0.25">
      <c r="C92" s="41" t="s">
        <v>181</v>
      </c>
      <c r="E92" s="223">
        <v>300</v>
      </c>
      <c r="F92" s="35">
        <f>+E92/E95</f>
        <v>0.15</v>
      </c>
      <c r="H92" s="341">
        <f>+E92/E93</f>
        <v>0.3</v>
      </c>
      <c r="I92" s="223">
        <v>300</v>
      </c>
      <c r="J92" s="35">
        <f>+I92/I95</f>
        <v>0.1875</v>
      </c>
      <c r="L92" s="341">
        <f>+I92/I93</f>
        <v>0.375</v>
      </c>
      <c r="M92" s="223">
        <v>300</v>
      </c>
      <c r="N92" s="35">
        <f>+M92/M95</f>
        <v>0.25</v>
      </c>
      <c r="P92" s="341">
        <f>+M92/M93</f>
        <v>0.5</v>
      </c>
    </row>
    <row r="93" spans="3:16" x14ac:dyDescent="0.25">
      <c r="C93" s="351" t="s">
        <v>182</v>
      </c>
      <c r="D93" s="334"/>
      <c r="E93" s="352">
        <f>SUM(E91:E92)</f>
        <v>1000</v>
      </c>
      <c r="F93" s="349"/>
      <c r="G93" s="213">
        <f>SUM(F91:F92)</f>
        <v>0.5</v>
      </c>
      <c r="H93" s="214">
        <f>SUM(H91:H92)</f>
        <v>1</v>
      </c>
      <c r="I93" s="352">
        <f>SUM(I91:I92)</f>
        <v>800</v>
      </c>
      <c r="J93" s="349"/>
      <c r="K93" s="213">
        <f>SUM(J91:J92)</f>
        <v>0.5</v>
      </c>
      <c r="L93" s="214">
        <f>SUM(L91:L92)</f>
        <v>1</v>
      </c>
      <c r="M93" s="352">
        <f>SUM(M91:M92)</f>
        <v>600</v>
      </c>
      <c r="N93" s="349"/>
      <c r="O93" s="213">
        <f>SUM(N91:N92)</f>
        <v>0.5</v>
      </c>
      <c r="P93" s="214">
        <f>SUM(P91:P92)</f>
        <v>1</v>
      </c>
    </row>
    <row r="94" spans="3:16" x14ac:dyDescent="0.25">
      <c r="C94" s="45"/>
      <c r="D94" s="1"/>
      <c r="E94" s="206"/>
      <c r="F94" s="35"/>
      <c r="H94" s="340"/>
      <c r="I94" s="206"/>
      <c r="J94" s="35"/>
      <c r="L94" s="340"/>
      <c r="M94" s="206"/>
      <c r="N94" s="35"/>
      <c r="P94" s="340"/>
    </row>
    <row r="95" spans="3:16" ht="14.4" thickBot="1" x14ac:dyDescent="0.3">
      <c r="C95" s="79" t="s">
        <v>183</v>
      </c>
      <c r="D95" s="96"/>
      <c r="E95" s="353">
        <f>+E88+E93</f>
        <v>2000</v>
      </c>
      <c r="F95" s="354"/>
      <c r="G95" s="210">
        <f>+G88+G93</f>
        <v>1</v>
      </c>
      <c r="H95" s="355"/>
      <c r="I95" s="353">
        <f>+I88+I93</f>
        <v>1600</v>
      </c>
      <c r="J95" s="354"/>
      <c r="K95" s="210">
        <f>+K88+K93</f>
        <v>1</v>
      </c>
      <c r="L95" s="355"/>
      <c r="M95" s="353">
        <f>+M88+M93</f>
        <v>1200</v>
      </c>
      <c r="N95" s="354"/>
      <c r="O95" s="210">
        <f>+O88+O93</f>
        <v>1</v>
      </c>
      <c r="P95" s="355"/>
    </row>
    <row r="98" spans="3:13" ht="16.2" thickBot="1" x14ac:dyDescent="0.35">
      <c r="D98" s="476" t="s">
        <v>200</v>
      </c>
      <c r="E98" s="476"/>
      <c r="F98" s="476"/>
      <c r="G98" s="476"/>
      <c r="H98" s="476"/>
      <c r="I98" s="476" t="s">
        <v>201</v>
      </c>
      <c r="J98" s="476"/>
      <c r="K98" s="476"/>
      <c r="L98" s="476"/>
      <c r="M98" s="476"/>
    </row>
    <row r="99" spans="3:13" ht="14.25" customHeight="1" thickTop="1" x14ac:dyDescent="0.25">
      <c r="C99" s="472" t="s">
        <v>159</v>
      </c>
      <c r="D99" s="475" t="s">
        <v>283</v>
      </c>
      <c r="E99" s="475"/>
      <c r="F99" s="475"/>
      <c r="G99" s="475"/>
      <c r="H99" s="475"/>
      <c r="I99" s="475" t="s">
        <v>284</v>
      </c>
      <c r="J99" s="475"/>
      <c r="K99" s="475"/>
      <c r="L99" s="475"/>
      <c r="M99" s="475"/>
    </row>
    <row r="100" spans="3:13" x14ac:dyDescent="0.25">
      <c r="C100" s="472"/>
      <c r="D100" s="473"/>
      <c r="E100" s="473"/>
      <c r="F100" s="473"/>
      <c r="G100" s="473"/>
      <c r="H100" s="473"/>
      <c r="I100" s="473"/>
      <c r="J100" s="473"/>
      <c r="K100" s="473"/>
      <c r="L100" s="473"/>
      <c r="M100" s="473"/>
    </row>
    <row r="101" spans="3:13" ht="14.25" customHeight="1" x14ac:dyDescent="0.25">
      <c r="C101" s="472"/>
      <c r="D101" s="473" t="s">
        <v>285</v>
      </c>
      <c r="E101" s="473"/>
      <c r="F101" s="473"/>
      <c r="G101" s="473"/>
      <c r="H101" s="473"/>
      <c r="I101" s="473" t="s">
        <v>286</v>
      </c>
      <c r="J101" s="473"/>
      <c r="K101" s="473"/>
      <c r="L101" s="473"/>
      <c r="M101" s="473"/>
    </row>
    <row r="102" spans="3:13" x14ac:dyDescent="0.25">
      <c r="C102" s="472"/>
      <c r="D102" s="473"/>
      <c r="E102" s="473"/>
      <c r="F102" s="473"/>
      <c r="G102" s="473"/>
      <c r="H102" s="473"/>
      <c r="I102" s="473"/>
      <c r="J102" s="473"/>
      <c r="K102" s="473"/>
      <c r="L102" s="473"/>
      <c r="M102" s="473"/>
    </row>
    <row r="103" spans="3:13" ht="14.25" customHeight="1" x14ac:dyDescent="0.25">
      <c r="C103" s="472" t="s">
        <v>160</v>
      </c>
      <c r="D103" s="473" t="s">
        <v>287</v>
      </c>
      <c r="E103" s="473"/>
      <c r="F103" s="473"/>
      <c r="G103" s="473"/>
      <c r="H103" s="473"/>
      <c r="I103" s="473" t="s">
        <v>288</v>
      </c>
      <c r="J103" s="473"/>
      <c r="K103" s="473"/>
      <c r="L103" s="473"/>
      <c r="M103" s="473"/>
    </row>
    <row r="104" spans="3:13" x14ac:dyDescent="0.25">
      <c r="C104" s="472"/>
      <c r="D104" s="473"/>
      <c r="E104" s="473"/>
      <c r="F104" s="473"/>
      <c r="G104" s="473"/>
      <c r="H104" s="473"/>
      <c r="I104" s="473"/>
      <c r="J104" s="473"/>
      <c r="K104" s="473"/>
      <c r="L104" s="473"/>
      <c r="M104" s="473"/>
    </row>
    <row r="105" spans="3:13" ht="14.25" customHeight="1" x14ac:dyDescent="0.25">
      <c r="C105" s="472"/>
      <c r="D105" s="473" t="s">
        <v>289</v>
      </c>
      <c r="E105" s="473"/>
      <c r="F105" s="473"/>
      <c r="G105" s="473"/>
      <c r="H105" s="473"/>
      <c r="I105" s="473" t="s">
        <v>290</v>
      </c>
      <c r="J105" s="473"/>
      <c r="K105" s="473"/>
      <c r="L105" s="473"/>
      <c r="M105" s="473"/>
    </row>
    <row r="106" spans="3:13" x14ac:dyDescent="0.25">
      <c r="C106" s="472"/>
      <c r="D106" s="473"/>
      <c r="E106" s="473"/>
      <c r="F106" s="473"/>
      <c r="G106" s="473"/>
      <c r="H106" s="473"/>
      <c r="I106" s="473"/>
      <c r="J106" s="473"/>
      <c r="K106" s="473"/>
      <c r="L106" s="473"/>
      <c r="M106" s="473"/>
    </row>
    <row r="107" spans="3:13" ht="14.25" customHeight="1" x14ac:dyDescent="0.25">
      <c r="C107" s="472" t="s">
        <v>161</v>
      </c>
      <c r="D107" s="473" t="s">
        <v>291</v>
      </c>
      <c r="E107" s="473"/>
      <c r="F107" s="473"/>
      <c r="G107" s="473"/>
      <c r="H107" s="473"/>
      <c r="I107" s="473" t="s">
        <v>292</v>
      </c>
      <c r="J107" s="473"/>
      <c r="K107" s="473"/>
      <c r="L107" s="473"/>
      <c r="M107" s="473"/>
    </row>
    <row r="108" spans="3:13" x14ac:dyDescent="0.25">
      <c r="C108" s="472"/>
      <c r="D108" s="473"/>
      <c r="E108" s="473"/>
      <c r="F108" s="473"/>
      <c r="G108" s="473"/>
      <c r="H108" s="473"/>
      <c r="I108" s="473"/>
      <c r="J108" s="473"/>
      <c r="K108" s="473"/>
      <c r="L108" s="473"/>
      <c r="M108" s="473"/>
    </row>
    <row r="109" spans="3:13" ht="14.25" customHeight="1" x14ac:dyDescent="0.25">
      <c r="C109" s="472"/>
      <c r="D109" s="473" t="s">
        <v>293</v>
      </c>
      <c r="E109" s="473"/>
      <c r="F109" s="473"/>
      <c r="G109" s="473"/>
      <c r="H109" s="473"/>
      <c r="I109" s="473" t="s">
        <v>294</v>
      </c>
      <c r="J109" s="473"/>
      <c r="K109" s="473"/>
      <c r="L109" s="473"/>
      <c r="M109" s="473"/>
    </row>
    <row r="110" spans="3:13" ht="18.75" customHeight="1" x14ac:dyDescent="0.25">
      <c r="C110" s="472"/>
      <c r="D110" s="473"/>
      <c r="E110" s="473"/>
      <c r="F110" s="473"/>
      <c r="G110" s="473"/>
      <c r="H110" s="473"/>
      <c r="I110" s="473"/>
      <c r="J110" s="473"/>
      <c r="K110" s="473"/>
      <c r="L110" s="473"/>
      <c r="M110" s="473"/>
    </row>
    <row r="113" spans="2:20" ht="14.25" customHeight="1" x14ac:dyDescent="0.25">
      <c r="B113" s="399">
        <v>2</v>
      </c>
      <c r="C113" s="419" t="s">
        <v>202</v>
      </c>
      <c r="D113" s="419"/>
      <c r="E113" s="419"/>
      <c r="F113" s="419"/>
      <c r="G113" s="419"/>
      <c r="H113" s="419"/>
      <c r="I113" s="419"/>
      <c r="J113" s="419"/>
      <c r="K113" s="419"/>
      <c r="L113" s="419"/>
      <c r="M113" s="419"/>
      <c r="N113" s="419"/>
      <c r="O113" s="419"/>
      <c r="P113" s="419"/>
      <c r="Q113" s="419"/>
      <c r="R113" s="419"/>
      <c r="S113" s="419"/>
      <c r="T113" s="419"/>
    </row>
    <row r="114" spans="2:20" x14ac:dyDescent="0.25">
      <c r="B114" s="399"/>
      <c r="C114" s="419"/>
      <c r="D114" s="419"/>
      <c r="E114" s="419"/>
      <c r="F114" s="419"/>
      <c r="G114" s="419"/>
      <c r="H114" s="419"/>
      <c r="I114" s="419"/>
      <c r="J114" s="419"/>
      <c r="K114" s="419"/>
      <c r="L114" s="419"/>
      <c r="M114" s="419"/>
      <c r="N114" s="419"/>
      <c r="O114" s="419"/>
      <c r="P114" s="419"/>
      <c r="Q114" s="419"/>
      <c r="R114" s="419"/>
      <c r="S114" s="419"/>
      <c r="T114" s="419"/>
    </row>
    <row r="115" spans="2:20" ht="14.4" thickBot="1" x14ac:dyDescent="0.3"/>
    <row r="116" spans="2:20" ht="30.6" thickBot="1" x14ac:dyDescent="0.55000000000000004">
      <c r="B116" s="396" t="s">
        <v>81</v>
      </c>
      <c r="C116" s="397"/>
      <c r="D116" s="397"/>
      <c r="E116" s="397"/>
      <c r="F116" s="397"/>
      <c r="G116" s="397"/>
      <c r="H116" s="397"/>
      <c r="I116" s="397"/>
      <c r="J116" s="397"/>
      <c r="K116" s="397"/>
      <c r="L116" s="397"/>
      <c r="M116" s="397"/>
      <c r="N116" s="397"/>
      <c r="O116" s="397"/>
      <c r="P116" s="397"/>
      <c r="Q116" s="397"/>
      <c r="R116" s="397"/>
      <c r="S116" s="397"/>
      <c r="T116" s="398"/>
    </row>
    <row r="117" spans="2:20" ht="30" customHeight="1" x14ac:dyDescent="0.25">
      <c r="B117" s="399" t="s">
        <v>82</v>
      </c>
      <c r="C117" s="399"/>
      <c r="D117" s="399"/>
      <c r="E117" s="399"/>
      <c r="F117" s="399"/>
      <c r="G117" s="399"/>
      <c r="H117" s="399"/>
      <c r="I117" s="399"/>
      <c r="J117" s="399"/>
      <c r="K117" s="399"/>
      <c r="L117" s="493" t="s">
        <v>159</v>
      </c>
      <c r="M117" s="400"/>
      <c r="N117" s="494"/>
      <c r="O117" s="493" t="s">
        <v>160</v>
      </c>
      <c r="P117" s="400"/>
      <c r="Q117" s="494"/>
      <c r="R117" s="493" t="s">
        <v>161</v>
      </c>
      <c r="S117" s="400"/>
      <c r="T117" s="494"/>
    </row>
    <row r="118" spans="2:20" ht="17.399999999999999" x14ac:dyDescent="0.3">
      <c r="B118" s="403" t="s">
        <v>70</v>
      </c>
      <c r="C118" s="404"/>
      <c r="D118" s="404"/>
      <c r="E118" s="404"/>
      <c r="F118" s="404"/>
      <c r="G118" s="404"/>
      <c r="H118" s="404"/>
      <c r="I118" s="404"/>
      <c r="J118" s="404"/>
      <c r="K118" s="404"/>
      <c r="L118" s="495"/>
      <c r="M118" s="399"/>
      <c r="N118" s="496"/>
      <c r="O118" s="495"/>
      <c r="P118" s="399"/>
      <c r="Q118" s="496"/>
      <c r="R118" s="495"/>
      <c r="S118" s="399"/>
      <c r="T118" s="496"/>
    </row>
    <row r="119" spans="2:20" x14ac:dyDescent="0.25">
      <c r="B119" s="89"/>
      <c r="C119" s="90"/>
      <c r="D119" s="90"/>
      <c r="E119" s="90"/>
      <c r="F119" s="90"/>
      <c r="G119" s="90"/>
      <c r="H119" s="90"/>
      <c r="I119" s="90"/>
      <c r="J119" s="90"/>
      <c r="K119" s="90"/>
      <c r="L119" s="215"/>
      <c r="M119" s="90"/>
      <c r="N119" s="230"/>
      <c r="O119" s="215"/>
      <c r="P119" s="90"/>
      <c r="Q119" s="230"/>
      <c r="R119" s="215"/>
      <c r="S119" s="90"/>
      <c r="T119" s="230"/>
    </row>
    <row r="120" spans="2:20" x14ac:dyDescent="0.25">
      <c r="B120" s="128" t="s">
        <v>58</v>
      </c>
      <c r="L120" s="206"/>
      <c r="N120" s="231"/>
      <c r="O120" s="206"/>
      <c r="Q120" s="231"/>
      <c r="R120" s="206"/>
      <c r="T120" s="231"/>
    </row>
    <row r="121" spans="2:20" ht="15" customHeight="1" x14ac:dyDescent="0.25">
      <c r="B121" s="406" t="s">
        <v>79</v>
      </c>
      <c r="C121" s="407"/>
      <c r="D121" s="407"/>
      <c r="E121" s="407"/>
      <c r="G121" s="408" t="s">
        <v>59</v>
      </c>
      <c r="H121" s="408"/>
      <c r="I121" s="408"/>
      <c r="J121" s="2" t="s">
        <v>60</v>
      </c>
      <c r="L121" s="216">
        <f>+E73</f>
        <v>1200</v>
      </c>
      <c r="M121" s="3" t="s">
        <v>80</v>
      </c>
      <c r="N121" s="217">
        <f>+L121/L122</f>
        <v>3</v>
      </c>
      <c r="O121" s="216">
        <f>+I73</f>
        <v>800</v>
      </c>
      <c r="P121" s="3" t="s">
        <v>80</v>
      </c>
      <c r="Q121" s="217">
        <f>+O121/O122</f>
        <v>2</v>
      </c>
      <c r="R121" s="216">
        <f>+M73</f>
        <v>400</v>
      </c>
      <c r="S121" s="3" t="s">
        <v>80</v>
      </c>
      <c r="T121" s="217">
        <f>+R121/R122</f>
        <v>1</v>
      </c>
    </row>
    <row r="122" spans="2:20" x14ac:dyDescent="0.25">
      <c r="B122" s="406"/>
      <c r="C122" s="407"/>
      <c r="D122" s="407"/>
      <c r="E122" s="407"/>
      <c r="H122" s="3" t="s">
        <v>61</v>
      </c>
      <c r="I122" s="3"/>
      <c r="L122" s="218">
        <f>+E83</f>
        <v>400</v>
      </c>
      <c r="M122" s="3"/>
      <c r="N122" s="219"/>
      <c r="O122" s="218">
        <f>+I83</f>
        <v>400</v>
      </c>
      <c r="P122" s="3"/>
      <c r="Q122" s="219"/>
      <c r="R122" s="218">
        <f>+M83</f>
        <v>400</v>
      </c>
      <c r="S122" s="3"/>
      <c r="T122" s="219"/>
    </row>
    <row r="123" spans="2:20" x14ac:dyDescent="0.25">
      <c r="B123" s="406"/>
      <c r="C123" s="407"/>
      <c r="D123" s="407"/>
      <c r="E123" s="407"/>
      <c r="L123" s="220"/>
      <c r="M123" s="3"/>
      <c r="N123" s="219"/>
      <c r="O123" s="220"/>
      <c r="P123" s="3"/>
      <c r="Q123" s="219"/>
      <c r="R123" s="220"/>
      <c r="S123" s="3"/>
      <c r="T123" s="219"/>
    </row>
    <row r="124" spans="2:20" x14ac:dyDescent="0.25">
      <c r="B124" s="19"/>
      <c r="L124" s="220"/>
      <c r="M124" s="3"/>
      <c r="N124" s="219"/>
      <c r="O124" s="220"/>
      <c r="P124" s="3"/>
      <c r="Q124" s="219"/>
      <c r="R124" s="220"/>
      <c r="S124" s="3"/>
      <c r="T124" s="219"/>
    </row>
    <row r="125" spans="2:20" x14ac:dyDescent="0.25">
      <c r="B125" s="128" t="s">
        <v>62</v>
      </c>
      <c r="L125" s="220"/>
      <c r="M125" s="3"/>
      <c r="N125" s="219"/>
      <c r="O125" s="220"/>
      <c r="P125" s="3"/>
      <c r="Q125" s="219"/>
      <c r="R125" s="220"/>
      <c r="S125" s="3"/>
      <c r="T125" s="219"/>
    </row>
    <row r="126" spans="2:20" x14ac:dyDescent="0.25">
      <c r="B126" s="491" t="s">
        <v>155</v>
      </c>
      <c r="C126" s="492"/>
      <c r="D126" s="492"/>
      <c r="E126" s="492"/>
      <c r="G126" s="408" t="s">
        <v>63</v>
      </c>
      <c r="H126" s="408"/>
      <c r="I126" s="408"/>
      <c r="J126" s="2" t="s">
        <v>60</v>
      </c>
      <c r="L126" s="216">
        <f>+E73-E72</f>
        <v>600</v>
      </c>
      <c r="M126" s="3" t="s">
        <v>80</v>
      </c>
      <c r="N126" s="217">
        <f>+L126/L127</f>
        <v>1.5</v>
      </c>
      <c r="O126" s="216">
        <f>+I73-I72</f>
        <v>400</v>
      </c>
      <c r="P126" s="3" t="s">
        <v>80</v>
      </c>
      <c r="Q126" s="217">
        <f>+O126/O127</f>
        <v>1</v>
      </c>
      <c r="R126" s="216">
        <f>+M73-M72</f>
        <v>200</v>
      </c>
      <c r="S126" s="3" t="s">
        <v>80</v>
      </c>
      <c r="T126" s="217">
        <f>+R126/R127</f>
        <v>0.5</v>
      </c>
    </row>
    <row r="127" spans="2:20" x14ac:dyDescent="0.25">
      <c r="B127" s="491"/>
      <c r="C127" s="492"/>
      <c r="D127" s="492"/>
      <c r="E127" s="492"/>
      <c r="G127" s="411" t="s">
        <v>61</v>
      </c>
      <c r="H127" s="411"/>
      <c r="I127" s="411"/>
      <c r="L127" s="218">
        <f>+E83</f>
        <v>400</v>
      </c>
      <c r="M127" s="3"/>
      <c r="N127" s="219"/>
      <c r="O127" s="218">
        <f>+I83</f>
        <v>400</v>
      </c>
      <c r="P127" s="3"/>
      <c r="Q127" s="219"/>
      <c r="R127" s="218">
        <f>+M83</f>
        <v>400</v>
      </c>
      <c r="S127" s="3"/>
      <c r="T127" s="219"/>
    </row>
    <row r="128" spans="2:20" x14ac:dyDescent="0.25">
      <c r="B128" s="491"/>
      <c r="C128" s="492"/>
      <c r="D128" s="492"/>
      <c r="E128" s="492"/>
      <c r="L128" s="206"/>
      <c r="N128" s="219"/>
      <c r="O128" s="206"/>
      <c r="Q128" s="219"/>
      <c r="R128" s="206"/>
      <c r="T128" s="219"/>
    </row>
    <row r="129" spans="2:20" x14ac:dyDescent="0.25">
      <c r="B129" s="19"/>
      <c r="L129" s="206"/>
      <c r="N129" s="219"/>
      <c r="O129" s="206"/>
      <c r="Q129" s="219"/>
      <c r="R129" s="206"/>
      <c r="T129" s="219"/>
    </row>
    <row r="130" spans="2:20" ht="29.25" customHeight="1" x14ac:dyDescent="0.25">
      <c r="B130" s="177" t="s">
        <v>76</v>
      </c>
      <c r="G130" s="395" t="s">
        <v>77</v>
      </c>
      <c r="H130" s="395"/>
      <c r="I130" s="395"/>
      <c r="J130" s="2" t="s">
        <v>60</v>
      </c>
      <c r="L130" s="221">
        <f>+L20</f>
        <v>-1000</v>
      </c>
      <c r="M130" s="3" t="s">
        <v>80</v>
      </c>
      <c r="N130" s="217">
        <f>+L130/L131</f>
        <v>-1.6666666666666667</v>
      </c>
      <c r="O130" s="221">
        <f>+M20</f>
        <v>-1000</v>
      </c>
      <c r="P130" s="3" t="s">
        <v>80</v>
      </c>
      <c r="Q130" s="217">
        <f>+O130/O131</f>
        <v>-2.5</v>
      </c>
      <c r="R130" s="221">
        <f>+N20</f>
        <v>-1000</v>
      </c>
      <c r="S130" s="3" t="s">
        <v>80</v>
      </c>
      <c r="T130" s="217">
        <f>+R130/R131</f>
        <v>-5</v>
      </c>
    </row>
    <row r="131" spans="2:20" x14ac:dyDescent="0.25">
      <c r="B131" s="19" t="s">
        <v>78</v>
      </c>
      <c r="G131" s="411" t="s">
        <v>5</v>
      </c>
      <c r="H131" s="411"/>
      <c r="I131" s="411"/>
      <c r="L131" s="222">
        <f>+E72</f>
        <v>600</v>
      </c>
      <c r="N131" s="219"/>
      <c r="O131" s="222">
        <f>+I72</f>
        <v>400</v>
      </c>
      <c r="Q131" s="219"/>
      <c r="R131" s="222">
        <f>+M72</f>
        <v>200</v>
      </c>
      <c r="T131" s="219"/>
    </row>
    <row r="132" spans="2:20" x14ac:dyDescent="0.25">
      <c r="B132" s="19"/>
      <c r="L132" s="206"/>
      <c r="N132" s="219"/>
      <c r="O132" s="206"/>
      <c r="Q132" s="219"/>
      <c r="R132" s="206"/>
      <c r="T132" s="219"/>
    </row>
    <row r="133" spans="2:20" ht="39" customHeight="1" x14ac:dyDescent="0.25">
      <c r="B133" s="128" t="s">
        <v>71</v>
      </c>
      <c r="G133" s="395" t="s">
        <v>28</v>
      </c>
      <c r="H133" s="395"/>
      <c r="I133" s="395"/>
      <c r="J133" s="3" t="s">
        <v>73</v>
      </c>
      <c r="L133" s="223">
        <f>+E22</f>
        <v>450</v>
      </c>
      <c r="M133" s="3" t="s">
        <v>80</v>
      </c>
      <c r="N133" s="217">
        <f>+L133/L134</f>
        <v>81</v>
      </c>
      <c r="O133" s="223">
        <f>+I71*360</f>
        <v>108000</v>
      </c>
      <c r="P133" s="3" t="s">
        <v>80</v>
      </c>
      <c r="Q133" s="217">
        <f>+O133/O134</f>
        <v>54</v>
      </c>
      <c r="R133" s="223">
        <f>+M71*360</f>
        <v>54000</v>
      </c>
      <c r="S133" s="3" t="s">
        <v>80</v>
      </c>
      <c r="T133" s="217">
        <f>+R133/R134</f>
        <v>27</v>
      </c>
    </row>
    <row r="134" spans="2:20" x14ac:dyDescent="0.25">
      <c r="B134" s="412" t="s">
        <v>74</v>
      </c>
      <c r="C134" s="413"/>
      <c r="D134" s="413"/>
      <c r="E134" s="413"/>
      <c r="G134" s="411" t="s">
        <v>295</v>
      </c>
      <c r="H134" s="411"/>
      <c r="I134" s="411"/>
      <c r="L134" s="224">
        <f>+(L19/360)</f>
        <v>5.5555555555555554</v>
      </c>
      <c r="N134" s="219"/>
      <c r="O134" s="224">
        <f>+M19</f>
        <v>2000</v>
      </c>
      <c r="Q134" s="219"/>
      <c r="R134" s="224">
        <f>+N19</f>
        <v>2000</v>
      </c>
      <c r="T134" s="219"/>
    </row>
    <row r="135" spans="2:20" x14ac:dyDescent="0.25">
      <c r="B135" s="412"/>
      <c r="C135" s="413"/>
      <c r="D135" s="413"/>
      <c r="E135" s="413"/>
      <c r="L135" s="206"/>
      <c r="N135" s="219"/>
      <c r="O135" s="206"/>
      <c r="Q135" s="219"/>
      <c r="R135" s="206"/>
      <c r="T135" s="219"/>
    </row>
    <row r="136" spans="2:20" x14ac:dyDescent="0.25">
      <c r="B136" s="19"/>
      <c r="L136" s="206"/>
      <c r="N136" s="219"/>
      <c r="O136" s="206"/>
      <c r="Q136" s="219"/>
      <c r="R136" s="206"/>
      <c r="T136" s="219"/>
    </row>
    <row r="137" spans="2:20" x14ac:dyDescent="0.25">
      <c r="B137" s="356" t="s">
        <v>203</v>
      </c>
      <c r="C137" s="357"/>
      <c r="D137" s="357"/>
      <c r="E137" s="357"/>
      <c r="F137" s="357"/>
      <c r="G137" s="485" t="s">
        <v>39</v>
      </c>
      <c r="H137" s="485"/>
      <c r="I137" s="485"/>
      <c r="J137" s="2" t="s">
        <v>73</v>
      </c>
      <c r="L137" s="221">
        <f>+E32</f>
        <v>300</v>
      </c>
      <c r="M137" s="3" t="s">
        <v>80</v>
      </c>
      <c r="N137" s="217">
        <f>+L137/L138</f>
        <v>54</v>
      </c>
      <c r="O137" s="221">
        <f>+I81*360</f>
        <v>108000</v>
      </c>
      <c r="P137" s="3" t="s">
        <v>80</v>
      </c>
      <c r="Q137" s="217">
        <f>+O137/O138</f>
        <v>-432</v>
      </c>
      <c r="R137" s="221">
        <f>+M81*360</f>
        <v>108000</v>
      </c>
      <c r="S137" s="3" t="s">
        <v>80</v>
      </c>
      <c r="T137" s="217">
        <f>+R137/R138</f>
        <v>-432</v>
      </c>
    </row>
    <row r="138" spans="2:20" x14ac:dyDescent="0.25">
      <c r="B138" s="486" t="s">
        <v>204</v>
      </c>
      <c r="C138" s="487"/>
      <c r="D138" s="487"/>
      <c r="E138" s="487"/>
      <c r="F138" s="357"/>
      <c r="G138" s="490" t="s">
        <v>295</v>
      </c>
      <c r="H138" s="490"/>
      <c r="I138" s="490"/>
      <c r="L138" s="358">
        <f>+L19/360</f>
        <v>5.5555555555555554</v>
      </c>
      <c r="N138" s="219"/>
      <c r="O138" s="222">
        <f>+M23</f>
        <v>-250</v>
      </c>
      <c r="Q138" s="219"/>
      <c r="R138" s="222">
        <f>+N23</f>
        <v>-250</v>
      </c>
      <c r="T138" s="219"/>
    </row>
    <row r="139" spans="2:20" x14ac:dyDescent="0.25">
      <c r="B139" s="488"/>
      <c r="C139" s="489"/>
      <c r="D139" s="489"/>
      <c r="E139" s="489"/>
      <c r="F139" s="359"/>
      <c r="G139" s="359"/>
      <c r="H139" s="359"/>
      <c r="I139" s="359"/>
      <c r="J139" s="167"/>
      <c r="K139" s="167"/>
      <c r="L139" s="223"/>
      <c r="M139" s="167"/>
      <c r="N139" s="232"/>
      <c r="O139" s="223"/>
      <c r="P139" s="167"/>
      <c r="Q139" s="232"/>
      <c r="R139" s="223"/>
      <c r="S139" s="167"/>
      <c r="T139" s="232"/>
    </row>
    <row r="140" spans="2:20" x14ac:dyDescent="0.25">
      <c r="L140" s="206"/>
      <c r="N140" s="219"/>
      <c r="O140" s="206"/>
      <c r="Q140" s="219"/>
      <c r="R140" s="206"/>
      <c r="T140" s="219"/>
    </row>
    <row r="141" spans="2:20" ht="17.399999999999999" x14ac:dyDescent="0.3">
      <c r="B141" s="416" t="s">
        <v>64</v>
      </c>
      <c r="C141" s="417"/>
      <c r="D141" s="417"/>
      <c r="E141" s="417"/>
      <c r="F141" s="417"/>
      <c r="G141" s="417"/>
      <c r="H141" s="417"/>
      <c r="I141" s="417"/>
      <c r="J141" s="417"/>
      <c r="K141" s="417"/>
      <c r="L141" s="215"/>
      <c r="M141" s="90"/>
      <c r="N141" s="233"/>
      <c r="O141" s="215"/>
      <c r="P141" s="90"/>
      <c r="Q141" s="233"/>
      <c r="R141" s="215"/>
      <c r="S141" s="90"/>
      <c r="T141" s="233"/>
    </row>
    <row r="142" spans="2:20" x14ac:dyDescent="0.25">
      <c r="B142" s="19"/>
      <c r="L142" s="206"/>
      <c r="N142" s="219"/>
      <c r="O142" s="206"/>
      <c r="Q142" s="219"/>
      <c r="R142" s="206"/>
      <c r="T142" s="219"/>
    </row>
    <row r="143" spans="2:20" x14ac:dyDescent="0.25">
      <c r="B143" s="128" t="s">
        <v>205</v>
      </c>
      <c r="L143" s="206"/>
      <c r="N143" s="219"/>
      <c r="O143" s="206"/>
      <c r="Q143" s="219"/>
      <c r="R143" s="206"/>
      <c r="T143" s="219"/>
    </row>
    <row r="144" spans="2:20" x14ac:dyDescent="0.25">
      <c r="B144" s="412" t="s">
        <v>206</v>
      </c>
      <c r="C144" s="413"/>
      <c r="D144" s="413"/>
      <c r="E144" s="413"/>
      <c r="G144" s="408" t="s">
        <v>67</v>
      </c>
      <c r="H144" s="408"/>
      <c r="I144" s="408"/>
      <c r="J144" s="2" t="s">
        <v>68</v>
      </c>
      <c r="L144" s="223">
        <f>+E88</f>
        <v>1000</v>
      </c>
      <c r="M144" s="3" t="s">
        <v>80</v>
      </c>
      <c r="N144" s="235">
        <f>+L144/L145</f>
        <v>1</v>
      </c>
      <c r="O144" s="223">
        <f>+I88</f>
        <v>800</v>
      </c>
      <c r="P144" s="3" t="s">
        <v>80</v>
      </c>
      <c r="Q144" s="235">
        <f>+O144/O145</f>
        <v>1</v>
      </c>
      <c r="R144" s="223">
        <f>+M88</f>
        <v>600</v>
      </c>
      <c r="S144" s="3" t="s">
        <v>80</v>
      </c>
      <c r="T144" s="235">
        <f>+R144/R145</f>
        <v>1</v>
      </c>
    </row>
    <row r="145" spans="2:20" x14ac:dyDescent="0.25">
      <c r="B145" s="412"/>
      <c r="C145" s="413"/>
      <c r="D145" s="413"/>
      <c r="E145" s="413"/>
      <c r="G145" s="390" t="s">
        <v>69</v>
      </c>
      <c r="H145" s="390"/>
      <c r="I145" s="390"/>
      <c r="L145" s="206">
        <f>+E93</f>
        <v>1000</v>
      </c>
      <c r="N145" s="219"/>
      <c r="O145" s="206">
        <f>+I93</f>
        <v>800</v>
      </c>
      <c r="Q145" s="219"/>
      <c r="R145" s="206">
        <f>+M93</f>
        <v>600</v>
      </c>
      <c r="T145" s="219"/>
    </row>
    <row r="146" spans="2:20" x14ac:dyDescent="0.25">
      <c r="B146" s="19"/>
      <c r="L146" s="206"/>
      <c r="N146" s="219"/>
      <c r="O146" s="206"/>
      <c r="Q146" s="219"/>
      <c r="R146" s="206"/>
      <c r="T146" s="219"/>
    </row>
    <row r="147" spans="2:20" x14ac:dyDescent="0.25">
      <c r="B147" s="19"/>
      <c r="L147" s="206"/>
      <c r="N147" s="219"/>
      <c r="O147" s="206"/>
      <c r="Q147" s="219"/>
      <c r="R147" s="206"/>
      <c r="T147" s="219"/>
    </row>
    <row r="148" spans="2:20" x14ac:dyDescent="0.25">
      <c r="B148" s="128" t="s">
        <v>65</v>
      </c>
      <c r="L148" s="206"/>
      <c r="N148" s="219"/>
      <c r="O148" s="206"/>
      <c r="Q148" s="219"/>
      <c r="R148" s="206"/>
      <c r="T148" s="219"/>
    </row>
    <row r="149" spans="2:20" ht="14.25" customHeight="1" x14ac:dyDescent="0.25">
      <c r="B149" s="412" t="s">
        <v>66</v>
      </c>
      <c r="C149" s="413"/>
      <c r="D149" s="413"/>
      <c r="E149" s="413"/>
      <c r="G149" s="408" t="s">
        <v>67</v>
      </c>
      <c r="H149" s="408"/>
      <c r="I149" s="408"/>
      <c r="J149" s="2" t="s">
        <v>68</v>
      </c>
      <c r="L149" s="225">
        <f>+E88</f>
        <v>1000</v>
      </c>
      <c r="M149" s="3" t="s">
        <v>80</v>
      </c>
      <c r="N149" s="226">
        <f>+L149/L150</f>
        <v>0.5</v>
      </c>
      <c r="O149" s="225">
        <f>+I88</f>
        <v>800</v>
      </c>
      <c r="P149" s="3" t="s">
        <v>80</v>
      </c>
      <c r="Q149" s="226">
        <f>+O149/O150</f>
        <v>0.5</v>
      </c>
      <c r="R149" s="225">
        <f>+M88</f>
        <v>600</v>
      </c>
      <c r="S149" s="3" t="s">
        <v>80</v>
      </c>
      <c r="T149" s="226">
        <f>+R149/R150</f>
        <v>0.5</v>
      </c>
    </row>
    <row r="150" spans="2:20" x14ac:dyDescent="0.25">
      <c r="B150" s="414"/>
      <c r="C150" s="415"/>
      <c r="D150" s="415"/>
      <c r="E150" s="415"/>
      <c r="F150" s="167"/>
      <c r="G150" s="418" t="s">
        <v>88</v>
      </c>
      <c r="H150" s="418"/>
      <c r="I150" s="418"/>
      <c r="J150" s="167"/>
      <c r="K150" s="167"/>
      <c r="L150" s="225">
        <f>+E77</f>
        <v>2000</v>
      </c>
      <c r="M150" s="167"/>
      <c r="N150" s="232"/>
      <c r="O150" s="225">
        <f>+I77</f>
        <v>1600</v>
      </c>
      <c r="P150" s="167"/>
      <c r="Q150" s="232"/>
      <c r="R150" s="225">
        <f>+M77</f>
        <v>1200</v>
      </c>
      <c r="S150" s="167"/>
      <c r="T150" s="232"/>
    </row>
    <row r="151" spans="2:20" x14ac:dyDescent="0.25">
      <c r="L151" s="206"/>
      <c r="N151" s="219"/>
      <c r="O151" s="206"/>
      <c r="Q151" s="219"/>
      <c r="R151" s="206"/>
      <c r="T151" s="219"/>
    </row>
    <row r="152" spans="2:20" ht="17.399999999999999" x14ac:dyDescent="0.3">
      <c r="B152" s="179" t="s">
        <v>89</v>
      </c>
      <c r="C152" s="90"/>
      <c r="D152" s="90"/>
      <c r="E152" s="90"/>
      <c r="F152" s="90"/>
      <c r="G152" s="90"/>
      <c r="H152" s="90"/>
      <c r="I152" s="90"/>
      <c r="J152" s="90"/>
      <c r="K152" s="90"/>
      <c r="L152" s="215"/>
      <c r="M152" s="90"/>
      <c r="N152" s="233"/>
      <c r="O152" s="215"/>
      <c r="P152" s="90"/>
      <c r="Q152" s="233"/>
      <c r="R152" s="215"/>
      <c r="S152" s="90"/>
      <c r="T152" s="233"/>
    </row>
    <row r="153" spans="2:20" x14ac:dyDescent="0.25">
      <c r="B153" s="19"/>
      <c r="L153" s="206"/>
      <c r="N153" s="219"/>
      <c r="O153" s="206"/>
      <c r="Q153" s="219"/>
      <c r="R153" s="206"/>
      <c r="T153" s="219"/>
    </row>
    <row r="154" spans="2:20" x14ac:dyDescent="0.25">
      <c r="B154" s="128" t="s">
        <v>92</v>
      </c>
      <c r="G154" s="408" t="s">
        <v>93</v>
      </c>
      <c r="H154" s="408"/>
      <c r="I154" s="408"/>
      <c r="J154" s="2" t="s">
        <v>68</v>
      </c>
      <c r="L154" s="221">
        <f>+L25</f>
        <v>360</v>
      </c>
      <c r="M154" s="3" t="s">
        <v>80</v>
      </c>
      <c r="N154" s="226">
        <f>+L154/L155</f>
        <v>0.18</v>
      </c>
      <c r="O154" s="221">
        <f>+M25</f>
        <v>360</v>
      </c>
      <c r="P154" s="3" t="s">
        <v>80</v>
      </c>
      <c r="Q154" s="226">
        <f>+O154/O155</f>
        <v>0.18</v>
      </c>
      <c r="R154" s="221">
        <f>+N25</f>
        <v>360</v>
      </c>
      <c r="S154" s="3" t="s">
        <v>80</v>
      </c>
      <c r="T154" s="226">
        <f>+R154/R155</f>
        <v>0.18</v>
      </c>
    </row>
    <row r="155" spans="2:20" x14ac:dyDescent="0.25">
      <c r="B155" s="412" t="s">
        <v>99</v>
      </c>
      <c r="C155" s="413"/>
      <c r="D155" s="413"/>
      <c r="E155" s="413"/>
      <c r="G155" s="390" t="s">
        <v>86</v>
      </c>
      <c r="H155" s="390"/>
      <c r="I155" s="390"/>
      <c r="L155" s="224">
        <f>+L19</f>
        <v>2000</v>
      </c>
      <c r="N155" s="219"/>
      <c r="O155" s="224">
        <f>+M19</f>
        <v>2000</v>
      </c>
      <c r="Q155" s="219"/>
      <c r="R155" s="224">
        <f>+N19</f>
        <v>2000</v>
      </c>
      <c r="T155" s="219"/>
    </row>
    <row r="156" spans="2:20" x14ac:dyDescent="0.25">
      <c r="B156" s="412"/>
      <c r="C156" s="413"/>
      <c r="D156" s="413"/>
      <c r="E156" s="413"/>
      <c r="L156" s="206"/>
      <c r="N156" s="219"/>
      <c r="O156" s="206"/>
      <c r="Q156" s="219"/>
      <c r="R156" s="206"/>
      <c r="T156" s="219"/>
    </row>
    <row r="157" spans="2:20" x14ac:dyDescent="0.25">
      <c r="B157" s="19"/>
      <c r="L157" s="206"/>
      <c r="N157" s="219"/>
      <c r="O157" s="206"/>
      <c r="Q157" s="219"/>
      <c r="R157" s="206"/>
      <c r="T157" s="219"/>
    </row>
    <row r="158" spans="2:20" x14ac:dyDescent="0.25">
      <c r="B158" s="128" t="s">
        <v>94</v>
      </c>
      <c r="G158" s="408" t="s">
        <v>95</v>
      </c>
      <c r="H158" s="408"/>
      <c r="I158" s="408"/>
      <c r="J158" s="2" t="s">
        <v>68</v>
      </c>
      <c r="L158" s="221">
        <f>+L30</f>
        <v>150</v>
      </c>
      <c r="M158" s="3" t="s">
        <v>80</v>
      </c>
      <c r="N158" s="226">
        <f>+L158/L159</f>
        <v>7.4999999999999997E-2</v>
      </c>
      <c r="O158" s="221">
        <f>+M30</f>
        <v>160</v>
      </c>
      <c r="P158" s="3" t="s">
        <v>80</v>
      </c>
      <c r="Q158" s="226">
        <f>+O158/O159</f>
        <v>0.08</v>
      </c>
      <c r="R158" s="221">
        <f>+N30</f>
        <v>170</v>
      </c>
      <c r="S158" s="3" t="s">
        <v>80</v>
      </c>
      <c r="T158" s="226">
        <f>+R158/R159</f>
        <v>8.5000000000000006E-2</v>
      </c>
    </row>
    <row r="159" spans="2:20" x14ac:dyDescent="0.25">
      <c r="B159" s="412" t="s">
        <v>100</v>
      </c>
      <c r="C159" s="413"/>
      <c r="D159" s="413"/>
      <c r="E159" s="413"/>
      <c r="G159" s="390" t="s">
        <v>86</v>
      </c>
      <c r="H159" s="390"/>
      <c r="I159" s="390"/>
      <c r="L159" s="224">
        <f>+L19</f>
        <v>2000</v>
      </c>
      <c r="N159" s="219"/>
      <c r="O159" s="224">
        <f>+M19</f>
        <v>2000</v>
      </c>
      <c r="Q159" s="219"/>
      <c r="R159" s="224">
        <f>+N19</f>
        <v>2000</v>
      </c>
      <c r="T159" s="219"/>
    </row>
    <row r="160" spans="2:20" x14ac:dyDescent="0.25">
      <c r="B160" s="412"/>
      <c r="C160" s="413"/>
      <c r="D160" s="413"/>
      <c r="E160" s="413"/>
      <c r="L160" s="206"/>
      <c r="N160" s="219"/>
      <c r="O160" s="206"/>
      <c r="Q160" s="219"/>
      <c r="R160" s="206"/>
      <c r="T160" s="219"/>
    </row>
    <row r="161" spans="2:20" x14ac:dyDescent="0.25">
      <c r="B161" s="19"/>
      <c r="L161" s="206"/>
      <c r="N161" s="219"/>
      <c r="O161" s="206"/>
      <c r="Q161" s="219"/>
      <c r="R161" s="206"/>
      <c r="T161" s="219"/>
    </row>
    <row r="162" spans="2:20" x14ac:dyDescent="0.25">
      <c r="B162" s="128" t="s">
        <v>96</v>
      </c>
      <c r="G162" s="408" t="s">
        <v>95</v>
      </c>
      <c r="H162" s="408"/>
      <c r="I162" s="408"/>
      <c r="J162" s="2" t="s">
        <v>68</v>
      </c>
      <c r="L162" s="221">
        <f>+L30</f>
        <v>150</v>
      </c>
      <c r="M162" s="3" t="s">
        <v>80</v>
      </c>
      <c r="N162" s="227">
        <f>+L162/L163</f>
        <v>7.4999999999999997E-2</v>
      </c>
      <c r="O162" s="221">
        <f>+M30</f>
        <v>160</v>
      </c>
      <c r="P162" s="3" t="s">
        <v>80</v>
      </c>
      <c r="Q162" s="227">
        <f>+O162/O163</f>
        <v>0.1</v>
      </c>
      <c r="R162" s="221">
        <f>+N30</f>
        <v>170</v>
      </c>
      <c r="S162" s="3" t="s">
        <v>80</v>
      </c>
      <c r="T162" s="227">
        <f>+R162/R163</f>
        <v>0.14166666666666666</v>
      </c>
    </row>
    <row r="163" spans="2:20" x14ac:dyDescent="0.25">
      <c r="B163" s="412" t="s">
        <v>101</v>
      </c>
      <c r="C163" s="413"/>
      <c r="D163" s="413"/>
      <c r="E163" s="413"/>
      <c r="G163" s="390" t="s">
        <v>97</v>
      </c>
      <c r="H163" s="390"/>
      <c r="I163" s="390"/>
      <c r="L163" s="222">
        <f>+E77</f>
        <v>2000</v>
      </c>
      <c r="N163" s="219"/>
      <c r="O163" s="222">
        <f>+I77</f>
        <v>1600</v>
      </c>
      <c r="Q163" s="219"/>
      <c r="R163" s="222">
        <f>+M77</f>
        <v>1200</v>
      </c>
      <c r="T163" s="219"/>
    </row>
    <row r="164" spans="2:20" x14ac:dyDescent="0.25">
      <c r="B164" s="412"/>
      <c r="C164" s="413"/>
      <c r="D164" s="413"/>
      <c r="E164" s="413"/>
      <c r="L164" s="206"/>
      <c r="N164" s="219"/>
      <c r="O164" s="206"/>
      <c r="Q164" s="219"/>
      <c r="R164" s="206"/>
      <c r="T164" s="219"/>
    </row>
    <row r="165" spans="2:20" x14ac:dyDescent="0.25">
      <c r="B165" s="19"/>
      <c r="L165" s="206"/>
      <c r="N165" s="219"/>
      <c r="O165" s="206"/>
      <c r="Q165" s="219"/>
      <c r="R165" s="206"/>
      <c r="T165" s="219"/>
    </row>
    <row r="166" spans="2:20" x14ac:dyDescent="0.25">
      <c r="B166" s="128" t="s">
        <v>98</v>
      </c>
      <c r="G166" s="408" t="s">
        <v>95</v>
      </c>
      <c r="H166" s="408"/>
      <c r="I166" s="408"/>
      <c r="J166" s="2" t="s">
        <v>68</v>
      </c>
      <c r="L166" s="221">
        <f>+L30</f>
        <v>150</v>
      </c>
      <c r="M166" s="3" t="s">
        <v>80</v>
      </c>
      <c r="N166" s="227">
        <f>+L166/L167</f>
        <v>0.15</v>
      </c>
      <c r="O166" s="221">
        <f>+M30</f>
        <v>160</v>
      </c>
      <c r="P166" s="3" t="s">
        <v>80</v>
      </c>
      <c r="Q166" s="227">
        <f>+O166/O167</f>
        <v>0.2</v>
      </c>
      <c r="R166" s="221">
        <f>+N30</f>
        <v>170</v>
      </c>
      <c r="S166" s="3" t="s">
        <v>80</v>
      </c>
      <c r="T166" s="227">
        <f>+R166/R167</f>
        <v>0.28333333333333333</v>
      </c>
    </row>
    <row r="167" spans="2:20" x14ac:dyDescent="0.25">
      <c r="B167" s="412" t="s">
        <v>102</v>
      </c>
      <c r="C167" s="413"/>
      <c r="D167" s="413"/>
      <c r="E167" s="413"/>
      <c r="F167" s="413"/>
      <c r="G167" s="390" t="s">
        <v>69</v>
      </c>
      <c r="H167" s="390"/>
      <c r="I167" s="390"/>
      <c r="L167" s="222">
        <f>+E93</f>
        <v>1000</v>
      </c>
      <c r="N167" s="231"/>
      <c r="O167" s="222">
        <f>+I93</f>
        <v>800</v>
      </c>
      <c r="Q167" s="231"/>
      <c r="R167" s="222">
        <f>+M93</f>
        <v>600</v>
      </c>
      <c r="T167" s="231"/>
    </row>
    <row r="168" spans="2:20" ht="14.4" thickBot="1" x14ac:dyDescent="0.3">
      <c r="B168" s="414"/>
      <c r="C168" s="415"/>
      <c r="D168" s="415"/>
      <c r="E168" s="415"/>
      <c r="F168" s="415"/>
      <c r="G168" s="167"/>
      <c r="H168" s="167"/>
      <c r="I168" s="167"/>
      <c r="J168" s="167"/>
      <c r="K168" s="167"/>
      <c r="L168" s="228"/>
      <c r="M168" s="229"/>
      <c r="N168" s="234"/>
      <c r="O168" s="228"/>
      <c r="P168" s="229"/>
      <c r="Q168" s="234"/>
      <c r="R168" s="228"/>
      <c r="S168" s="229"/>
      <c r="T168" s="234"/>
    </row>
    <row r="170" spans="2:20" ht="16.2" thickBot="1" x14ac:dyDescent="0.35">
      <c r="D170" s="476" t="s">
        <v>200</v>
      </c>
      <c r="E170" s="476"/>
      <c r="F170" s="476"/>
      <c r="G170" s="476"/>
      <c r="H170" s="476"/>
      <c r="I170" s="476" t="s">
        <v>201</v>
      </c>
      <c r="J170" s="476"/>
      <c r="K170" s="476"/>
      <c r="L170" s="476"/>
      <c r="M170" s="476"/>
    </row>
    <row r="171" spans="2:20" ht="14.4" thickTop="1" x14ac:dyDescent="0.25">
      <c r="C171" s="472" t="s">
        <v>159</v>
      </c>
      <c r="D171" s="475" t="s">
        <v>296</v>
      </c>
      <c r="E171" s="475"/>
      <c r="F171" s="475"/>
      <c r="G171" s="475"/>
      <c r="H171" s="475"/>
      <c r="I171" s="484" t="s">
        <v>297</v>
      </c>
      <c r="J171" s="484"/>
      <c r="K171" s="484"/>
      <c r="L171" s="484"/>
      <c r="M171" s="484"/>
    </row>
    <row r="172" spans="2:20" x14ac:dyDescent="0.25">
      <c r="C172" s="472"/>
      <c r="D172" s="473"/>
      <c r="E172" s="473"/>
      <c r="F172" s="473"/>
      <c r="G172" s="473"/>
      <c r="H172" s="473"/>
      <c r="I172" s="474"/>
      <c r="J172" s="474"/>
      <c r="K172" s="474"/>
      <c r="L172" s="474"/>
      <c r="M172" s="474"/>
    </row>
    <row r="173" spans="2:20" x14ac:dyDescent="0.25">
      <c r="C173" s="472" t="s">
        <v>160</v>
      </c>
      <c r="D173" s="473" t="s">
        <v>298</v>
      </c>
      <c r="E173" s="473"/>
      <c r="F173" s="473"/>
      <c r="G173" s="473"/>
      <c r="H173" s="473"/>
      <c r="I173" s="474" t="s">
        <v>299</v>
      </c>
      <c r="J173" s="474"/>
      <c r="K173" s="474"/>
      <c r="L173" s="474"/>
      <c r="M173" s="474"/>
    </row>
    <row r="174" spans="2:20" x14ac:dyDescent="0.25">
      <c r="C174" s="472"/>
      <c r="D174" s="473"/>
      <c r="E174" s="473"/>
      <c r="F174" s="473"/>
      <c r="G174" s="473"/>
      <c r="H174" s="473"/>
      <c r="I174" s="474"/>
      <c r="J174" s="474"/>
      <c r="K174" s="474"/>
      <c r="L174" s="474"/>
      <c r="M174" s="474"/>
    </row>
    <row r="175" spans="2:20" x14ac:dyDescent="0.25">
      <c r="C175" s="472" t="s">
        <v>161</v>
      </c>
      <c r="D175" s="474" t="s">
        <v>300</v>
      </c>
      <c r="E175" s="474"/>
      <c r="F175" s="474"/>
      <c r="G175" s="474"/>
      <c r="H175" s="474"/>
      <c r="I175" s="474" t="s">
        <v>301</v>
      </c>
      <c r="J175" s="474"/>
      <c r="K175" s="474"/>
      <c r="L175" s="474"/>
      <c r="M175" s="474"/>
    </row>
    <row r="176" spans="2:20" x14ac:dyDescent="0.25">
      <c r="C176" s="472"/>
      <c r="D176" s="474"/>
      <c r="E176" s="474"/>
      <c r="F176" s="474"/>
      <c r="G176" s="474"/>
      <c r="H176" s="474"/>
      <c r="I176" s="474"/>
      <c r="J176" s="474"/>
      <c r="K176" s="474"/>
      <c r="L176" s="474"/>
      <c r="M176" s="474"/>
    </row>
    <row r="177" spans="2:14" x14ac:dyDescent="0.25">
      <c r="C177" s="472"/>
      <c r="D177" s="474" t="s">
        <v>302</v>
      </c>
      <c r="E177" s="474"/>
      <c r="F177" s="474"/>
      <c r="G177" s="474"/>
      <c r="H177" s="474"/>
      <c r="I177" s="474" t="s">
        <v>303</v>
      </c>
      <c r="J177" s="474"/>
      <c r="K177" s="474"/>
      <c r="L177" s="474"/>
      <c r="M177" s="474"/>
    </row>
    <row r="178" spans="2:14" x14ac:dyDescent="0.25">
      <c r="C178" s="472"/>
      <c r="D178" s="474"/>
      <c r="E178" s="474"/>
      <c r="F178" s="474"/>
      <c r="G178" s="474"/>
      <c r="H178" s="474"/>
      <c r="I178" s="474"/>
      <c r="J178" s="474"/>
      <c r="K178" s="474"/>
      <c r="L178" s="474"/>
      <c r="M178" s="474"/>
    </row>
    <row r="182" spans="2:14" x14ac:dyDescent="0.25">
      <c r="B182" s="399">
        <v>3</v>
      </c>
      <c r="C182" s="419" t="s">
        <v>304</v>
      </c>
      <c r="D182" s="419"/>
      <c r="E182" s="419"/>
      <c r="F182" s="419"/>
      <c r="G182" s="419"/>
      <c r="H182" s="419"/>
      <c r="I182" s="419"/>
      <c r="J182" s="419"/>
      <c r="K182" s="419"/>
      <c r="L182" s="419"/>
      <c r="M182" s="419"/>
      <c r="N182" s="419"/>
    </row>
    <row r="183" spans="2:14" x14ac:dyDescent="0.25">
      <c r="B183" s="399"/>
      <c r="C183" s="419"/>
      <c r="D183" s="419"/>
      <c r="E183" s="419"/>
      <c r="F183" s="419"/>
      <c r="G183" s="419"/>
      <c r="H183" s="419"/>
      <c r="I183" s="419"/>
      <c r="J183" s="419"/>
      <c r="K183" s="419"/>
      <c r="L183" s="419"/>
      <c r="M183" s="419"/>
      <c r="N183" s="419"/>
    </row>
    <row r="185" spans="2:14" ht="16.2" thickBot="1" x14ac:dyDescent="0.35">
      <c r="D185" s="476" t="s">
        <v>207</v>
      </c>
      <c r="E185" s="476"/>
      <c r="F185" s="476"/>
      <c r="G185" s="476"/>
      <c r="H185" s="476"/>
      <c r="I185" s="476" t="s">
        <v>208</v>
      </c>
      <c r="J185" s="476"/>
      <c r="K185" s="476"/>
      <c r="L185" s="476"/>
      <c r="M185" s="476"/>
    </row>
    <row r="186" spans="2:14" ht="15" customHeight="1" thickTop="1" x14ac:dyDescent="0.25">
      <c r="C186" s="472" t="s">
        <v>159</v>
      </c>
      <c r="D186" s="477" t="s">
        <v>305</v>
      </c>
      <c r="E186" s="478"/>
      <c r="F186" s="478"/>
      <c r="G186" s="478"/>
      <c r="H186" s="479"/>
      <c r="I186" s="477" t="s">
        <v>306</v>
      </c>
      <c r="J186" s="478"/>
      <c r="K186" s="478"/>
      <c r="L186" s="478"/>
      <c r="M186" s="479"/>
    </row>
    <row r="187" spans="2:14" x14ac:dyDescent="0.25">
      <c r="C187" s="472"/>
      <c r="D187" s="364"/>
      <c r="E187" s="365"/>
      <c r="F187" s="365"/>
      <c r="G187" s="365"/>
      <c r="H187" s="480"/>
      <c r="I187" s="364"/>
      <c r="J187" s="365"/>
      <c r="K187" s="365"/>
      <c r="L187" s="365"/>
      <c r="M187" s="480"/>
    </row>
    <row r="188" spans="2:14" x14ac:dyDescent="0.25">
      <c r="C188" s="472" t="s">
        <v>160</v>
      </c>
      <c r="D188" s="364"/>
      <c r="E188" s="365"/>
      <c r="F188" s="365"/>
      <c r="G188" s="365"/>
      <c r="H188" s="480"/>
      <c r="I188" s="364"/>
      <c r="J188" s="365"/>
      <c r="K188" s="365"/>
      <c r="L188" s="365"/>
      <c r="M188" s="480"/>
    </row>
    <row r="189" spans="2:14" x14ac:dyDescent="0.25">
      <c r="C189" s="472"/>
      <c r="D189" s="481"/>
      <c r="E189" s="482"/>
      <c r="F189" s="482"/>
      <c r="G189" s="482"/>
      <c r="H189" s="483"/>
      <c r="I189" s="481"/>
      <c r="J189" s="482"/>
      <c r="K189" s="482"/>
      <c r="L189" s="482"/>
      <c r="M189" s="483"/>
    </row>
    <row r="190" spans="2:14" ht="14.25" customHeight="1" x14ac:dyDescent="0.25">
      <c r="C190" s="472" t="s">
        <v>161</v>
      </c>
      <c r="D190" s="473" t="s">
        <v>307</v>
      </c>
      <c r="E190" s="473"/>
      <c r="F190" s="473"/>
      <c r="G190" s="473"/>
      <c r="H190" s="473"/>
      <c r="I190" s="473" t="s">
        <v>308</v>
      </c>
      <c r="J190" s="473"/>
      <c r="K190" s="473"/>
      <c r="L190" s="473"/>
      <c r="M190" s="473"/>
    </row>
    <row r="191" spans="2:14" x14ac:dyDescent="0.25">
      <c r="C191" s="472"/>
      <c r="D191" s="473"/>
      <c r="E191" s="473"/>
      <c r="F191" s="473"/>
      <c r="G191" s="473"/>
      <c r="H191" s="473"/>
      <c r="I191" s="473"/>
      <c r="J191" s="473"/>
      <c r="K191" s="473"/>
      <c r="L191" s="473"/>
      <c r="M191" s="473"/>
    </row>
    <row r="192" spans="2:14" x14ac:dyDescent="0.25">
      <c r="C192" s="472"/>
      <c r="D192" s="473"/>
      <c r="E192" s="473"/>
      <c r="F192" s="473"/>
      <c r="G192" s="473"/>
      <c r="H192" s="473"/>
      <c r="I192" s="473"/>
      <c r="J192" s="473"/>
      <c r="K192" s="473"/>
      <c r="L192" s="473"/>
      <c r="M192" s="473"/>
    </row>
    <row r="193" spans="2:14" x14ac:dyDescent="0.25">
      <c r="C193" s="472"/>
      <c r="D193" s="473"/>
      <c r="E193" s="473"/>
      <c r="F193" s="473"/>
      <c r="G193" s="473"/>
      <c r="H193" s="473"/>
      <c r="I193" s="473"/>
      <c r="J193" s="473"/>
      <c r="K193" s="473"/>
      <c r="L193" s="473"/>
      <c r="M193" s="473"/>
    </row>
    <row r="194" spans="2:14" x14ac:dyDescent="0.25">
      <c r="C194" s="472"/>
      <c r="D194" s="473"/>
      <c r="E194" s="473"/>
      <c r="F194" s="473"/>
      <c r="G194" s="473"/>
      <c r="H194" s="473"/>
      <c r="I194" s="473"/>
      <c r="J194" s="473"/>
      <c r="K194" s="473"/>
      <c r="L194" s="473"/>
      <c r="M194" s="473"/>
    </row>
    <row r="196" spans="2:14" x14ac:dyDescent="0.25">
      <c r="B196" s="399">
        <v>4</v>
      </c>
      <c r="C196" s="419" t="s">
        <v>209</v>
      </c>
      <c r="D196" s="419"/>
      <c r="E196" s="419"/>
      <c r="F196" s="419"/>
      <c r="G196" s="419"/>
      <c r="H196" s="419"/>
      <c r="I196" s="419"/>
      <c r="J196" s="419"/>
      <c r="K196" s="419"/>
      <c r="L196" s="419"/>
      <c r="M196" s="419"/>
      <c r="N196" s="419"/>
    </row>
    <row r="197" spans="2:14" x14ac:dyDescent="0.25">
      <c r="B197" s="399"/>
      <c r="C197" s="419"/>
      <c r="D197" s="419"/>
      <c r="E197" s="419"/>
      <c r="F197" s="419"/>
      <c r="G197" s="419"/>
      <c r="H197" s="419"/>
      <c r="I197" s="419"/>
      <c r="J197" s="419"/>
      <c r="K197" s="419"/>
      <c r="L197" s="419"/>
      <c r="M197" s="419"/>
      <c r="N197" s="419"/>
    </row>
    <row r="200" spans="2:14" ht="16.2" thickBot="1" x14ac:dyDescent="0.35">
      <c r="D200" s="476" t="s">
        <v>210</v>
      </c>
      <c r="E200" s="476"/>
      <c r="F200" s="476"/>
      <c r="G200" s="476"/>
      <c r="H200" s="476"/>
      <c r="I200" s="476" t="s">
        <v>211</v>
      </c>
      <c r="J200" s="476"/>
      <c r="K200" s="476"/>
      <c r="L200" s="476"/>
      <c r="M200" s="476"/>
    </row>
    <row r="201" spans="2:14" ht="14.4" thickTop="1" x14ac:dyDescent="0.25">
      <c r="C201" s="472" t="s">
        <v>159</v>
      </c>
      <c r="D201" s="475" t="s">
        <v>309</v>
      </c>
      <c r="E201" s="475"/>
      <c r="F201" s="475"/>
      <c r="G201" s="475"/>
      <c r="H201" s="475"/>
      <c r="I201" s="475" t="s">
        <v>310</v>
      </c>
      <c r="J201" s="475"/>
      <c r="K201" s="475"/>
      <c r="L201" s="475"/>
      <c r="M201" s="475"/>
    </row>
    <row r="202" spans="2:14" ht="112.5" customHeight="1" x14ac:dyDescent="0.25">
      <c r="C202" s="472"/>
      <c r="D202" s="473"/>
      <c r="E202" s="473"/>
      <c r="F202" s="473"/>
      <c r="G202" s="473"/>
      <c r="H202" s="473"/>
      <c r="I202" s="473"/>
      <c r="J202" s="473"/>
      <c r="K202" s="473"/>
      <c r="L202" s="473"/>
      <c r="M202" s="473"/>
    </row>
    <row r="203" spans="2:14" ht="39.75" customHeight="1" x14ac:dyDescent="0.25">
      <c r="C203" s="472" t="s">
        <v>160</v>
      </c>
      <c r="D203" s="473" t="s">
        <v>311</v>
      </c>
      <c r="E203" s="473"/>
      <c r="F203" s="473"/>
      <c r="G203" s="473"/>
      <c r="H203" s="473"/>
      <c r="I203" s="473" t="s">
        <v>312</v>
      </c>
      <c r="J203" s="473"/>
      <c r="K203" s="473"/>
      <c r="L203" s="473"/>
      <c r="M203" s="473"/>
    </row>
    <row r="204" spans="2:14" ht="30" customHeight="1" x14ac:dyDescent="0.25">
      <c r="C204" s="472"/>
      <c r="D204" s="473"/>
      <c r="E204" s="473"/>
      <c r="F204" s="473"/>
      <c r="G204" s="473"/>
      <c r="H204" s="473"/>
      <c r="I204" s="473"/>
      <c r="J204" s="473"/>
      <c r="K204" s="473"/>
      <c r="L204" s="473"/>
      <c r="M204" s="473"/>
    </row>
    <row r="205" spans="2:14" ht="36" customHeight="1" x14ac:dyDescent="0.25">
      <c r="C205" s="472" t="s">
        <v>161</v>
      </c>
      <c r="D205" s="473" t="s">
        <v>313</v>
      </c>
      <c r="E205" s="473"/>
      <c r="F205" s="473"/>
      <c r="G205" s="473"/>
      <c r="H205" s="473"/>
      <c r="I205" s="474" t="s">
        <v>314</v>
      </c>
      <c r="J205" s="474"/>
      <c r="K205" s="474"/>
      <c r="L205" s="474"/>
      <c r="M205" s="474"/>
    </row>
    <row r="206" spans="2:14" ht="51.75" customHeight="1" x14ac:dyDescent="0.25">
      <c r="C206" s="472"/>
      <c r="D206" s="473"/>
      <c r="E206" s="473"/>
      <c r="F206" s="473"/>
      <c r="G206" s="473"/>
      <c r="H206" s="473"/>
      <c r="I206" s="474"/>
      <c r="J206" s="474"/>
      <c r="K206" s="474"/>
      <c r="L206" s="474"/>
      <c r="M206" s="474"/>
    </row>
  </sheetData>
  <mergeCells count="121">
    <mergeCell ref="B12:B13"/>
    <mergeCell ref="C12:N13"/>
    <mergeCell ref="I19:K19"/>
    <mergeCell ref="I20:K20"/>
    <mergeCell ref="I21:K21"/>
    <mergeCell ref="I22:K22"/>
    <mergeCell ref="B2:B3"/>
    <mergeCell ref="C2:N4"/>
    <mergeCell ref="B6:B7"/>
    <mergeCell ref="C6:N7"/>
    <mergeCell ref="B9:B10"/>
    <mergeCell ref="C9:N10"/>
    <mergeCell ref="I27:K27"/>
    <mergeCell ref="I28:K28"/>
    <mergeCell ref="I29:K29"/>
    <mergeCell ref="I30:K30"/>
    <mergeCell ref="B60:B61"/>
    <mergeCell ref="C60:N61"/>
    <mergeCell ref="I23:K23"/>
    <mergeCell ref="I24:K24"/>
    <mergeCell ref="I25:K26"/>
    <mergeCell ref="L25:L26"/>
    <mergeCell ref="M25:M26"/>
    <mergeCell ref="N25:N26"/>
    <mergeCell ref="E65:H67"/>
    <mergeCell ref="I65:L67"/>
    <mergeCell ref="M65:P67"/>
    <mergeCell ref="D98:H98"/>
    <mergeCell ref="I98:M98"/>
    <mergeCell ref="C99:C102"/>
    <mergeCell ref="D99:H100"/>
    <mergeCell ref="I99:M100"/>
    <mergeCell ref="D101:H102"/>
    <mergeCell ref="I101:M102"/>
    <mergeCell ref="C103:C106"/>
    <mergeCell ref="D103:H104"/>
    <mergeCell ref="I103:M104"/>
    <mergeCell ref="D105:H106"/>
    <mergeCell ref="I105:M106"/>
    <mergeCell ref="C107:C110"/>
    <mergeCell ref="D107:H108"/>
    <mergeCell ref="I107:M108"/>
    <mergeCell ref="D109:H110"/>
    <mergeCell ref="I109:M110"/>
    <mergeCell ref="B121:E123"/>
    <mergeCell ref="G121:I121"/>
    <mergeCell ref="B126:E128"/>
    <mergeCell ref="G126:I126"/>
    <mergeCell ref="G127:I127"/>
    <mergeCell ref="G130:I130"/>
    <mergeCell ref="B113:B114"/>
    <mergeCell ref="C113:T114"/>
    <mergeCell ref="B116:T116"/>
    <mergeCell ref="B117:K117"/>
    <mergeCell ref="L117:N118"/>
    <mergeCell ref="O117:Q118"/>
    <mergeCell ref="R117:T118"/>
    <mergeCell ref="B118:K118"/>
    <mergeCell ref="B141:K141"/>
    <mergeCell ref="B144:E145"/>
    <mergeCell ref="G144:I144"/>
    <mergeCell ref="G145:I145"/>
    <mergeCell ref="B149:E150"/>
    <mergeCell ref="G149:I149"/>
    <mergeCell ref="G150:I150"/>
    <mergeCell ref="G131:I131"/>
    <mergeCell ref="G133:I133"/>
    <mergeCell ref="B134:E135"/>
    <mergeCell ref="G134:I134"/>
    <mergeCell ref="G137:I137"/>
    <mergeCell ref="B138:E139"/>
    <mergeCell ref="G138:I138"/>
    <mergeCell ref="G162:I162"/>
    <mergeCell ref="B163:E164"/>
    <mergeCell ref="G163:I163"/>
    <mergeCell ref="G166:I166"/>
    <mergeCell ref="B167:F168"/>
    <mergeCell ref="G167:I167"/>
    <mergeCell ref="G154:I154"/>
    <mergeCell ref="B155:E156"/>
    <mergeCell ref="G155:I155"/>
    <mergeCell ref="G158:I158"/>
    <mergeCell ref="B159:E160"/>
    <mergeCell ref="G159:I159"/>
    <mergeCell ref="C175:C178"/>
    <mergeCell ref="D175:H176"/>
    <mergeCell ref="I175:M176"/>
    <mergeCell ref="D177:H178"/>
    <mergeCell ref="I177:M178"/>
    <mergeCell ref="B182:B183"/>
    <mergeCell ref="C182:N183"/>
    <mergeCell ref="D170:H170"/>
    <mergeCell ref="I170:M170"/>
    <mergeCell ref="C171:C172"/>
    <mergeCell ref="D171:H172"/>
    <mergeCell ref="I171:M172"/>
    <mergeCell ref="C173:C174"/>
    <mergeCell ref="D173:H174"/>
    <mergeCell ref="I173:M174"/>
    <mergeCell ref="C190:C194"/>
    <mergeCell ref="D190:H194"/>
    <mergeCell ref="I190:M194"/>
    <mergeCell ref="B196:B197"/>
    <mergeCell ref="C196:N197"/>
    <mergeCell ref="D200:H200"/>
    <mergeCell ref="I200:M200"/>
    <mergeCell ref="D185:H185"/>
    <mergeCell ref="I185:M185"/>
    <mergeCell ref="C186:C187"/>
    <mergeCell ref="D186:H189"/>
    <mergeCell ref="I186:M189"/>
    <mergeCell ref="C188:C189"/>
    <mergeCell ref="C205:C206"/>
    <mergeCell ref="D205:H206"/>
    <mergeCell ref="I205:M206"/>
    <mergeCell ref="C201:C202"/>
    <mergeCell ref="D201:H202"/>
    <mergeCell ref="I201:M202"/>
    <mergeCell ref="C203:C204"/>
    <mergeCell ref="D203:H204"/>
    <mergeCell ref="I203:M204"/>
  </mergeCells>
  <pageMargins left="0.7" right="0.7" top="0.75" bottom="0.75" header="0.3" footer="0.3"/>
  <pageSetup scale="6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 PARTE teoría</vt:lpstr>
      <vt:lpstr>EJER 1 Análisis Vertical Horiz</vt:lpstr>
      <vt:lpstr>RAZONES FINANCIERAS</vt:lpstr>
      <vt:lpstr>PREGUNTAS</vt:lpstr>
      <vt:lpstr>EJERCICIO 2</vt:lpstr>
      <vt:lpstr>EJERCICIO 3</vt:lpstr>
      <vt:lpstr>'EJERCICIO 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RICARDO CEDENO ALVAREZ</dc:creator>
  <cp:lastModifiedBy>MORALES ESPINOZA FERNANDA VALENTINA</cp:lastModifiedBy>
  <cp:lastPrinted>2024-02-25T03:10:36Z</cp:lastPrinted>
  <dcterms:created xsi:type="dcterms:W3CDTF">2024-01-17T00:21:12Z</dcterms:created>
  <dcterms:modified xsi:type="dcterms:W3CDTF">2026-02-16T01:16:43Z</dcterms:modified>
</cp:coreProperties>
</file>