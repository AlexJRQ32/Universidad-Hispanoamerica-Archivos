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ble\Downloads\"/>
    </mc:Choice>
  </mc:AlternateContent>
  <xr:revisionPtr revIDLastSave="0" documentId="13_ncr:1_{6C12C1E8-AE63-414C-BB02-05A5442D940C}" xr6:coauthVersionLast="47" xr6:coauthVersionMax="47" xr10:uidLastSave="{00000000-0000-0000-0000-000000000000}"/>
  <bookViews>
    <workbookView xWindow="-108" yWindow="-108" windowWidth="23976" windowHeight="14016" firstSheet="4" activeTab="6" xr2:uid="{95F93BC5-71E2-4003-A6EC-AB63060B579E}"/>
  </bookViews>
  <sheets>
    <sheet name="ENFOQUES" sheetId="3" r:id="rId1"/>
    <sheet name="FLUJOS ENTRADAS Y SALIDAS" sheetId="4" r:id="rId2"/>
    <sheet name="ANALISIS VERT- HORIZ" sheetId="1" r:id="rId3"/>
    <sheet name="ANALISIS VERT-HORIZ 2" sheetId="2" r:id="rId4"/>
    <sheet name="RAZONES FINANCIERAS" sheetId="5" r:id="rId5"/>
    <sheet name="RAZONES FINANCIERAS 2" sheetId="6" r:id="rId6"/>
    <sheet name="ANALISIS VERTICAL Y RAZONES FI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0" i="7" l="1"/>
  <c r="R159" i="7"/>
  <c r="T159" i="7" s="1"/>
  <c r="R156" i="7"/>
  <c r="R155" i="7"/>
  <c r="T155" i="7" s="1"/>
  <c r="O160" i="7"/>
  <c r="O159" i="7"/>
  <c r="Q159" i="7" s="1"/>
  <c r="O156" i="7"/>
  <c r="O155" i="7"/>
  <c r="Q155" i="7" s="1"/>
  <c r="O152" i="7"/>
  <c r="O151" i="7"/>
  <c r="Q151" i="7" s="1"/>
  <c r="R152" i="7"/>
  <c r="R151" i="7"/>
  <c r="R148" i="7"/>
  <c r="R147" i="7"/>
  <c r="O148" i="7"/>
  <c r="O147" i="7"/>
  <c r="Q147" i="7" s="1"/>
  <c r="L160" i="7"/>
  <c r="L159" i="7"/>
  <c r="L156" i="7"/>
  <c r="L155" i="7"/>
  <c r="L152" i="7"/>
  <c r="L151" i="7"/>
  <c r="N147" i="7"/>
  <c r="L148" i="7"/>
  <c r="L147" i="7"/>
  <c r="R143" i="7"/>
  <c r="T142" i="7" s="1"/>
  <c r="R142" i="7"/>
  <c r="R138" i="7"/>
  <c r="R137" i="7"/>
  <c r="O143" i="7"/>
  <c r="O142" i="7"/>
  <c r="Q142" i="7" s="1"/>
  <c r="O138" i="7"/>
  <c r="O137" i="7"/>
  <c r="L143" i="7"/>
  <c r="N142" i="7" s="1"/>
  <c r="L142" i="7"/>
  <c r="L138" i="7"/>
  <c r="L137" i="7"/>
  <c r="R131" i="7"/>
  <c r="T130" i="7" s="1"/>
  <c r="R130" i="7"/>
  <c r="R127" i="7"/>
  <c r="R126" i="7"/>
  <c r="R124" i="7"/>
  <c r="R123" i="7"/>
  <c r="R120" i="7"/>
  <c r="R119" i="7"/>
  <c r="T119" i="7" s="1"/>
  <c r="R115" i="7"/>
  <c r="T114" i="7"/>
  <c r="R114" i="7"/>
  <c r="O131" i="7"/>
  <c r="O130" i="7"/>
  <c r="Q130" i="7" s="1"/>
  <c r="O127" i="7"/>
  <c r="O126" i="7"/>
  <c r="Q126" i="7" s="1"/>
  <c r="O124" i="7"/>
  <c r="Q123" i="7" s="1"/>
  <c r="O123" i="7"/>
  <c r="O114" i="7"/>
  <c r="O119" i="7"/>
  <c r="O120" i="7"/>
  <c r="O115" i="7"/>
  <c r="Q114" i="7"/>
  <c r="L131" i="7"/>
  <c r="L130" i="7"/>
  <c r="L127" i="7"/>
  <c r="L126" i="7"/>
  <c r="L124" i="7"/>
  <c r="L123" i="7"/>
  <c r="L120" i="7"/>
  <c r="L119" i="7"/>
  <c r="N119" i="7" s="1"/>
  <c r="L115" i="7"/>
  <c r="L114" i="7"/>
  <c r="N114" i="7"/>
  <c r="T151" i="7"/>
  <c r="T147" i="7"/>
  <c r="N159" i="7"/>
  <c r="N155" i="7"/>
  <c r="T126" i="7"/>
  <c r="N130" i="7"/>
  <c r="N126" i="7"/>
  <c r="N123" i="7"/>
  <c r="P86" i="7"/>
  <c r="P85" i="7"/>
  <c r="P84" i="7"/>
  <c r="P80" i="7"/>
  <c r="P79" i="7"/>
  <c r="P78" i="7"/>
  <c r="P76" i="7"/>
  <c r="P75" i="7"/>
  <c r="P74" i="7"/>
  <c r="P69" i="7"/>
  <c r="P68" i="7"/>
  <c r="P66" i="7"/>
  <c r="P65" i="7"/>
  <c r="P64" i="7"/>
  <c r="P63" i="7"/>
  <c r="N88" i="7"/>
  <c r="O88" i="7"/>
  <c r="O86" i="7"/>
  <c r="N85" i="7"/>
  <c r="N84" i="7"/>
  <c r="O80" i="7"/>
  <c r="O76" i="7"/>
  <c r="N75" i="7"/>
  <c r="N78" i="7"/>
  <c r="N79" i="7"/>
  <c r="N74" i="7"/>
  <c r="N70" i="7"/>
  <c r="O70" i="7"/>
  <c r="O69" i="7"/>
  <c r="O66" i="7"/>
  <c r="N64" i="7"/>
  <c r="N65" i="7"/>
  <c r="N68" i="7"/>
  <c r="N63" i="7"/>
  <c r="L86" i="7"/>
  <c r="L85" i="7"/>
  <c r="L84" i="7"/>
  <c r="L80" i="7"/>
  <c r="L79" i="7"/>
  <c r="L78" i="7"/>
  <c r="L76" i="7"/>
  <c r="L75" i="7"/>
  <c r="L74" i="7"/>
  <c r="L69" i="7"/>
  <c r="L68" i="7"/>
  <c r="L66" i="7"/>
  <c r="L65" i="7"/>
  <c r="L64" i="7"/>
  <c r="L63" i="7"/>
  <c r="K86" i="7"/>
  <c r="K88" i="7"/>
  <c r="J88" i="7"/>
  <c r="J85" i="7"/>
  <c r="J84" i="7"/>
  <c r="K80" i="7"/>
  <c r="K76" i="7"/>
  <c r="J75" i="7"/>
  <c r="J78" i="7"/>
  <c r="J79" i="7"/>
  <c r="J74" i="7"/>
  <c r="J70" i="7"/>
  <c r="K70" i="7"/>
  <c r="K69" i="7"/>
  <c r="K66" i="7"/>
  <c r="J64" i="7"/>
  <c r="J65" i="7"/>
  <c r="J68" i="7"/>
  <c r="J63" i="7"/>
  <c r="H86" i="7"/>
  <c r="H85" i="7"/>
  <c r="H84" i="7"/>
  <c r="H80" i="7"/>
  <c r="H79" i="7"/>
  <c r="H78" i="7"/>
  <c r="H76" i="7"/>
  <c r="H75" i="7"/>
  <c r="H74" i="7"/>
  <c r="H69" i="7"/>
  <c r="H68" i="7"/>
  <c r="E69" i="7"/>
  <c r="H66" i="7"/>
  <c r="H65" i="7"/>
  <c r="H64" i="7"/>
  <c r="H63" i="7"/>
  <c r="F88" i="7"/>
  <c r="G86" i="7"/>
  <c r="F85" i="7"/>
  <c r="F84" i="7"/>
  <c r="G81" i="7"/>
  <c r="G80" i="7"/>
  <c r="F79" i="7"/>
  <c r="F78" i="7"/>
  <c r="G76" i="7"/>
  <c r="F75" i="7"/>
  <c r="F74" i="7"/>
  <c r="F70" i="7"/>
  <c r="G70" i="7"/>
  <c r="G69" i="7"/>
  <c r="F68" i="7"/>
  <c r="G66" i="7"/>
  <c r="F64" i="7"/>
  <c r="F65" i="7"/>
  <c r="F63" i="7"/>
  <c r="P101" i="5"/>
  <c r="P100" i="5"/>
  <c r="P97" i="5"/>
  <c r="P96" i="5"/>
  <c r="R96" i="5" s="1"/>
  <c r="P93" i="5"/>
  <c r="R92" i="5" s="1"/>
  <c r="P92" i="5"/>
  <c r="P89" i="5"/>
  <c r="P88" i="5"/>
  <c r="R88" i="5" s="1"/>
  <c r="P84" i="5"/>
  <c r="P83" i="5"/>
  <c r="P77" i="5"/>
  <c r="P76" i="5"/>
  <c r="P73" i="5"/>
  <c r="P72" i="5"/>
  <c r="P69" i="5"/>
  <c r="P68" i="5"/>
  <c r="R68" i="5" s="1"/>
  <c r="P66" i="5"/>
  <c r="P65" i="5"/>
  <c r="P62" i="5"/>
  <c r="P61" i="5"/>
  <c r="P57" i="5"/>
  <c r="P56" i="5"/>
  <c r="R56" i="5" s="1"/>
  <c r="L101" i="5"/>
  <c r="L100" i="5"/>
  <c r="N100" i="5" s="1"/>
  <c r="L97" i="5"/>
  <c r="L96" i="5"/>
  <c r="N96" i="5" s="1"/>
  <c r="L93" i="5"/>
  <c r="N92" i="5" s="1"/>
  <c r="L92" i="5"/>
  <c r="L88" i="5"/>
  <c r="L89" i="5"/>
  <c r="L84" i="5"/>
  <c r="L83" i="5"/>
  <c r="N83" i="5" s="1"/>
  <c r="L77" i="5"/>
  <c r="L76" i="5"/>
  <c r="L68" i="5"/>
  <c r="N68" i="5" s="1"/>
  <c r="L73" i="5"/>
  <c r="L72" i="5"/>
  <c r="L69" i="5"/>
  <c r="L66" i="5"/>
  <c r="L65" i="5"/>
  <c r="N65" i="5" s="1"/>
  <c r="L62" i="5"/>
  <c r="L61" i="5"/>
  <c r="N61" i="5" s="1"/>
  <c r="R83" i="5"/>
  <c r="N72" i="5"/>
  <c r="N56" i="5"/>
  <c r="L57" i="5"/>
  <c r="L56" i="5"/>
  <c r="P85" i="2"/>
  <c r="P84" i="2"/>
  <c r="P83" i="2"/>
  <c r="P79" i="2"/>
  <c r="P78" i="2"/>
  <c r="P77" i="2"/>
  <c r="P75" i="2"/>
  <c r="P74" i="2"/>
  <c r="P73" i="2"/>
  <c r="P68" i="2"/>
  <c r="P65" i="2"/>
  <c r="P63" i="2"/>
  <c r="P64" i="2"/>
  <c r="P62" i="2"/>
  <c r="O87" i="2"/>
  <c r="O85" i="2"/>
  <c r="O79" i="2"/>
  <c r="O75" i="2"/>
  <c r="N74" i="2"/>
  <c r="N77" i="2"/>
  <c r="N78" i="2"/>
  <c r="N83" i="2"/>
  <c r="N84" i="2"/>
  <c r="N73" i="2"/>
  <c r="O69" i="2"/>
  <c r="O68" i="2"/>
  <c r="O65" i="2"/>
  <c r="N63" i="2"/>
  <c r="N64" i="2"/>
  <c r="N67" i="2"/>
  <c r="N62" i="2"/>
  <c r="L85" i="2"/>
  <c r="L84" i="2"/>
  <c r="L83" i="2"/>
  <c r="L79" i="2"/>
  <c r="L78" i="2"/>
  <c r="L77" i="2"/>
  <c r="L75" i="2"/>
  <c r="L74" i="2"/>
  <c r="L73" i="2"/>
  <c r="L68" i="2"/>
  <c r="L65" i="2"/>
  <c r="L63" i="2"/>
  <c r="L64" i="2"/>
  <c r="L62" i="2"/>
  <c r="K87" i="2"/>
  <c r="J87" i="2"/>
  <c r="K85" i="2"/>
  <c r="K79" i="2"/>
  <c r="K75" i="2"/>
  <c r="J74" i="2"/>
  <c r="J77" i="2"/>
  <c r="J78" i="2"/>
  <c r="J83" i="2"/>
  <c r="J84" i="2"/>
  <c r="J73" i="2"/>
  <c r="K69" i="2"/>
  <c r="J69" i="2"/>
  <c r="K68" i="2"/>
  <c r="K65" i="2"/>
  <c r="J63" i="2"/>
  <c r="J64" i="2"/>
  <c r="J67" i="2"/>
  <c r="J62" i="2"/>
  <c r="H85" i="2"/>
  <c r="H84" i="2"/>
  <c r="H83" i="2"/>
  <c r="H79" i="2"/>
  <c r="H78" i="2"/>
  <c r="H77" i="2"/>
  <c r="H75" i="2"/>
  <c r="H74" i="2"/>
  <c r="H73" i="2"/>
  <c r="H68" i="2"/>
  <c r="H67" i="2"/>
  <c r="H65" i="2"/>
  <c r="H63" i="2"/>
  <c r="H64" i="2"/>
  <c r="H62" i="2"/>
  <c r="G87" i="2"/>
  <c r="G85" i="2"/>
  <c r="G80" i="2"/>
  <c r="G79" i="2"/>
  <c r="G75" i="2"/>
  <c r="F87" i="2"/>
  <c r="F74" i="2"/>
  <c r="F77" i="2"/>
  <c r="F78" i="2"/>
  <c r="F83" i="2"/>
  <c r="F84" i="2"/>
  <c r="F73" i="2"/>
  <c r="G69" i="2"/>
  <c r="G68" i="2"/>
  <c r="G65" i="2"/>
  <c r="F69" i="2"/>
  <c r="F63" i="2"/>
  <c r="F64" i="2"/>
  <c r="F67" i="2"/>
  <c r="F62" i="2"/>
  <c r="N151" i="7" l="1"/>
  <c r="T137" i="7"/>
  <c r="Q137" i="7"/>
  <c r="N137" i="7"/>
  <c r="T123" i="7"/>
  <c r="Q119" i="7"/>
  <c r="G88" i="7"/>
  <c r="R100" i="5"/>
  <c r="R76" i="5"/>
  <c r="R65" i="5"/>
  <c r="R61" i="5"/>
  <c r="R72" i="5"/>
  <c r="N88" i="5"/>
  <c r="N76" i="5"/>
  <c r="O80" i="2"/>
  <c r="N87" i="2"/>
  <c r="N69" i="2"/>
  <c r="V35" i="1" l="1"/>
  <c r="V36" i="1"/>
  <c r="V37" i="1"/>
  <c r="V39" i="1"/>
  <c r="V40" i="1"/>
  <c r="V41" i="1"/>
  <c r="V42" i="1"/>
  <c r="V47" i="1"/>
  <c r="V48" i="1"/>
  <c r="V49" i="1"/>
  <c r="V50" i="1"/>
  <c r="V52" i="1"/>
  <c r="V53" i="1"/>
  <c r="V56" i="1"/>
  <c r="V57" i="1"/>
  <c r="V58" i="1"/>
  <c r="V59" i="1"/>
  <c r="V61" i="1"/>
  <c r="V34" i="1"/>
  <c r="V33" i="1"/>
  <c r="U34" i="1"/>
  <c r="U35" i="1"/>
  <c r="U36" i="1"/>
  <c r="U37" i="1"/>
  <c r="U39" i="1"/>
  <c r="U40" i="1"/>
  <c r="U41" i="1"/>
  <c r="U42" i="1"/>
  <c r="U47" i="1"/>
  <c r="U48" i="1"/>
  <c r="U49" i="1"/>
  <c r="U50" i="1"/>
  <c r="U52" i="1"/>
  <c r="U53" i="1"/>
  <c r="U56" i="1"/>
  <c r="U57" i="1"/>
  <c r="U58" i="1"/>
  <c r="U59" i="1"/>
  <c r="U61" i="1"/>
  <c r="U33" i="1"/>
  <c r="T57" i="1"/>
  <c r="T34" i="1"/>
  <c r="T35" i="1"/>
  <c r="T36" i="1"/>
  <c r="T37" i="1"/>
  <c r="T39" i="1"/>
  <c r="T40" i="1"/>
  <c r="T41" i="1"/>
  <c r="T42" i="1"/>
  <c r="T47" i="1"/>
  <c r="T48" i="1"/>
  <c r="T49" i="1"/>
  <c r="T50" i="1"/>
  <c r="T52" i="1"/>
  <c r="T53" i="1"/>
  <c r="T56" i="1"/>
  <c r="T58" i="1"/>
  <c r="T59" i="1"/>
  <c r="T61" i="1"/>
  <c r="T33" i="1"/>
  <c r="J62" i="1"/>
  <c r="K60" i="1"/>
  <c r="K58" i="1"/>
  <c r="K59" i="1"/>
  <c r="K57" i="1"/>
  <c r="K51" i="1"/>
  <c r="K49" i="1"/>
  <c r="K50" i="1"/>
  <c r="K48" i="1"/>
  <c r="K42" i="1"/>
  <c r="K41" i="1"/>
  <c r="K40" i="1"/>
  <c r="K38" i="1"/>
  <c r="K35" i="1"/>
  <c r="K36" i="1"/>
  <c r="K37" i="1"/>
  <c r="K34" i="1"/>
  <c r="F62" i="1"/>
  <c r="G60" i="1"/>
  <c r="G58" i="1"/>
  <c r="G59" i="1"/>
  <c r="G57" i="1"/>
  <c r="G51" i="1"/>
  <c r="G49" i="1"/>
  <c r="G50" i="1"/>
  <c r="G48" i="1"/>
  <c r="G42" i="1"/>
  <c r="G41" i="1"/>
  <c r="G40" i="1"/>
  <c r="G38" i="1"/>
  <c r="G35" i="1"/>
  <c r="G36" i="1"/>
  <c r="G37" i="1"/>
  <c r="G34" i="1"/>
  <c r="I62" i="1"/>
  <c r="J60" i="1"/>
  <c r="J54" i="1"/>
  <c r="J51" i="1"/>
  <c r="I49" i="1"/>
  <c r="I50" i="1"/>
  <c r="I53" i="1"/>
  <c r="I57" i="1"/>
  <c r="I58" i="1"/>
  <c r="I59" i="1"/>
  <c r="I48" i="1"/>
  <c r="I43" i="1"/>
  <c r="J42" i="1"/>
  <c r="J38" i="1"/>
  <c r="I35" i="1"/>
  <c r="I36" i="1"/>
  <c r="I37" i="1"/>
  <c r="I40" i="1"/>
  <c r="I41" i="1"/>
  <c r="I34" i="1"/>
  <c r="E62" i="1"/>
  <c r="F60" i="1"/>
  <c r="E58" i="1"/>
  <c r="E59" i="1"/>
  <c r="E57" i="1"/>
  <c r="F53" i="1"/>
  <c r="F54" i="1"/>
  <c r="E53" i="1"/>
  <c r="F51" i="1"/>
  <c r="E49" i="1"/>
  <c r="E50" i="1"/>
  <c r="E48" i="1"/>
  <c r="E43" i="1"/>
  <c r="F42" i="1"/>
  <c r="E40" i="1"/>
  <c r="E41" i="1"/>
  <c r="F38" i="1"/>
  <c r="E35" i="1"/>
  <c r="E36" i="1"/>
  <c r="E37" i="1"/>
  <c r="E34" i="1"/>
  <c r="R13" i="1"/>
  <c r="R14" i="1"/>
  <c r="R15" i="1"/>
  <c r="R16" i="1"/>
  <c r="R17" i="1"/>
  <c r="R18" i="1"/>
  <c r="R19" i="1"/>
  <c r="R20" i="1"/>
  <c r="R21" i="1"/>
  <c r="R22" i="1"/>
  <c r="R23" i="1"/>
  <c r="R12" i="1"/>
  <c r="Q13" i="1"/>
  <c r="Q14" i="1"/>
  <c r="Q15" i="1"/>
  <c r="Q16" i="1"/>
  <c r="Q17" i="1"/>
  <c r="Q18" i="1"/>
  <c r="Q19" i="1"/>
  <c r="Q20" i="1"/>
  <c r="Q21" i="1"/>
  <c r="Q22" i="1"/>
  <c r="Q23" i="1"/>
  <c r="Q12" i="1"/>
  <c r="P13" i="1"/>
  <c r="P14" i="1"/>
  <c r="P15" i="1"/>
  <c r="P16" i="1"/>
  <c r="P17" i="1"/>
  <c r="P18" i="1"/>
  <c r="P19" i="1"/>
  <c r="P20" i="1"/>
  <c r="P21" i="1"/>
  <c r="P22" i="1"/>
  <c r="P23" i="1"/>
  <c r="P12" i="1"/>
  <c r="G14" i="1"/>
  <c r="G15" i="1"/>
  <c r="G16" i="1"/>
  <c r="G17" i="1"/>
  <c r="G18" i="1"/>
  <c r="G19" i="1"/>
  <c r="G20" i="1"/>
  <c r="G21" i="1"/>
  <c r="G22" i="1"/>
  <c r="G23" i="1"/>
  <c r="G13" i="1"/>
  <c r="F14" i="1"/>
  <c r="F15" i="1"/>
  <c r="F16" i="1"/>
  <c r="F17" i="1"/>
  <c r="F18" i="1"/>
  <c r="F19" i="1"/>
  <c r="F20" i="1"/>
  <c r="F21" i="1"/>
  <c r="F22" i="1"/>
  <c r="F23" i="1"/>
  <c r="F13" i="1"/>
  <c r="D15" i="1"/>
  <c r="D14" i="1"/>
  <c r="D16" i="1"/>
  <c r="D17" i="1"/>
  <c r="D18" i="1"/>
  <c r="D19" i="1"/>
  <c r="D20" i="1"/>
  <c r="D21" i="1"/>
  <c r="D22" i="1"/>
  <c r="D23" i="1"/>
  <c r="D13" i="1"/>
  <c r="O73" i="4" l="1"/>
  <c r="N73" i="4"/>
  <c r="O72" i="4"/>
  <c r="N72" i="4"/>
  <c r="O71" i="4"/>
  <c r="N71" i="4"/>
  <c r="O70" i="4"/>
  <c r="N70" i="4"/>
  <c r="O69" i="4"/>
  <c r="N69" i="4"/>
  <c r="O68" i="4"/>
  <c r="N68" i="4"/>
  <c r="O67" i="4"/>
  <c r="N67" i="4"/>
  <c r="O66" i="4"/>
  <c r="N66" i="4"/>
  <c r="N65" i="4"/>
  <c r="O62" i="4"/>
  <c r="O75" i="4" s="1"/>
  <c r="N62" i="4"/>
  <c r="O61" i="4"/>
  <c r="N61" i="4"/>
  <c r="O60" i="4"/>
  <c r="N60" i="4"/>
  <c r="O59" i="4"/>
  <c r="N59" i="4"/>
  <c r="O52" i="4"/>
  <c r="N52" i="4"/>
  <c r="O51" i="4"/>
  <c r="N51" i="4"/>
  <c r="O50" i="4"/>
  <c r="N50" i="4"/>
  <c r="O49" i="4"/>
  <c r="N49" i="4"/>
  <c r="O48" i="4"/>
  <c r="N48" i="4"/>
  <c r="O47" i="4"/>
  <c r="N47" i="4"/>
  <c r="O46" i="4"/>
  <c r="O53" i="4" s="1"/>
  <c r="N46" i="4"/>
  <c r="O42" i="4"/>
  <c r="I75" i="4"/>
  <c r="I73" i="4"/>
  <c r="H73" i="4"/>
  <c r="I72" i="4"/>
  <c r="H72" i="4"/>
  <c r="I71" i="4"/>
  <c r="H71" i="4"/>
  <c r="I70" i="4"/>
  <c r="H70" i="4"/>
  <c r="I69" i="4"/>
  <c r="H69" i="4"/>
  <c r="I68" i="4"/>
  <c r="H68" i="4"/>
  <c r="I67" i="4"/>
  <c r="H67" i="4"/>
  <c r="I66" i="4"/>
  <c r="H66" i="4"/>
  <c r="H65" i="4"/>
  <c r="I62" i="4"/>
  <c r="H62" i="4"/>
  <c r="I61" i="4"/>
  <c r="H61" i="4"/>
  <c r="I60" i="4"/>
  <c r="H60" i="4"/>
  <c r="I59" i="4"/>
  <c r="H59" i="4"/>
  <c r="I53" i="4"/>
  <c r="I52" i="4"/>
  <c r="H52" i="4"/>
  <c r="I51" i="4"/>
  <c r="H51" i="4"/>
  <c r="I50" i="4"/>
  <c r="H50" i="4"/>
  <c r="I49" i="4"/>
  <c r="H49" i="4"/>
  <c r="I48" i="4"/>
  <c r="H48" i="4"/>
  <c r="I47" i="4"/>
  <c r="H47" i="4"/>
  <c r="I46" i="4"/>
  <c r="H46" i="4"/>
  <c r="I42" i="4"/>
  <c r="C73" i="4"/>
  <c r="C67" i="4"/>
  <c r="C65" i="4"/>
  <c r="D61" i="4"/>
  <c r="C62" i="4"/>
  <c r="C59" i="4"/>
  <c r="D52" i="4"/>
  <c r="D72" i="4" s="1"/>
  <c r="D51" i="4"/>
  <c r="D71" i="4" s="1"/>
  <c r="D50" i="4"/>
  <c r="D70" i="4" s="1"/>
  <c r="D49" i="4"/>
  <c r="D69" i="4" s="1"/>
  <c r="D48" i="4"/>
  <c r="D68" i="4" s="1"/>
  <c r="D47" i="4"/>
  <c r="D67" i="4" s="1"/>
  <c r="D46" i="4"/>
  <c r="D66" i="4" s="1"/>
  <c r="C52" i="4"/>
  <c r="C72" i="4" s="1"/>
  <c r="C51" i="4"/>
  <c r="C71" i="4" s="1"/>
  <c r="C50" i="4"/>
  <c r="C70" i="4" s="1"/>
  <c r="C49" i="4"/>
  <c r="C69" i="4" s="1"/>
  <c r="C48" i="4"/>
  <c r="C68" i="4" s="1"/>
  <c r="C47" i="4"/>
  <c r="C46" i="4"/>
  <c r="C66" i="4" s="1"/>
  <c r="D41" i="4"/>
  <c r="D40" i="4"/>
  <c r="D60" i="4" s="1"/>
  <c r="D39" i="4"/>
  <c r="D59" i="4" s="1"/>
  <c r="C41" i="4"/>
  <c r="C61" i="4" s="1"/>
  <c r="C40" i="4"/>
  <c r="C60" i="4" s="1"/>
  <c r="C39" i="4"/>
  <c r="D53" i="4" l="1"/>
  <c r="D73" i="4" s="1"/>
  <c r="D42" i="4"/>
  <c r="D62" i="4" s="1"/>
  <c r="D75" i="4" s="1"/>
  <c r="Q83" i="3" l="1"/>
  <c r="Q82" i="3"/>
  <c r="Q84" i="3" s="1"/>
  <c r="P81" i="3"/>
  <c r="P76" i="3"/>
  <c r="P79" i="3" s="1"/>
  <c r="P69" i="3"/>
  <c r="P67" i="3"/>
  <c r="P70" i="3" s="1"/>
  <c r="Q88" i="3"/>
  <c r="Q87" i="3"/>
  <c r="P78" i="3" s="1"/>
  <c r="P36" i="3"/>
  <c r="P35" i="3"/>
  <c r="P31" i="3"/>
  <c r="P28" i="3"/>
  <c r="P22" i="3"/>
  <c r="C30" i="3"/>
  <c r="C31" i="3"/>
  <c r="C22" i="3"/>
  <c r="M88" i="7"/>
  <c r="M86" i="7"/>
  <c r="I86" i="7"/>
  <c r="E86" i="7"/>
  <c r="M81" i="7"/>
  <c r="M80" i="7"/>
  <c r="I80" i="7"/>
  <c r="E80" i="7"/>
  <c r="M76" i="7"/>
  <c r="I76" i="7"/>
  <c r="E76" i="7"/>
  <c r="M70" i="7"/>
  <c r="E70" i="7"/>
  <c r="M69" i="7"/>
  <c r="I69" i="7"/>
  <c r="M66" i="7"/>
  <c r="I66" i="7"/>
  <c r="E66" i="7"/>
  <c r="G47" i="7"/>
  <c r="F47" i="7"/>
  <c r="E47" i="7"/>
  <c r="G41" i="7"/>
  <c r="F41" i="7"/>
  <c r="E41" i="7"/>
  <c r="G37" i="7"/>
  <c r="G42" i="7" s="1"/>
  <c r="G49" i="7" s="1"/>
  <c r="F37" i="7"/>
  <c r="F42" i="7" s="1"/>
  <c r="F49" i="7" s="1"/>
  <c r="E37" i="7"/>
  <c r="E42" i="7" s="1"/>
  <c r="E49" i="7" s="1"/>
  <c r="F31" i="7"/>
  <c r="E31" i="7"/>
  <c r="G30" i="7"/>
  <c r="G31" i="7" s="1"/>
  <c r="F30" i="7"/>
  <c r="E30" i="7"/>
  <c r="G27" i="7"/>
  <c r="F27" i="7"/>
  <c r="E27" i="7"/>
  <c r="N24" i="7"/>
  <c r="N28" i="7" s="1"/>
  <c r="M24" i="7"/>
  <c r="M28" i="7" s="1"/>
  <c r="L24" i="7"/>
  <c r="L28" i="7" s="1"/>
  <c r="Q89" i="3" l="1"/>
  <c r="L31" i="7"/>
  <c r="M31" i="7"/>
  <c r="N31" i="7"/>
  <c r="E81" i="7"/>
  <c r="I70" i="7"/>
  <c r="I81" i="7"/>
  <c r="I88" i="7" l="1"/>
  <c r="N32" i="7"/>
  <c r="N33" i="7" s="1"/>
  <c r="E88" i="7"/>
  <c r="M32" i="7"/>
  <c r="M33" i="7" s="1"/>
  <c r="L32" i="7"/>
  <c r="L33" i="7" s="1"/>
  <c r="K40" i="5" l="1"/>
  <c r="J40" i="5"/>
  <c r="J34" i="5"/>
  <c r="K33" i="5"/>
  <c r="K34" i="5" s="1"/>
  <c r="J33" i="5"/>
  <c r="K30" i="5"/>
  <c r="J30" i="5"/>
  <c r="K21" i="5"/>
  <c r="J21" i="5"/>
  <c r="K17" i="5"/>
  <c r="J17" i="5"/>
  <c r="D17" i="5"/>
  <c r="C17" i="5"/>
  <c r="D13" i="5"/>
  <c r="D18" i="5" s="1"/>
  <c r="C13" i="5"/>
  <c r="C18" i="5" s="1"/>
  <c r="M85" i="2"/>
  <c r="I85" i="2"/>
  <c r="E85" i="2"/>
  <c r="M79" i="2"/>
  <c r="I79" i="2"/>
  <c r="E79" i="2"/>
  <c r="M75" i="2"/>
  <c r="M80" i="2" s="1"/>
  <c r="I75" i="2"/>
  <c r="E75" i="2"/>
  <c r="M68" i="2"/>
  <c r="I68" i="2"/>
  <c r="E68" i="2"/>
  <c r="M65" i="2"/>
  <c r="I65" i="2"/>
  <c r="E65" i="2"/>
  <c r="G46" i="2"/>
  <c r="F46" i="2"/>
  <c r="E46" i="2"/>
  <c r="G40" i="2"/>
  <c r="F40" i="2"/>
  <c r="E40" i="2"/>
  <c r="G36" i="2"/>
  <c r="G41" i="2" s="1"/>
  <c r="G48" i="2" s="1"/>
  <c r="F36" i="2"/>
  <c r="E36" i="2"/>
  <c r="G29" i="2"/>
  <c r="F29" i="2"/>
  <c r="E29" i="2"/>
  <c r="G26" i="2"/>
  <c r="F26" i="2"/>
  <c r="E26" i="2"/>
  <c r="E30" i="2" s="1"/>
  <c r="N23" i="2"/>
  <c r="N27" i="2" s="1"/>
  <c r="N30" i="2" s="1"/>
  <c r="M23" i="2"/>
  <c r="M27" i="2" s="1"/>
  <c r="M30" i="2" s="1"/>
  <c r="L23" i="2"/>
  <c r="L27" i="2" s="1"/>
  <c r="L30" i="2" s="1"/>
  <c r="L31" i="2" s="1"/>
  <c r="H60" i="1"/>
  <c r="D60" i="1"/>
  <c r="S59" i="1"/>
  <c r="R59" i="1"/>
  <c r="H51" i="1"/>
  <c r="H54" i="1" s="1"/>
  <c r="D51" i="1"/>
  <c r="D54" i="1" s="1"/>
  <c r="S50" i="1"/>
  <c r="S53" i="1" s="1"/>
  <c r="R50" i="1"/>
  <c r="R53" i="1" s="1"/>
  <c r="R61" i="1" s="1"/>
  <c r="H42" i="1"/>
  <c r="D42" i="1"/>
  <c r="S41" i="1"/>
  <c r="R41" i="1"/>
  <c r="H38" i="1"/>
  <c r="D38" i="1"/>
  <c r="S37" i="1"/>
  <c r="R37" i="1"/>
  <c r="O18" i="1"/>
  <c r="N18" i="1"/>
  <c r="E18" i="1"/>
  <c r="C18" i="1"/>
  <c r="O14" i="1"/>
  <c r="N14" i="1"/>
  <c r="N19" i="1" s="1"/>
  <c r="N21" i="1" s="1"/>
  <c r="E14" i="1"/>
  <c r="C14" i="1"/>
  <c r="K42" i="5" l="1"/>
  <c r="C20" i="5"/>
  <c r="D20" i="5"/>
  <c r="K22" i="5"/>
  <c r="J42" i="5"/>
  <c r="J22" i="5"/>
  <c r="D43" i="1"/>
  <c r="S61" i="1"/>
  <c r="H43" i="1"/>
  <c r="E19" i="1"/>
  <c r="E21" i="1" s="1"/>
  <c r="O19" i="1"/>
  <c r="O21" i="1" s="1"/>
  <c r="O22" i="1" s="1"/>
  <c r="O23" i="1" s="1"/>
  <c r="D62" i="1"/>
  <c r="H62" i="1"/>
  <c r="C19" i="1"/>
  <c r="C21" i="1" s="1"/>
  <c r="C22" i="1" s="1"/>
  <c r="C23" i="1" s="1"/>
  <c r="R42" i="1"/>
  <c r="S42" i="1"/>
  <c r="F30" i="2"/>
  <c r="M87" i="2"/>
  <c r="G30" i="2"/>
  <c r="E80" i="2"/>
  <c r="E87" i="2" s="1"/>
  <c r="I80" i="2"/>
  <c r="I87" i="2" s="1"/>
  <c r="F41" i="2"/>
  <c r="F48" i="2" s="1"/>
  <c r="I69" i="2"/>
  <c r="E41" i="2"/>
  <c r="E48" i="2" s="1"/>
  <c r="E69" i="2"/>
  <c r="M69" i="2"/>
  <c r="M31" i="2"/>
  <c r="M32" i="2"/>
  <c r="N31" i="2"/>
  <c r="N32" i="2" s="1"/>
  <c r="L32" i="2"/>
  <c r="N22" i="1"/>
  <c r="N23" i="1" s="1"/>
  <c r="D21" i="5" l="1"/>
  <c r="D22" i="5"/>
  <c r="C21" i="5"/>
  <c r="C22" i="5"/>
  <c r="E22" i="1"/>
  <c r="E23" i="1" s="1"/>
</calcChain>
</file>

<file path=xl/sharedStrings.xml><?xml version="1.0" encoding="utf-8"?>
<sst xmlns="http://schemas.openxmlformats.org/spreadsheetml/2006/main" count="779" uniqueCount="291">
  <si>
    <t>ANALISIS VERTICAL Y HORIZONTAL</t>
  </si>
  <si>
    <t>Según la información de los Estados Financieros, realice los cálculos aplicando análisi vertical y horizontal, respectivamente:</t>
  </si>
  <si>
    <t>Análisis Vertical</t>
  </si>
  <si>
    <t>Análisis Horizontal</t>
  </si>
  <si>
    <t xml:space="preserve">Estado de Resultados El Inversionista S.A </t>
  </si>
  <si>
    <t>Del 1 enero al 31 de diciembre</t>
  </si>
  <si>
    <t>(En millones de colones)</t>
  </si>
  <si>
    <t>Variación</t>
  </si>
  <si>
    <t>Año 2023</t>
  </si>
  <si>
    <t>Año 2024</t>
  </si>
  <si>
    <t>AÑO 2023</t>
  </si>
  <si>
    <t>AÑO 2024</t>
  </si>
  <si>
    <t xml:space="preserve">Absoluta </t>
  </si>
  <si>
    <t>Porcentual</t>
  </si>
  <si>
    <t>Directo</t>
  </si>
  <si>
    <t>Ventas Netas</t>
  </si>
  <si>
    <t xml:space="preserve">Costo de Mercaderías Vendidas </t>
  </si>
  <si>
    <t>Utilidad Bruta</t>
  </si>
  <si>
    <t>Gastos de operación</t>
  </si>
  <si>
    <t>Gastos Administrativos y generales</t>
  </si>
  <si>
    <t>Gastos por depreciaciación</t>
  </si>
  <si>
    <t>Total gastos de operación</t>
  </si>
  <si>
    <t>Utilidad de Operación</t>
  </si>
  <si>
    <t>Gastos por intereses</t>
  </si>
  <si>
    <t>Utilidad antes de impuestos</t>
  </si>
  <si>
    <t>Impuestos 30%</t>
  </si>
  <si>
    <t>Impuestos 21.80%</t>
  </si>
  <si>
    <t>Utilidad después de impuestos</t>
  </si>
  <si>
    <t>Análisis vertical</t>
  </si>
  <si>
    <t xml:space="preserve">Balances Generales </t>
  </si>
  <si>
    <t xml:space="preserve">El Inversionista S.A </t>
  </si>
  <si>
    <t>Al 31 de diciembre</t>
  </si>
  <si>
    <t>Activos</t>
  </si>
  <si>
    <t xml:space="preserve">Activos Circulantes </t>
  </si>
  <si>
    <t>Efectivo</t>
  </si>
  <si>
    <t>Valores negociables</t>
  </si>
  <si>
    <t>Cuentas por cobrar</t>
  </si>
  <si>
    <t>Inventarios</t>
  </si>
  <si>
    <t>Total Activos circulantes</t>
  </si>
  <si>
    <t>Activos Fijos</t>
  </si>
  <si>
    <t>Activo fijos brutos</t>
  </si>
  <si>
    <t>Depreciación acumulada</t>
  </si>
  <si>
    <t>Total activos fijos</t>
  </si>
  <si>
    <t>Activo Total</t>
  </si>
  <si>
    <t>Pasivo y capital contable</t>
  </si>
  <si>
    <t>Pasivo</t>
  </si>
  <si>
    <t>Pasivo Circulante</t>
  </si>
  <si>
    <t>Cuentas por pagar</t>
  </si>
  <si>
    <t>Documento por pagar</t>
  </si>
  <si>
    <t>Otros pasivos circulantes</t>
  </si>
  <si>
    <t>Total pasivo circulante</t>
  </si>
  <si>
    <t>Pasivo a largo plazo</t>
  </si>
  <si>
    <t>Hipotecas a largo plazo</t>
  </si>
  <si>
    <t>Total pasivos</t>
  </si>
  <si>
    <t>Capital Contable</t>
  </si>
  <si>
    <t>Acciones comunes (100.000 acciones)</t>
  </si>
  <si>
    <t>Capital pagado en exceso de valor nominal</t>
  </si>
  <si>
    <t>Utilidades retenidas</t>
  </si>
  <si>
    <t>Total capital contable</t>
  </si>
  <si>
    <t>Total pasivos y capital contable</t>
  </si>
  <si>
    <t>Usted labora en el departemento de análisis de crédito del Banco Su buen Amigo S.A., como función principal es deber otorgar los criterios y análisis financieros de las diferentes compañías que solicitan crédito, a continuación, se presentan tres empresas para la solicitud de crédito con los estados financieros al 31 de diciembre 2023.</t>
  </si>
  <si>
    <t>a.</t>
  </si>
  <si>
    <t>En el caso de compañía A su solicitud de préstamo es por ¢200.0 millones para la expansión geográfica de sus actividades, el préstamo sería a 5 años plazo, y sus ventas se incrementan un 10%, la vida útil del nuevo edificio y los equipos en promedio sería a 10 años</t>
  </si>
  <si>
    <t>b.</t>
  </si>
  <si>
    <t>En el caso de compañía B su solicitud de préstamo es por ¢350.0 millones para la expansión de nuevos productos, el préstamo sería a 4 años plazo, y sus ventas se incrementan un 11%, la vida útil del nuevo equipo de producción sería a 6 años</t>
  </si>
  <si>
    <t>c.</t>
  </si>
  <si>
    <t>En el caso de compañía C su solicitud de préstamo es por ¢125.0 millones para capital de trabajo de corto plazo a utilizar en la operativa normal de la compañía, el préstamo sería a 1 años plazo, y sus ventas se incrementan un 10%, estos recursos se utilizarán para la compra de materia prima.</t>
  </si>
  <si>
    <t xml:space="preserve">Balance General </t>
  </si>
  <si>
    <t>Estado de Resultados</t>
  </si>
  <si>
    <t>(En millones de colones</t>
  </si>
  <si>
    <t>Rubros</t>
  </si>
  <si>
    <t>Empresa A</t>
  </si>
  <si>
    <t>Empresa B</t>
  </si>
  <si>
    <t>Empresa C</t>
  </si>
  <si>
    <t>ACTIVO</t>
  </si>
  <si>
    <t xml:space="preserve">Activos Corrientes </t>
  </si>
  <si>
    <t>Bancos</t>
  </si>
  <si>
    <t>Margen Bruto</t>
  </si>
  <si>
    <t>Gasto de Administración</t>
  </si>
  <si>
    <t>Gasto de Fabricación (compras)</t>
  </si>
  <si>
    <t>Total Activos corrientes</t>
  </si>
  <si>
    <t>Gasto de comercialización</t>
  </si>
  <si>
    <t>Utilidades antes de intereses e impuestos</t>
  </si>
  <si>
    <t>Bienes de Uso (neto de amortizaciones)</t>
  </si>
  <si>
    <t>Gastos Financieros</t>
  </si>
  <si>
    <t>Impuestos renta (30%)</t>
  </si>
  <si>
    <t>PASIVO</t>
  </si>
  <si>
    <t>Utilidad Neta</t>
  </si>
  <si>
    <t>Pasivo Corriente</t>
  </si>
  <si>
    <t>Cuentas y Documentos por pagar</t>
  </si>
  <si>
    <t>Impuestos Fiscales</t>
  </si>
  <si>
    <t>Total Pasivo Corriente</t>
  </si>
  <si>
    <t>Pasivo no corriente</t>
  </si>
  <si>
    <t>Deuda por pagar L.P</t>
  </si>
  <si>
    <t>Préstamo bancario L.P</t>
  </si>
  <si>
    <t>Total Pasivo Largo Plazo</t>
  </si>
  <si>
    <t>Total del Pasivo</t>
  </si>
  <si>
    <t>PATRIMONIO NETO</t>
  </si>
  <si>
    <t>Capital social</t>
  </si>
  <si>
    <t>Utilidades Acumuladas</t>
  </si>
  <si>
    <t>Total Patrimonio Neto</t>
  </si>
  <si>
    <t>Total del Pasivo más Patrimonio Neto</t>
  </si>
  <si>
    <t>Realice un análisis financiero basado en el análisis vertical de cada una de las compañías, estableciendo cuales fortalezas y debilidades financieras que muestra cada de las compañías</t>
  </si>
  <si>
    <t>Flujo de efectivo versus ingreso contable</t>
  </si>
  <si>
    <t>Cálculo del enfoque contable y financiero</t>
  </si>
  <si>
    <t> </t>
  </si>
  <si>
    <t>CASO 1</t>
  </si>
  <si>
    <t>CASO 2</t>
  </si>
  <si>
    <t xml:space="preserve">1. Determine el Enfoque Contable y el Enfoque Financiero </t>
  </si>
  <si>
    <t xml:space="preserve">2. Interprete los resultados </t>
  </si>
  <si>
    <t>CASO 3</t>
  </si>
  <si>
    <t xml:space="preserve">Inversiones Costa Rica al cierre de año vendió un total 100 automóviles, por un valor total de $3,000,000, monto por cobrar a los clientes. Considerar que la empresa pagó al proveedor de los vehículos el importe del costo que fueron $2,200,000. </t>
  </si>
  <si>
    <t>Inversiones Costa Rica al cierre de año vendió un total 100 automóviles, por un valor total de $3,000,000. Las ventas fueron un 40% de contado y un 60% de crédito. Considerar que la empresa pagó al proveedor de los vehículos el importe del costo que fueron $2,200,000.</t>
  </si>
  <si>
    <t>Inversiones Costa Rica al cierre de año vendió un total 100 automóviles, por un valor total de $3,000,000. Las ventas fueron un 50% de contado y un 50% de crédito. Considerar que la empresa pagó al proveedor de los vehículos el importe del costo que fueron $2,200,000. 25% de contado y un 75% crédito</t>
  </si>
  <si>
    <t>FLUJOS DE EFECTIVO: Entrada y Salidas</t>
  </si>
  <si>
    <t>Según la información estudiada de flujos de efectivo, determinar entradas y salidas de efectivo:</t>
  </si>
  <si>
    <t>Son 3 ejercicios</t>
  </si>
  <si>
    <t>NOTA: acá van hacer cuatro ejercicios, los dos primeros son didácticos, el último es un ejercicio personal que ustedes harán de sus finanzas personales, esto no me lo comparten porque es privado, pero es para que pongan en práctica la teoría, les ayudará muchísimo en determinar a dónde está la mayor parte de sus salidas, y van analizar sus propios resultados</t>
  </si>
  <si>
    <t>Ejercicio 1/ Escenario 1</t>
  </si>
  <si>
    <t>Ejercicio 2/ Escenario 2</t>
  </si>
  <si>
    <t>Ejercicio 3/ Escenario 3</t>
  </si>
  <si>
    <t xml:space="preserve">Ejercicio 4/ SU FLUJO DE EFECTIVO PERSONAL </t>
  </si>
  <si>
    <r>
      <t xml:space="preserve">Pedro Dollar, una persona asalariada, necesita de </t>
    </r>
    <r>
      <rPr>
        <b/>
        <sz val="12"/>
        <color rgb="FF22190A"/>
        <rFont val="Arial"/>
        <family val="2"/>
      </rPr>
      <t>usted como asesor financiero</t>
    </r>
    <r>
      <rPr>
        <sz val="12"/>
        <color rgb="FF22190A"/>
        <rFont val="Arial"/>
        <family val="2"/>
      </rPr>
      <t>, para que le evalue sus finanzas, y a partir de los resultados de las finanzas personales de él, usted le recomendará la mejor decisión que debe tomar. Parte de las opciones financieras son:  el banco otorga créditos con un interés de 5%, también inversiones a corto plazo con tasas de 4%. No basta solo con esas recomendaciones, hay muchas más, y se espera que usted le brinde la información más razonable posible. Los flujos de efectivo de Pedro durante Setiembre fueron los siguientes</t>
    </r>
  </si>
  <si>
    <t xml:space="preserve">En el siguiente mes Pedro Dollar, tiene el siguiente flujo de efectivo, basada en la información, proceda a realizar los cálculos y la recomendación </t>
  </si>
  <si>
    <r>
      <t xml:space="preserve">En el siguiente mes Pedro Dollar, tiene una estimación </t>
    </r>
    <r>
      <rPr>
        <b/>
        <sz val="12"/>
        <color rgb="FF22190A"/>
        <rFont val="Arial"/>
        <family val="2"/>
      </rPr>
      <t xml:space="preserve"> de flujo de efectivo</t>
    </r>
    <r>
      <rPr>
        <sz val="12"/>
        <color rgb="FF22190A"/>
        <rFont val="Arial"/>
        <family val="2"/>
      </rPr>
      <t>, basada en la información, proceda a realizar los cálculos y la recomendación:</t>
    </r>
  </si>
  <si>
    <t>Este es ejercicio lo van hacer para sus finanzas personales, para que vean en qué se les está yendo el flujo de efectivo y sino están quedando de números negativos</t>
  </si>
  <si>
    <t>Flujo de efectivo de Setiembre 2023</t>
  </si>
  <si>
    <t>Flujo de efectivo de Octubre 2023</t>
  </si>
  <si>
    <t>Flujo de efectivo proyectdo de Agosto 2023</t>
  </si>
  <si>
    <t>Flujo de efectivo de (mes)</t>
  </si>
  <si>
    <t>Rubro</t>
  </si>
  <si>
    <t>Entrada de efectiva</t>
  </si>
  <si>
    <t>Salida de efectivo</t>
  </si>
  <si>
    <t>Viajes</t>
  </si>
  <si>
    <t>Intereses recibidos</t>
  </si>
  <si>
    <t>Servicios profesionales</t>
  </si>
  <si>
    <t>Comida fuera de casa</t>
  </si>
  <si>
    <t>Diario hogar</t>
  </si>
  <si>
    <t>Salario</t>
  </si>
  <si>
    <t>Pago del automóvil</t>
  </si>
  <si>
    <t>Servicios</t>
  </si>
  <si>
    <t>Hipoteca</t>
  </si>
  <si>
    <t xml:space="preserve">Gasolina </t>
  </si>
  <si>
    <t>1. Determine el total de entradas y salidas de efectivo de Pedro</t>
  </si>
  <si>
    <t>1. Determine el total de entradas y salidas de efectivo de usted</t>
  </si>
  <si>
    <r>
      <t xml:space="preserve">2. Determine el </t>
    </r>
    <r>
      <rPr>
        <b/>
        <i/>
        <sz val="12"/>
        <color rgb="FF22190A"/>
        <rFont val="Arial"/>
        <family val="2"/>
      </rPr>
      <t xml:space="preserve">flujo neto de efectivo </t>
    </r>
    <r>
      <rPr>
        <b/>
        <sz val="12"/>
        <color rgb="FF22190A"/>
        <rFont val="Arial"/>
        <family val="2"/>
      </rPr>
      <t>para el mes de Junio</t>
    </r>
  </si>
  <si>
    <r>
      <t xml:space="preserve">2. Determine el </t>
    </r>
    <r>
      <rPr>
        <b/>
        <i/>
        <sz val="12"/>
        <color rgb="FF22190A"/>
        <rFont val="Arial"/>
        <family val="2"/>
      </rPr>
      <t xml:space="preserve">flujo neto de efectivo </t>
    </r>
    <r>
      <rPr>
        <b/>
        <sz val="12"/>
        <color rgb="FF22190A"/>
        <rFont val="Arial"/>
        <family val="2"/>
      </rPr>
      <t>para el mes</t>
    </r>
  </si>
  <si>
    <t>3. Si hubiera un excedente o faltante, ¿cuál sería una estrategia prudente a poner en práctica?</t>
  </si>
  <si>
    <t>4. ¿Qué tiene de diferente este último flujo para que le dé el resultado que tiene en el flujo neto de efectivo? Es decir ¿qué es lo que hizo Pedro?</t>
  </si>
  <si>
    <t xml:space="preserve">Dismunuyó dos gastos que no son escenciales, los viajes y la comida fuera de casa </t>
  </si>
  <si>
    <t>APLICAR  ANÁLISIS VERTICAL PARA 3 EMPRESAS</t>
  </si>
  <si>
    <t>1. Prepare todo un informe financiero sobre los resultados deL análisis  vertical, debe poner 3 puntos de análisis en cada Estado Financiero.</t>
  </si>
  <si>
    <t>1. Prepare todo un informe financiero sobre los resultados deL análisis  horizontal, debe poner 3 puntos de análisis en cada Estado Financiero</t>
  </si>
  <si>
    <t>Interpretación Analisis Vertical de Balances Generales:</t>
  </si>
  <si>
    <t>Interpretación Analisis Horizontal de Balances Generales:</t>
  </si>
  <si>
    <t>Interpretación Analisis Vertical de Estados de Resultados:</t>
  </si>
  <si>
    <t>Interpretación Analisis Horizontal de Estados de Resultados:</t>
  </si>
  <si>
    <t>APLICAR RAZONES FINANCIERAS</t>
  </si>
  <si>
    <t xml:space="preserve">Estado de Resultados Inversiones CR S.A </t>
  </si>
  <si>
    <t>Inversiones CR S.A</t>
  </si>
  <si>
    <t>AÑO 2022</t>
  </si>
  <si>
    <t>Activo fijos Neto</t>
  </si>
  <si>
    <t>Total pasivo a Largo plazo</t>
  </si>
  <si>
    <t>RAZONES FINANCIERAS</t>
  </si>
  <si>
    <t>INDICE O RAZÓN</t>
  </si>
  <si>
    <t>Año 2022</t>
  </si>
  <si>
    <t>Promedio Industria 2022</t>
  </si>
  <si>
    <t>Promedio Industria 2023</t>
  </si>
  <si>
    <t>Actividad (activos)</t>
  </si>
  <si>
    <t xml:space="preserve">Razon circulante </t>
  </si>
  <si>
    <r>
      <t xml:space="preserve">Muestra la capacidad de una empresa para cubrir sus pasivos </t>
    </r>
    <r>
      <rPr>
        <b/>
        <sz val="11"/>
        <color theme="1"/>
        <rFont val="Arial Nova"/>
        <family val="2"/>
      </rPr>
      <t>corrientes (circulantes)</t>
    </r>
    <r>
      <rPr>
        <sz val="11"/>
        <color theme="1"/>
        <rFont val="Arial Nova"/>
        <family val="2"/>
      </rPr>
      <t xml:space="preserve"> con sus activos </t>
    </r>
    <r>
      <rPr>
        <b/>
        <sz val="11"/>
        <color theme="1"/>
        <rFont val="Arial Nova"/>
        <family val="2"/>
      </rPr>
      <t>circulantes (corrientes)</t>
    </r>
  </si>
  <si>
    <t>Activos circulantes</t>
  </si>
  <si>
    <t>Veces</t>
  </si>
  <si>
    <t>=</t>
  </si>
  <si>
    <t xml:space="preserve">Pasivos corrientes </t>
  </si>
  <si>
    <t xml:space="preserve">Razon prueba de ácido </t>
  </si>
  <si>
    <t>Permite conocer la capacidad de una empresa para cubrir sus pasivos corrientes (circulantes) con sus activos circulantes mas líquidos.</t>
  </si>
  <si>
    <t>Activos circulantes-Inventarios</t>
  </si>
  <si>
    <t>Razon rotación de inventarios</t>
  </si>
  <si>
    <t>Costo de la mercadería vendida</t>
  </si>
  <si>
    <t>Mide la liquidez de los inventarios de una empresa</t>
  </si>
  <si>
    <t>Inventario</t>
  </si>
  <si>
    <t>Razon periodo promedio de cobro</t>
  </si>
  <si>
    <t>días</t>
  </si>
  <si>
    <t>Mide el tiempo en que tarda una empresa para recuperar sus ventas a crédito</t>
  </si>
  <si>
    <t>Ventas anuales a crédito /365</t>
  </si>
  <si>
    <t>Razon periodo promedio de pago</t>
  </si>
  <si>
    <t>Mide el tiempo en que tarda una empresa para pagar sus compras a crédito</t>
  </si>
  <si>
    <t>Rotación activos total</t>
  </si>
  <si>
    <t>Ventas</t>
  </si>
  <si>
    <t>Mide la eficiencia con que una empresa puede emplear todos sus activos para generar ventas</t>
  </si>
  <si>
    <t>Activos totales</t>
  </si>
  <si>
    <t>Apalancamiento (endeudamiento)</t>
  </si>
  <si>
    <t>Razon endeudamiento</t>
  </si>
  <si>
    <t xml:space="preserve">Mide la proporción de una empresa en la cual utiliza deudas (pasivos) para financiar sus activos </t>
  </si>
  <si>
    <t>Pasivos totales</t>
  </si>
  <si>
    <t>%</t>
  </si>
  <si>
    <t>Rentabilidad</t>
  </si>
  <si>
    <t>Margen de utilidad bruta (UTILIDAD ANTES DE IMPUESTOS E INTERESES)</t>
  </si>
  <si>
    <t>Utilidad bruta</t>
  </si>
  <si>
    <t>Indica el porcentaje de utilidad bruta que estan generando las ventas de una empresa</t>
  </si>
  <si>
    <t>Margen de utilidad neta</t>
  </si>
  <si>
    <t>Utilidad neta</t>
  </si>
  <si>
    <t>Indica el porcentaje de utilidad neta que estan generando las ventas de una empresa</t>
  </si>
  <si>
    <t xml:space="preserve">Rentabilidad sobre activos </t>
  </si>
  <si>
    <t>Mide la eficiencia total de la administración en obtener utilidades a partir de los activos disponibles de una empresa</t>
  </si>
  <si>
    <t>Activo total</t>
  </si>
  <si>
    <t xml:space="preserve">Rentabilidad sobre patrimonio </t>
  </si>
  <si>
    <t>Mide el rendimiento de la inversión de los propietarioas (dueños) Accionistas de la empresa (comunes o preferentes)</t>
  </si>
  <si>
    <t>Patrimonio Total</t>
  </si>
  <si>
    <t>Usted es el analista de crédito del Banco El Quebrao S.A y le presentan las siguientes razones financieras de la compañía Tvfeo con el objeto de que dicha compañía dese solicitar un crédito para ampliar su planta de producción de equipo eléctrico por la suma de ¢100.0 millones, la producción podría incrementarse en un 25%, el precio de venta se mantendrá y los costos de producción pueden disminuir un 4%.</t>
  </si>
  <si>
    <t>Razón Financiera</t>
  </si>
  <si>
    <t>Promedio de la industria año 2022</t>
  </si>
  <si>
    <t>Promedio de la industria año 2023</t>
  </si>
  <si>
    <t>Razón circulante</t>
  </si>
  <si>
    <t>1.30 veces</t>
  </si>
  <si>
    <t>1.15 veces</t>
  </si>
  <si>
    <t>1.95 veces</t>
  </si>
  <si>
    <t>2.05 veces</t>
  </si>
  <si>
    <t>Razón de endeudamiento</t>
  </si>
  <si>
    <t>Periodo promedio de cobro</t>
  </si>
  <si>
    <t xml:space="preserve">45 días </t>
  </si>
  <si>
    <t>40 días</t>
  </si>
  <si>
    <t>30 días</t>
  </si>
  <si>
    <t>Razón de apalancamiento</t>
  </si>
  <si>
    <t>Rotación de activos fijos</t>
  </si>
  <si>
    <t>2.25 veces</t>
  </si>
  <si>
    <t>2.35 veces</t>
  </si>
  <si>
    <t>2.50 veces</t>
  </si>
  <si>
    <t>2.75 veces</t>
  </si>
  <si>
    <t>Rentabilidad sobre patrimonio</t>
  </si>
  <si>
    <t>Prueba de ácido</t>
  </si>
  <si>
    <t>0.70 veces</t>
  </si>
  <si>
    <t>0.65 veces</t>
  </si>
  <si>
    <t>0.85 veces</t>
  </si>
  <si>
    <t>0.95 veces</t>
  </si>
  <si>
    <t>Rotación de inventarios</t>
  </si>
  <si>
    <t>3.2 veces</t>
  </si>
  <si>
    <t>3.6 veces</t>
  </si>
  <si>
    <t>5 veces</t>
  </si>
  <si>
    <t>7 veces</t>
  </si>
  <si>
    <t>Margen de utilidad bruta</t>
  </si>
  <si>
    <t>Rotación de activo total</t>
  </si>
  <si>
    <t>1.75 veces</t>
  </si>
  <si>
    <t>1.90 veces</t>
  </si>
  <si>
    <t>Rentabilidad sobre activos</t>
  </si>
  <si>
    <t>*</t>
  </si>
  <si>
    <t>Prepare un informe de las fortalezas y debilidades de la compañía Tcfeo, en función de las razones financieras y el promedio de la industria</t>
  </si>
  <si>
    <t>Fortalezas</t>
  </si>
  <si>
    <t>Debilidades</t>
  </si>
  <si>
    <t>Emita su recomendación con relación a otorgar el crédito sí o no a la compañía Tvfeo.</t>
  </si>
  <si>
    <t>No se recomienda, ya que sus índices no llegan o se acercan al promedio de la indisutria 2022 58% y la industria 50%, adicional que una de las principales razones financieras, como lo es razón de endeudamiento y apalancamiento está un poco alta en comparación con la industria, pero sobre todo el periodo de recuperación influye en que al no recuperar rápido dinero, no pueda amortizar deuda o que pueda invertir en inventarios por ejemplo. ( año 2022)</t>
  </si>
  <si>
    <t>Se recomendaría para el año 2023 porque el porcentaje de endeudamiento es por 52% y la industria es por 53%, mejoró el periodo promedio de cobro a 40 días, pero la industria está en 30 días en el año 2023</t>
  </si>
  <si>
    <t>Que recomendación le brindaría a la compañía Tvfeo, para mejorar su situación financiera</t>
  </si>
  <si>
    <t>Revisar sus gastos, luego trabajar en mejorar el periodo de recuperación de cobro para poder tener más flujo, revisar la rotación del inventario, cuáles productos tiene poca rotabilidad, de esta forma pueda mejorar los índices.</t>
  </si>
  <si>
    <t>APLICAR  ANÁLISIS VERTICAL, RAZONES FINANCIERAS E INTERPRETACIÓN</t>
  </si>
  <si>
    <t>Fortalezas financieras</t>
  </si>
  <si>
    <t>Debilidades Financieras</t>
  </si>
  <si>
    <t>Cálcule las tazones solicitadas anteriormente, prepare el informe de análisis financiero de cada una de las empresas</t>
  </si>
  <si>
    <t>Muestra la capacidad de una empresa para cubrir sus pasivos corrientes (circulantes) con sus activos circulantes (corrientes)</t>
  </si>
  <si>
    <t>Ventas anuales a crédito/360</t>
  </si>
  <si>
    <t>Mide la duración promedio en que se tarda en pagar una compra a crédito</t>
  </si>
  <si>
    <t>Razon apalancamiento</t>
  </si>
  <si>
    <t xml:space="preserve">Mide la relación de pasivos a patrimonio y evalúa cuanto financian terceros en relación a los dueños </t>
  </si>
  <si>
    <t>En caso de determinar debilidades de las diferentes empresas, elabore recomendaciones y de qué forma se podrían aplicar dichas recomendaciones</t>
  </si>
  <si>
    <t>Recomendaciones</t>
  </si>
  <si>
    <t>Cómo se podrían aplicar</t>
  </si>
  <si>
    <t>Con base en los aspectos anteriores emita criterio como analista financiero con relación a la toma de decisiones de otorgar crédito a cada una de las empresas del caso en análisis</t>
  </si>
  <si>
    <t>Decisión</t>
  </si>
  <si>
    <t>Criterio</t>
  </si>
  <si>
    <t>Enfoque contable (Base de acumulación)</t>
  </si>
  <si>
    <t>Estado de resultados de Inversiones Costa Rica correspondiente al año que termina el 31 de diciembre 2024</t>
  </si>
  <si>
    <t>Entradas de efectivo</t>
  </si>
  <si>
    <t>menos</t>
  </si>
  <si>
    <t>Salidas de efectivo</t>
  </si>
  <si>
    <t>Flujo neto de efectivo</t>
  </si>
  <si>
    <t>Ingreso de ventas</t>
  </si>
  <si>
    <t>Costo</t>
  </si>
  <si>
    <t xml:space="preserve">Ventas: </t>
  </si>
  <si>
    <t>Contado       40%</t>
  </si>
  <si>
    <t>Credito         60%</t>
  </si>
  <si>
    <t>Contado</t>
  </si>
  <si>
    <t>Credito</t>
  </si>
  <si>
    <t>Costos:</t>
  </si>
  <si>
    <t>Entradas de Efectivo</t>
  </si>
  <si>
    <t>Total Entradas</t>
  </si>
  <si>
    <t>Salidas de Efectivo</t>
  </si>
  <si>
    <t>Total Salidas</t>
  </si>
  <si>
    <t>Flujo Neto</t>
  </si>
  <si>
    <t>Interes recibido</t>
  </si>
  <si>
    <t>Servicio profecionales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</si>
</sst>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4" formatCode="_-&quot;₡&quot;* #,##0.00_-;\-&quot;₡&quot;* #,##0.00_-;_-&quot;₡&quot;* &quot;-&quot;??_-;_-@_-"/>
    <numFmt numFmtId="43" formatCode="_-* #,##0.00_-;\-* #,##0.00_-;_-* &quot;-&quot;??_-;_-@_-"/>
    <numFmt numFmtId="164" formatCode="0_);\(0\)"/>
    <numFmt numFmtId="165" formatCode="_-* #,##0_-;\-* #,##0_-;_-* &quot;-&quot;??_-;_-@_-"/>
    <numFmt numFmtId="166" formatCode="_-[$$-409]* #,##0.00_ ;_-[$$-409]* \-#,##0.00\ ;_-[$$-409]* &quot;-&quot;??_ ;_-@_ "/>
    <numFmt numFmtId="167" formatCode="0.0%"/>
    <numFmt numFmtId="168" formatCode="_-* #,##0.0_-;\-* #,##0.0_-;_-* &quot;-&quot;??_-;_-@_-"/>
    <numFmt numFmtId="169" formatCode="_-[$$-5C0A]* #,##0.00_-;\-[$$-5C0A]* #,##0.00_-;_-[$$-5C0A]* &quot;-&quot;??_-;_-@_-"/>
    <numFmt numFmtId="170" formatCode="_ [$$-340A]* #,##0.00_ ;_ [$$-340A]* \-#,##0.00_ ;_ [$$-340A]* &quot;-&quot;??_ ;_ @_ "/>
    <numFmt numFmtId="171" formatCode="_-[$$-45C]* #,##0.00_-;\-[$$-45C]* #,##0.00_-;_-[$$-45C]* &quot;-&quot;??_-;_-@_-"/>
  </numFmts>
  <fonts count="47"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theme="1"/>
      <name val="Arial Nova"/>
      <family val="2"/>
    </font>
    <font>
      <b/>
      <sz val="16"/>
      <name val="Arial Nova"/>
      <family val="2"/>
    </font>
    <font>
      <sz val="12"/>
      <color theme="1"/>
      <name val="Arial Nova"/>
      <family val="2"/>
    </font>
    <font>
      <b/>
      <sz val="14"/>
      <color theme="1"/>
      <name val="Arial Nova"/>
      <family val="2"/>
    </font>
    <font>
      <b/>
      <sz val="11"/>
      <color theme="1"/>
      <name val="Arial Nova"/>
      <family val="2"/>
    </font>
    <font>
      <sz val="11"/>
      <color rgb="FF000000"/>
      <name val="Arial Nova"/>
      <family val="2"/>
    </font>
    <font>
      <sz val="11"/>
      <name val="Arial Nova"/>
      <family val="2"/>
    </font>
    <font>
      <sz val="11"/>
      <color rgb="FFFF0000"/>
      <name val="Arial Nova"/>
      <family val="2"/>
    </font>
    <font>
      <b/>
      <sz val="11"/>
      <color rgb="FF000000"/>
      <name val="Arial Nova"/>
      <family val="2"/>
    </font>
    <font>
      <b/>
      <sz val="11"/>
      <name val="Arial Nova"/>
      <family val="2"/>
    </font>
    <font>
      <sz val="11"/>
      <color rgb="FF0000CC"/>
      <name val="Arial Nova"/>
      <family val="2"/>
    </font>
    <font>
      <b/>
      <sz val="16"/>
      <color theme="1"/>
      <name val="Arial Nova"/>
      <family val="2"/>
    </font>
    <font>
      <b/>
      <sz val="12"/>
      <color theme="1"/>
      <name val="Arial Nova"/>
      <family val="2"/>
    </font>
    <font>
      <b/>
      <i/>
      <sz val="11"/>
      <color theme="1"/>
      <name val="Arial Nova"/>
      <family val="2"/>
    </font>
    <font>
      <b/>
      <sz val="12"/>
      <color rgb="FF000000"/>
      <name val="Arial Nova"/>
      <family val="2"/>
    </font>
    <font>
      <b/>
      <sz val="14"/>
      <name val="Arial Nova"/>
      <family val="2"/>
    </font>
    <font>
      <b/>
      <sz val="11"/>
      <color rgb="FF0000CC"/>
      <name val="Arial Nova"/>
      <family val="2"/>
    </font>
    <font>
      <b/>
      <i/>
      <sz val="11"/>
      <color rgb="FF000000"/>
      <name val="Arial Nova"/>
      <family val="2"/>
    </font>
    <font>
      <b/>
      <sz val="20"/>
      <color rgb="FF000000"/>
      <name val="Arial Nova"/>
      <family val="2"/>
    </font>
    <font>
      <sz val="12"/>
      <color rgb="FF000000"/>
      <name val="Arial Nova"/>
      <family val="2"/>
    </font>
    <font>
      <sz val="12"/>
      <color rgb="FF006100"/>
      <name val="Arial Nova"/>
      <family val="2"/>
    </font>
    <font>
      <b/>
      <sz val="20"/>
      <color theme="1"/>
      <name val="Arial"/>
      <family val="2"/>
    </font>
    <font>
      <sz val="12"/>
      <color theme="1"/>
      <name val="Arial"/>
      <family val="2"/>
    </font>
    <font>
      <b/>
      <sz val="18"/>
      <color rgb="FF22190A"/>
      <name val="Arial"/>
      <family val="2"/>
    </font>
    <font>
      <b/>
      <sz val="16"/>
      <color theme="1"/>
      <name val="Arial"/>
      <family val="2"/>
    </font>
    <font>
      <b/>
      <sz val="12"/>
      <color theme="1"/>
      <name val="Arial"/>
      <family val="2"/>
    </font>
    <font>
      <b/>
      <sz val="12"/>
      <color rgb="FF0000CC"/>
      <name val="Arial Nova"/>
      <family val="2"/>
    </font>
    <font>
      <b/>
      <sz val="12"/>
      <color rgb="FF6600FF"/>
      <name val="Arial Nova"/>
      <family val="2"/>
    </font>
    <font>
      <b/>
      <sz val="12"/>
      <color rgb="FF008000"/>
      <name val="Arial Nova"/>
      <family val="2"/>
    </font>
    <font>
      <sz val="12"/>
      <color rgb="FF22190A"/>
      <name val="Arial"/>
      <family val="2"/>
    </font>
    <font>
      <b/>
      <sz val="12"/>
      <color rgb="FF22190A"/>
      <name val="Arial"/>
      <family val="2"/>
    </font>
    <font>
      <b/>
      <i/>
      <sz val="12"/>
      <color rgb="FF22190A"/>
      <name val="Arial"/>
      <family val="2"/>
    </font>
    <font>
      <b/>
      <sz val="14"/>
      <color rgb="FF0000CC"/>
      <name val="Arial Nova"/>
      <family val="2"/>
    </font>
    <font>
      <sz val="11"/>
      <color rgb="FF9C0006"/>
      <name val="Aptos Narrow"/>
      <family val="2"/>
      <scheme val="minor"/>
    </font>
    <font>
      <sz val="10"/>
      <name val="Arial"/>
    </font>
    <font>
      <sz val="10"/>
      <name val="Arial"/>
      <family val="2"/>
    </font>
    <font>
      <b/>
      <sz val="24"/>
      <color theme="1"/>
      <name val="Arial Nova"/>
      <family val="2"/>
    </font>
    <font>
      <sz val="11"/>
      <color rgb="FF9C0006"/>
      <name val="Arial Nova"/>
      <family val="2"/>
    </font>
    <font>
      <sz val="12"/>
      <color theme="1"/>
      <name val="Arial Nova"/>
    </font>
    <font>
      <b/>
      <sz val="12"/>
      <color theme="1"/>
      <name val="Arial Nova"/>
    </font>
    <font>
      <b/>
      <sz val="12"/>
      <color rgb="FFFF0000"/>
      <name val="Arial Nova"/>
      <family val="2"/>
    </font>
    <font>
      <b/>
      <sz val="12"/>
      <name val="Arial Nova"/>
      <family val="2"/>
    </font>
    <font>
      <sz val="12"/>
      <color rgb="FFFF0000"/>
      <name val="Arial Nova"/>
      <family val="2"/>
    </font>
    <font>
      <sz val="12"/>
      <color theme="9"/>
      <name val="Arial Nova"/>
      <family val="2"/>
    </font>
  </fonts>
  <fills count="17">
    <fill>
      <patternFill patternType="none"/>
    </fill>
    <fill>
      <patternFill patternType="gray125"/>
    </fill>
    <fill>
      <patternFill patternType="solid">
        <fgColor rgb="FFC6EFCE"/>
      </patternFill>
    </fill>
    <fill>
      <patternFill patternType="solid">
        <fgColor theme="7" tint="0.59999389629810485"/>
        <bgColor indexed="65"/>
      </patternFill>
    </fill>
    <fill>
      <patternFill patternType="solid">
        <fgColor rgb="FFCCFF66"/>
        <bgColor indexed="64"/>
      </patternFill>
    </fill>
    <fill>
      <patternFill patternType="solid">
        <fgColor rgb="FFCCCCFF"/>
        <bgColor indexed="64"/>
      </patternFill>
    </fill>
    <fill>
      <patternFill patternType="solid">
        <fgColor rgb="FFCCFF99"/>
        <bgColor indexed="64"/>
      </patternFill>
    </fill>
    <fill>
      <patternFill patternType="solid">
        <fgColor rgb="FFCCFFFF"/>
        <bgColor indexed="64"/>
      </patternFill>
    </fill>
    <fill>
      <patternFill patternType="solid">
        <fgColor rgb="FF99FFCC"/>
        <bgColor indexed="64"/>
      </patternFill>
    </fill>
    <fill>
      <patternFill patternType="solid">
        <fgColor rgb="FFCCFFCC"/>
        <bgColor indexed="64"/>
      </patternFill>
    </fill>
    <fill>
      <patternFill patternType="solid">
        <fgColor rgb="FFCCECFF"/>
        <bgColor indexed="64"/>
      </patternFill>
    </fill>
    <fill>
      <patternFill patternType="solid">
        <fgColor rgb="FFFF99CC"/>
        <bgColor indexed="64"/>
      </patternFill>
    </fill>
    <fill>
      <patternFill patternType="solid">
        <fgColor rgb="FF8ADECA"/>
        <bgColor indexed="64"/>
      </patternFill>
    </fill>
    <fill>
      <patternFill patternType="solid">
        <fgColor rgb="FFFFFF00"/>
        <bgColor indexed="64"/>
      </patternFill>
    </fill>
    <fill>
      <patternFill patternType="solid">
        <fgColor rgb="FFFFFFCC"/>
      </patternFill>
    </fill>
    <fill>
      <patternFill patternType="solid">
        <fgColor rgb="FFFFC7CE"/>
      </patternFill>
    </fill>
    <fill>
      <patternFill patternType="solid">
        <fgColor theme="0"/>
        <bgColor indexed="64"/>
      </patternFill>
    </fill>
  </fills>
  <borders count="49">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indexed="64"/>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rgb="FF000000"/>
      </top>
      <bottom style="double">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style="medium">
        <color indexed="64"/>
      </left>
      <right/>
      <top style="thin">
        <color auto="1"/>
      </top>
      <bottom/>
      <diagonal/>
    </border>
    <border>
      <left/>
      <right style="medium">
        <color indexed="64"/>
      </right>
      <top style="thin">
        <color auto="1"/>
      </top>
      <bottom/>
      <diagonal/>
    </border>
    <border>
      <left style="thin">
        <color auto="1"/>
      </left>
      <right/>
      <top style="double">
        <color indexed="64"/>
      </top>
      <bottom/>
      <diagonal/>
    </border>
    <border>
      <left/>
      <right/>
      <top style="double">
        <color indexed="64"/>
      </top>
      <bottom/>
      <diagonal/>
    </border>
    <border>
      <left/>
      <right style="thin">
        <color auto="1"/>
      </right>
      <top style="double">
        <color indexed="64"/>
      </top>
      <bottom/>
      <diagonal/>
    </border>
  </borders>
  <cellStyleXfs count="16">
    <xf numFmtId="0" fontId="0" fillId="0" borderId="0"/>
    <xf numFmtId="0" fontId="2" fillId="2" borderId="0" applyNumberFormat="0" applyBorder="0" applyAlignment="0" applyProtection="0"/>
    <xf numFmtId="0" fontId="1" fillId="3" borderId="0" applyNumberFormat="0" applyBorder="0" applyAlignment="0" applyProtection="0"/>
    <xf numFmtId="0" fontId="1" fillId="0" borderId="0"/>
    <xf numFmtId="41"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14" borderId="37" applyNumberFormat="0" applyFont="0" applyAlignment="0" applyProtection="0"/>
    <xf numFmtId="0" fontId="36" fillId="15" borderId="0" applyNumberFormat="0" applyBorder="0" applyAlignment="0" applyProtection="0"/>
    <xf numFmtId="0" fontId="37" fillId="0" borderId="0"/>
    <xf numFmtId="9" fontId="38" fillId="0" borderId="0" applyFont="0" applyFill="0" applyBorder="0" applyAlignment="0" applyProtection="0"/>
    <xf numFmtId="41" fontId="37" fillId="0" borderId="0" applyFont="0" applyFill="0" applyBorder="0" applyAlignment="0" applyProtection="0"/>
    <xf numFmtId="43" fontId="37" fillId="0" borderId="0" applyFont="0" applyFill="0" applyBorder="0" applyAlignment="0" applyProtection="0"/>
    <xf numFmtId="0" fontId="38" fillId="0" borderId="0"/>
    <xf numFmtId="44" fontId="1" fillId="0" borderId="0" applyFont="0" applyFill="0" applyBorder="0" applyAlignment="0" applyProtection="0"/>
    <xf numFmtId="9" fontId="1" fillId="0" borderId="0" applyFont="0" applyFill="0" applyBorder="0" applyAlignment="0" applyProtection="0"/>
  </cellStyleXfs>
  <cellXfs count="759">
    <xf numFmtId="0" fontId="0" fillId="0" borderId="0" xfId="0"/>
    <xf numFmtId="0" fontId="3" fillId="0" borderId="0" xfId="3" applyFont="1"/>
    <xf numFmtId="0" fontId="6" fillId="0" borderId="0" xfId="3" applyFont="1"/>
    <xf numFmtId="0" fontId="7" fillId="0" borderId="0" xfId="3" applyFont="1" applyAlignment="1">
      <alignment horizontal="center"/>
    </xf>
    <xf numFmtId="0" fontId="3" fillId="0" borderId="0" xfId="3" applyFont="1" applyAlignment="1">
      <alignment horizontal="center"/>
    </xf>
    <xf numFmtId="0" fontId="7" fillId="0" borderId="0" xfId="3" applyFont="1"/>
    <xf numFmtId="0" fontId="3" fillId="0" borderId="1" xfId="3" applyFont="1" applyBorder="1"/>
    <xf numFmtId="0" fontId="7" fillId="0" borderId="4" xfId="3" applyFont="1" applyBorder="1" applyAlignment="1">
      <alignment horizontal="center"/>
    </xf>
    <xf numFmtId="0" fontId="7" fillId="0" borderId="5" xfId="3" applyFont="1" applyBorder="1" applyAlignment="1">
      <alignment horizontal="center"/>
    </xf>
    <xf numFmtId="0" fontId="7" fillId="0" borderId="6" xfId="3" applyFont="1" applyBorder="1" applyAlignment="1">
      <alignment horizontal="center"/>
    </xf>
    <xf numFmtId="0" fontId="7" fillId="0" borderId="6" xfId="3" applyFont="1" applyBorder="1"/>
    <xf numFmtId="41" fontId="7" fillId="0" borderId="6" xfId="4" applyFont="1" applyBorder="1"/>
    <xf numFmtId="9" fontId="7" fillId="0" borderId="7" xfId="5" applyFont="1" applyBorder="1" applyAlignment="1">
      <alignment horizontal="center"/>
    </xf>
    <xf numFmtId="9" fontId="7" fillId="0" borderId="0" xfId="5" applyFont="1" applyBorder="1" applyAlignment="1">
      <alignment horizontal="center"/>
    </xf>
    <xf numFmtId="1" fontId="7" fillId="0" borderId="0" xfId="4" applyNumberFormat="1" applyFont="1" applyBorder="1" applyAlignment="1">
      <alignment horizontal="center"/>
    </xf>
    <xf numFmtId="41" fontId="7" fillId="0" borderId="6" xfId="3" applyNumberFormat="1" applyFont="1" applyBorder="1"/>
    <xf numFmtId="10" fontId="7" fillId="0" borderId="0" xfId="5" applyNumberFormat="1" applyFont="1" applyBorder="1" applyAlignment="1">
      <alignment horizontal="center"/>
    </xf>
    <xf numFmtId="10" fontId="7" fillId="0" borderId="0" xfId="5" applyNumberFormat="1" applyFont="1"/>
    <xf numFmtId="0" fontId="8" fillId="0" borderId="6" xfId="3" applyFont="1" applyBorder="1"/>
    <xf numFmtId="41" fontId="3" fillId="0" borderId="6" xfId="4" applyFont="1" applyBorder="1"/>
    <xf numFmtId="10" fontId="3" fillId="0" borderId="8" xfId="5" applyNumberFormat="1" applyFont="1" applyBorder="1" applyAlignment="1">
      <alignment horizontal="center"/>
    </xf>
    <xf numFmtId="9" fontId="9" fillId="0" borderId="7" xfId="5" applyFont="1" applyBorder="1" applyAlignment="1">
      <alignment horizontal="center"/>
    </xf>
    <xf numFmtId="10" fontId="10" fillId="0" borderId="0" xfId="5" applyNumberFormat="1" applyFont="1" applyBorder="1" applyAlignment="1">
      <alignment horizontal="center"/>
    </xf>
    <xf numFmtId="10" fontId="3" fillId="0" borderId="0" xfId="5" applyNumberFormat="1" applyFont="1" applyBorder="1" applyAlignment="1">
      <alignment horizontal="center"/>
    </xf>
    <xf numFmtId="164" fontId="3" fillId="0" borderId="0" xfId="4" applyNumberFormat="1" applyFont="1" applyBorder="1" applyAlignment="1">
      <alignment horizontal="center"/>
    </xf>
    <xf numFmtId="10" fontId="3" fillId="0" borderId="0" xfId="5" applyNumberFormat="1" applyFont="1"/>
    <xf numFmtId="41" fontId="7" fillId="0" borderId="1" xfId="4" applyFont="1" applyBorder="1"/>
    <xf numFmtId="1" fontId="3" fillId="0" borderId="0" xfId="4" applyNumberFormat="1" applyFont="1" applyBorder="1" applyAlignment="1">
      <alignment horizontal="center"/>
    </xf>
    <xf numFmtId="0" fontId="11" fillId="0" borderId="6" xfId="3" applyFont="1" applyBorder="1"/>
    <xf numFmtId="41" fontId="7" fillId="0" borderId="2" xfId="4" applyFont="1" applyBorder="1"/>
    <xf numFmtId="41" fontId="12" fillId="0" borderId="2" xfId="4" applyFont="1" applyBorder="1"/>
    <xf numFmtId="41" fontId="12" fillId="0" borderId="1" xfId="4" applyFont="1" applyBorder="1"/>
    <xf numFmtId="0" fontId="7" fillId="0" borderId="9" xfId="3" applyFont="1" applyBorder="1"/>
    <xf numFmtId="9" fontId="3" fillId="0" borderId="0" xfId="3" applyNumberFormat="1" applyFont="1" applyAlignment="1">
      <alignment horizontal="center"/>
    </xf>
    <xf numFmtId="9" fontId="3" fillId="0" borderId="0" xfId="5" applyFont="1"/>
    <xf numFmtId="0" fontId="14" fillId="0" borderId="0" xfId="3" applyFont="1"/>
    <xf numFmtId="0" fontId="15" fillId="5" borderId="0" xfId="3" applyFont="1" applyFill="1"/>
    <xf numFmtId="0" fontId="3" fillId="5" borderId="0" xfId="3" applyFont="1" applyFill="1"/>
    <xf numFmtId="0" fontId="7" fillId="0" borderId="1" xfId="3" applyFont="1" applyBorder="1" applyAlignment="1">
      <alignment horizontal="center"/>
    </xf>
    <xf numFmtId="0" fontId="3" fillId="0" borderId="6" xfId="3" applyFont="1" applyBorder="1" applyAlignment="1">
      <alignment horizontal="center"/>
    </xf>
    <xf numFmtId="0" fontId="3" fillId="0" borderId="7" xfId="3" applyFont="1" applyBorder="1" applyAlignment="1">
      <alignment horizontal="center"/>
    </xf>
    <xf numFmtId="0" fontId="3" fillId="0" borderId="7" xfId="3" applyFont="1" applyBorder="1"/>
    <xf numFmtId="0" fontId="3" fillId="0" borderId="6" xfId="3" applyFont="1" applyBorder="1"/>
    <xf numFmtId="165" fontId="3" fillId="0" borderId="6" xfId="6" applyNumberFormat="1" applyFont="1" applyFill="1" applyBorder="1"/>
    <xf numFmtId="165" fontId="3" fillId="0" borderId="0" xfId="6" applyNumberFormat="1" applyFont="1" applyFill="1" applyBorder="1"/>
    <xf numFmtId="165" fontId="3" fillId="0" borderId="0" xfId="3" applyNumberFormat="1" applyFont="1"/>
    <xf numFmtId="10" fontId="3" fillId="0" borderId="0" xfId="5" applyNumberFormat="1" applyFont="1" applyFill="1" applyBorder="1"/>
    <xf numFmtId="43" fontId="3" fillId="0" borderId="0" xfId="6" applyFont="1" applyFill="1" applyBorder="1"/>
    <xf numFmtId="10" fontId="3" fillId="0" borderId="7" xfId="5" applyNumberFormat="1" applyFont="1" applyFill="1" applyBorder="1"/>
    <xf numFmtId="165" fontId="9" fillId="0" borderId="6" xfId="6" applyNumberFormat="1" applyFont="1" applyFill="1" applyBorder="1"/>
    <xf numFmtId="165" fontId="9" fillId="0" borderId="0" xfId="6" applyNumberFormat="1" applyFont="1" applyFill="1" applyBorder="1"/>
    <xf numFmtId="43" fontId="9" fillId="0" borderId="0" xfId="6" applyFont="1" applyFill="1" applyBorder="1"/>
    <xf numFmtId="165" fontId="3" fillId="0" borderId="9" xfId="6" applyNumberFormat="1" applyFont="1" applyFill="1" applyBorder="1"/>
    <xf numFmtId="165" fontId="3" fillId="0" borderId="10" xfId="6" applyNumberFormat="1" applyFont="1" applyFill="1" applyBorder="1"/>
    <xf numFmtId="10" fontId="3" fillId="0" borderId="10" xfId="5" applyNumberFormat="1" applyFont="1" applyFill="1" applyBorder="1"/>
    <xf numFmtId="10" fontId="3" fillId="0" borderId="8" xfId="5" applyNumberFormat="1" applyFont="1" applyFill="1" applyBorder="1"/>
    <xf numFmtId="165" fontId="7" fillId="0" borderId="2" xfId="6" applyNumberFormat="1" applyFont="1" applyFill="1" applyBorder="1"/>
    <xf numFmtId="165" fontId="16" fillId="0" borderId="3" xfId="6" applyNumberFormat="1" applyFont="1" applyFill="1" applyBorder="1"/>
    <xf numFmtId="0" fontId="16" fillId="0" borderId="0" xfId="3" applyFont="1"/>
    <xf numFmtId="10" fontId="16" fillId="0" borderId="12" xfId="5" applyNumberFormat="1" applyFont="1" applyFill="1" applyBorder="1"/>
    <xf numFmtId="165" fontId="16" fillId="0" borderId="12" xfId="6" applyNumberFormat="1" applyFont="1" applyFill="1" applyBorder="1"/>
    <xf numFmtId="10" fontId="16" fillId="0" borderId="3" xfId="5" applyNumberFormat="1" applyFont="1" applyFill="1" applyBorder="1"/>
    <xf numFmtId="165" fontId="3" fillId="0" borderId="1" xfId="6" applyNumberFormat="1" applyFont="1" applyFill="1" applyBorder="1"/>
    <xf numFmtId="165" fontId="3" fillId="0" borderId="5" xfId="6" applyNumberFormat="1" applyFont="1" applyFill="1" applyBorder="1"/>
    <xf numFmtId="10" fontId="3" fillId="0" borderId="4" xfId="5" applyNumberFormat="1" applyFont="1" applyFill="1" applyBorder="1"/>
    <xf numFmtId="43" fontId="3" fillId="0" borderId="4" xfId="6" applyFont="1" applyFill="1" applyBorder="1"/>
    <xf numFmtId="10" fontId="3" fillId="0" borderId="5" xfId="5" applyNumberFormat="1" applyFont="1" applyFill="1" applyBorder="1"/>
    <xf numFmtId="165" fontId="3" fillId="0" borderId="4" xfId="6" applyNumberFormat="1" applyFont="1" applyFill="1" applyBorder="1"/>
    <xf numFmtId="165" fontId="3" fillId="0" borderId="6" xfId="3" applyNumberFormat="1" applyFont="1" applyBorder="1"/>
    <xf numFmtId="165" fontId="10" fillId="0" borderId="9" xfId="3" applyNumberFormat="1" applyFont="1" applyBorder="1"/>
    <xf numFmtId="165" fontId="10" fillId="0" borderId="10" xfId="3" applyNumberFormat="1" applyFont="1" applyBorder="1"/>
    <xf numFmtId="0" fontId="10" fillId="0" borderId="0" xfId="3" applyFont="1"/>
    <xf numFmtId="165" fontId="7" fillId="0" borderId="2" xfId="3" applyNumberFormat="1" applyFont="1" applyBorder="1"/>
    <xf numFmtId="10" fontId="7" fillId="0" borderId="12" xfId="5" applyNumberFormat="1" applyFont="1" applyFill="1" applyBorder="1"/>
    <xf numFmtId="10" fontId="7" fillId="0" borderId="3" xfId="5" applyNumberFormat="1" applyFont="1" applyFill="1" applyBorder="1"/>
    <xf numFmtId="165" fontId="7" fillId="5" borderId="6" xfId="3" applyNumberFormat="1" applyFont="1" applyFill="1" applyBorder="1"/>
    <xf numFmtId="165" fontId="7" fillId="5" borderId="13" xfId="3" applyNumberFormat="1" applyFont="1" applyFill="1" applyBorder="1"/>
    <xf numFmtId="0" fontId="7" fillId="5" borderId="0" xfId="3" applyFont="1" applyFill="1"/>
    <xf numFmtId="10" fontId="7" fillId="5" borderId="0" xfId="3" applyNumberFormat="1" applyFont="1" applyFill="1"/>
    <xf numFmtId="9" fontId="7" fillId="5" borderId="0" xfId="3" applyNumberFormat="1" applyFont="1" applyFill="1"/>
    <xf numFmtId="9" fontId="3" fillId="5" borderId="7" xfId="3" applyNumberFormat="1" applyFont="1" applyFill="1" applyBorder="1"/>
    <xf numFmtId="0" fontId="3" fillId="0" borderId="13" xfId="3" applyFont="1" applyBorder="1"/>
    <xf numFmtId="9" fontId="7" fillId="0" borderId="4" xfId="3" applyNumberFormat="1" applyFont="1" applyBorder="1"/>
    <xf numFmtId="0" fontId="3" fillId="0" borderId="5" xfId="3" applyFont="1" applyBorder="1"/>
    <xf numFmtId="0" fontId="15" fillId="6" borderId="0" xfId="3" applyFont="1" applyFill="1"/>
    <xf numFmtId="0" fontId="3" fillId="0" borderId="4" xfId="3" applyFont="1" applyBorder="1"/>
    <xf numFmtId="165" fontId="3" fillId="0" borderId="7" xfId="6" applyNumberFormat="1" applyFont="1" applyFill="1" applyBorder="1"/>
    <xf numFmtId="43" fontId="3" fillId="0" borderId="10" xfId="6" applyFont="1" applyFill="1" applyBorder="1"/>
    <xf numFmtId="43" fontId="7" fillId="0" borderId="2" xfId="6" applyFont="1" applyFill="1" applyBorder="1"/>
    <xf numFmtId="43" fontId="12" fillId="0" borderId="3" xfId="6" applyFont="1" applyFill="1" applyBorder="1"/>
    <xf numFmtId="10" fontId="12" fillId="0" borderId="12" xfId="5" applyNumberFormat="1" applyFont="1" applyFill="1" applyBorder="1"/>
    <xf numFmtId="43" fontId="12" fillId="0" borderId="12" xfId="6" applyFont="1" applyFill="1" applyBorder="1"/>
    <xf numFmtId="10" fontId="12" fillId="0" borderId="3" xfId="5" applyNumberFormat="1" applyFont="1" applyFill="1" applyBorder="1"/>
    <xf numFmtId="43" fontId="3" fillId="0" borderId="1" xfId="6" applyFont="1" applyFill="1" applyBorder="1"/>
    <xf numFmtId="43" fontId="9" fillId="0" borderId="5" xfId="6" applyFont="1" applyFill="1" applyBorder="1"/>
    <xf numFmtId="10" fontId="9" fillId="0" borderId="4" xfId="5" applyNumberFormat="1" applyFont="1" applyFill="1" applyBorder="1"/>
    <xf numFmtId="43" fontId="9" fillId="0" borderId="4" xfId="6" applyFont="1" applyFill="1" applyBorder="1"/>
    <xf numFmtId="10" fontId="9" fillId="0" borderId="5" xfId="5" applyNumberFormat="1" applyFont="1" applyFill="1" applyBorder="1"/>
    <xf numFmtId="165" fontId="3" fillId="0" borderId="9" xfId="6" applyNumberFormat="1" applyFont="1" applyBorder="1"/>
    <xf numFmtId="165" fontId="3" fillId="0" borderId="8" xfId="6" applyNumberFormat="1" applyFont="1" applyBorder="1"/>
    <xf numFmtId="0" fontId="8" fillId="0" borderId="0" xfId="3" applyFont="1"/>
    <xf numFmtId="10" fontId="3" fillId="0" borderId="10" xfId="5" applyNumberFormat="1" applyFont="1" applyBorder="1"/>
    <xf numFmtId="43" fontId="3" fillId="0" borderId="10" xfId="6" applyFont="1" applyBorder="1"/>
    <xf numFmtId="165" fontId="3" fillId="0" borderId="10" xfId="6" applyNumberFormat="1" applyFont="1" applyBorder="1"/>
    <xf numFmtId="10" fontId="3" fillId="0" borderId="8" xfId="5" applyNumberFormat="1" applyFont="1" applyBorder="1"/>
    <xf numFmtId="165" fontId="7" fillId="6" borderId="9" xfId="6" applyNumberFormat="1" applyFont="1" applyFill="1" applyBorder="1"/>
    <xf numFmtId="165" fontId="7" fillId="6" borderId="8" xfId="6" applyNumberFormat="1" applyFont="1" applyFill="1" applyBorder="1"/>
    <xf numFmtId="0" fontId="11" fillId="6" borderId="0" xfId="3" applyFont="1" applyFill="1"/>
    <xf numFmtId="0" fontId="7" fillId="6" borderId="0" xfId="3" applyFont="1" applyFill="1"/>
    <xf numFmtId="0" fontId="7" fillId="6" borderId="10" xfId="3" applyFont="1" applyFill="1" applyBorder="1"/>
    <xf numFmtId="10" fontId="12" fillId="6" borderId="10" xfId="5" applyNumberFormat="1" applyFont="1" applyFill="1" applyBorder="1"/>
    <xf numFmtId="165" fontId="7" fillId="6" borderId="10" xfId="6" applyNumberFormat="1" applyFont="1" applyFill="1" applyBorder="1"/>
    <xf numFmtId="10" fontId="7" fillId="6" borderId="8" xfId="6" applyNumberFormat="1" applyFont="1" applyFill="1" applyBorder="1"/>
    <xf numFmtId="0" fontId="11" fillId="0" borderId="0" xfId="3" applyFont="1"/>
    <xf numFmtId="165" fontId="3" fillId="0" borderId="6" xfId="6" applyNumberFormat="1" applyFont="1" applyBorder="1"/>
    <xf numFmtId="165" fontId="3" fillId="0" borderId="7" xfId="6" applyNumberFormat="1" applyFont="1" applyBorder="1"/>
    <xf numFmtId="165" fontId="3" fillId="0" borderId="0" xfId="6" applyNumberFormat="1" applyFont="1" applyBorder="1"/>
    <xf numFmtId="10" fontId="3" fillId="0" borderId="0" xfId="5" applyNumberFormat="1" applyFont="1" applyBorder="1"/>
    <xf numFmtId="10" fontId="3" fillId="0" borderId="0" xfId="6" applyNumberFormat="1" applyFont="1" applyBorder="1"/>
    <xf numFmtId="43" fontId="3" fillId="0" borderId="1" xfId="6" applyFont="1" applyBorder="1"/>
    <xf numFmtId="43" fontId="3" fillId="0" borderId="5" xfId="6" applyFont="1" applyBorder="1"/>
    <xf numFmtId="0" fontId="17" fillId="7" borderId="0" xfId="3" applyFont="1" applyFill="1" applyAlignment="1">
      <alignment horizontal="justify" vertical="center"/>
    </xf>
    <xf numFmtId="43" fontId="3" fillId="0" borderId="4" xfId="6" applyFont="1" applyBorder="1"/>
    <xf numFmtId="10" fontId="3" fillId="0" borderId="7" xfId="5" applyNumberFormat="1" applyFont="1" applyBorder="1"/>
    <xf numFmtId="0" fontId="11" fillId="7" borderId="0" xfId="3" applyFont="1" applyFill="1"/>
    <xf numFmtId="165" fontId="7" fillId="7" borderId="2" xfId="6" applyNumberFormat="1" applyFont="1" applyFill="1" applyBorder="1"/>
    <xf numFmtId="0" fontId="7" fillId="7" borderId="0" xfId="3" applyFont="1" applyFill="1"/>
    <xf numFmtId="10" fontId="7" fillId="7" borderId="12" xfId="5" applyNumberFormat="1" applyFont="1" applyFill="1" applyBorder="1"/>
    <xf numFmtId="10" fontId="7" fillId="7" borderId="3" xfId="5" applyNumberFormat="1" applyFont="1" applyFill="1" applyBorder="1"/>
    <xf numFmtId="165" fontId="7" fillId="0" borderId="6" xfId="6" applyNumberFormat="1" applyFont="1" applyFill="1" applyBorder="1"/>
    <xf numFmtId="165" fontId="7" fillId="0" borderId="7" xfId="6" applyNumberFormat="1" applyFont="1" applyFill="1" applyBorder="1"/>
    <xf numFmtId="165" fontId="7" fillId="0" borderId="0" xfId="6" applyNumberFormat="1" applyFont="1" applyFill="1" applyBorder="1"/>
    <xf numFmtId="10" fontId="7" fillId="0" borderId="0" xfId="5" applyNumberFormat="1" applyFont="1" applyFill="1" applyBorder="1"/>
    <xf numFmtId="165" fontId="7" fillId="5" borderId="9" xfId="6" applyNumberFormat="1" applyFont="1" applyFill="1" applyBorder="1"/>
    <xf numFmtId="165" fontId="7" fillId="5" borderId="8" xfId="6" applyNumberFormat="1" applyFont="1" applyFill="1" applyBorder="1"/>
    <xf numFmtId="0" fontId="11" fillId="5" borderId="0" xfId="3" applyFont="1" applyFill="1"/>
    <xf numFmtId="165" fontId="7" fillId="5" borderId="14" xfId="6" applyNumberFormat="1" applyFont="1" applyFill="1" applyBorder="1"/>
    <xf numFmtId="9" fontId="7" fillId="5" borderId="14" xfId="5" applyFont="1" applyFill="1" applyBorder="1"/>
    <xf numFmtId="10" fontId="7" fillId="5" borderId="14" xfId="6" applyNumberFormat="1" applyFont="1" applyFill="1" applyBorder="1"/>
    <xf numFmtId="43" fontId="7" fillId="5" borderId="14" xfId="6" applyFont="1" applyFill="1" applyBorder="1"/>
    <xf numFmtId="0" fontId="18" fillId="0" borderId="0" xfId="3" applyFont="1" applyAlignment="1">
      <alignment horizontal="center" wrapText="1"/>
    </xf>
    <xf numFmtId="0" fontId="12" fillId="0" borderId="0" xfId="3" applyFont="1" applyAlignment="1">
      <alignment horizontal="center" vertical="center"/>
    </xf>
    <xf numFmtId="0" fontId="3" fillId="0" borderId="0" xfId="3" applyFont="1" applyAlignment="1">
      <alignment vertical="center" wrapText="1"/>
    </xf>
    <xf numFmtId="0" fontId="19" fillId="0" borderId="0" xfId="3" applyFont="1" applyAlignment="1">
      <alignment horizontal="center" vertical="center"/>
    </xf>
    <xf numFmtId="0" fontId="19" fillId="0" borderId="0" xfId="3" applyFont="1" applyAlignment="1">
      <alignment horizontal="left" vertical="center" wrapText="1"/>
    </xf>
    <xf numFmtId="0" fontId="7" fillId="0" borderId="0" xfId="3" applyFont="1" applyAlignment="1">
      <alignment vertical="center"/>
    </xf>
    <xf numFmtId="0" fontId="7" fillId="0" borderId="0" xfId="3" applyFont="1" applyAlignment="1">
      <alignment vertical="center" wrapText="1"/>
    </xf>
    <xf numFmtId="0" fontId="13" fillId="0" borderId="0" xfId="3" applyFont="1" applyAlignment="1">
      <alignment horizontal="center" vertical="center"/>
    </xf>
    <xf numFmtId="0" fontId="13" fillId="0" borderId="0" xfId="3" applyFont="1" applyAlignment="1">
      <alignment horizontal="left" vertical="center" wrapText="1"/>
    </xf>
    <xf numFmtId="0" fontId="15" fillId="0" borderId="15" xfId="3" applyFont="1" applyBorder="1"/>
    <xf numFmtId="0" fontId="3" fillId="0" borderId="16" xfId="3" applyFont="1" applyBorder="1"/>
    <xf numFmtId="0" fontId="3" fillId="0" borderId="17" xfId="3" applyFont="1" applyBorder="1"/>
    <xf numFmtId="0" fontId="15" fillId="0" borderId="18" xfId="3" applyFont="1" applyBorder="1"/>
    <xf numFmtId="0" fontId="3" fillId="0" borderId="19" xfId="3" applyFont="1" applyBorder="1"/>
    <xf numFmtId="0" fontId="3" fillId="0" borderId="18" xfId="3" applyFont="1" applyBorder="1"/>
    <xf numFmtId="0" fontId="7" fillId="0" borderId="19" xfId="3" applyFont="1" applyBorder="1"/>
    <xf numFmtId="0" fontId="7" fillId="9" borderId="18" xfId="3" applyFont="1" applyFill="1" applyBorder="1"/>
    <xf numFmtId="0" fontId="3" fillId="9" borderId="0" xfId="3" applyFont="1" applyFill="1"/>
    <xf numFmtId="0" fontId="3" fillId="9" borderId="19" xfId="3" applyFont="1" applyFill="1" applyBorder="1"/>
    <xf numFmtId="0" fontId="3" fillId="0" borderId="19" xfId="3" applyFont="1" applyBorder="1" applyAlignment="1">
      <alignment horizontal="center"/>
    </xf>
    <xf numFmtId="0" fontId="10" fillId="0" borderId="0" xfId="3" applyFont="1" applyAlignment="1">
      <alignment horizontal="center"/>
    </xf>
    <xf numFmtId="0" fontId="10" fillId="0" borderId="19" xfId="3" applyFont="1" applyBorder="1" applyAlignment="1">
      <alignment horizontal="center"/>
    </xf>
    <xf numFmtId="0" fontId="7" fillId="0" borderId="19" xfId="3" applyFont="1" applyBorder="1" applyAlignment="1">
      <alignment horizontal="center"/>
    </xf>
    <xf numFmtId="0" fontId="10" fillId="10" borderId="0" xfId="3" applyFont="1" applyFill="1" applyAlignment="1">
      <alignment horizontal="center"/>
    </xf>
    <xf numFmtId="0" fontId="10" fillId="10" borderId="19" xfId="3" applyFont="1" applyFill="1" applyBorder="1" applyAlignment="1">
      <alignment horizontal="center"/>
    </xf>
    <xf numFmtId="0" fontId="16" fillId="0" borderId="18" xfId="3" applyFont="1" applyBorder="1"/>
    <xf numFmtId="0" fontId="16" fillId="0" borderId="19" xfId="3" applyFont="1" applyBorder="1"/>
    <xf numFmtId="0" fontId="7" fillId="9" borderId="0" xfId="3" applyFont="1" applyFill="1"/>
    <xf numFmtId="0" fontId="7" fillId="9" borderId="19" xfId="3" applyFont="1" applyFill="1" applyBorder="1"/>
    <xf numFmtId="0" fontId="7" fillId="5" borderId="18" xfId="3" applyFont="1" applyFill="1" applyBorder="1"/>
    <xf numFmtId="0" fontId="3" fillId="5" borderId="19" xfId="3" applyFont="1" applyFill="1" applyBorder="1"/>
    <xf numFmtId="0" fontId="7" fillId="7" borderId="21" xfId="3" applyFont="1" applyFill="1" applyBorder="1" applyAlignment="1">
      <alignment horizontal="center"/>
    </xf>
    <xf numFmtId="0" fontId="7" fillId="7" borderId="22" xfId="3" applyFont="1" applyFill="1" applyBorder="1" applyAlignment="1">
      <alignment horizontal="center"/>
    </xf>
    <xf numFmtId="0" fontId="20" fillId="0" borderId="18" xfId="3" applyFont="1" applyBorder="1"/>
    <xf numFmtId="0" fontId="11" fillId="5" borderId="18" xfId="3" applyFont="1" applyFill="1" applyBorder="1"/>
    <xf numFmtId="0" fontId="7" fillId="5" borderId="19" xfId="3" applyFont="1" applyFill="1" applyBorder="1"/>
    <xf numFmtId="0" fontId="11" fillId="0" borderId="18" xfId="3" applyFont="1" applyBorder="1"/>
    <xf numFmtId="0" fontId="11" fillId="11" borderId="18" xfId="3" applyFont="1" applyFill="1" applyBorder="1" applyAlignment="1">
      <alignment horizontal="justify" vertical="center"/>
    </xf>
    <xf numFmtId="0" fontId="3" fillId="11" borderId="0" xfId="3" applyFont="1" applyFill="1"/>
    <xf numFmtId="0" fontId="3" fillId="11" borderId="19" xfId="3" applyFont="1" applyFill="1" applyBorder="1"/>
    <xf numFmtId="0" fontId="8" fillId="0" borderId="18" xfId="3" applyFont="1" applyBorder="1"/>
    <xf numFmtId="0" fontId="11" fillId="11" borderId="18" xfId="3" applyFont="1" applyFill="1" applyBorder="1"/>
    <xf numFmtId="0" fontId="7" fillId="11" borderId="0" xfId="3" applyFont="1" applyFill="1"/>
    <xf numFmtId="0" fontId="7" fillId="11" borderId="19" xfId="3" applyFont="1" applyFill="1" applyBorder="1"/>
    <xf numFmtId="0" fontId="11" fillId="6" borderId="20" xfId="3" applyFont="1" applyFill="1" applyBorder="1"/>
    <xf numFmtId="0" fontId="7" fillId="6" borderId="21" xfId="3" applyFont="1" applyFill="1" applyBorder="1"/>
    <xf numFmtId="0" fontId="7" fillId="6" borderId="22" xfId="3" applyFont="1" applyFill="1" applyBorder="1"/>
    <xf numFmtId="0" fontId="1" fillId="0" borderId="0" xfId="3"/>
    <xf numFmtId="0" fontId="15" fillId="0" borderId="0" xfId="3" applyFont="1"/>
    <xf numFmtId="0" fontId="3" fillId="9" borderId="18" xfId="3" applyFont="1" applyFill="1" applyBorder="1"/>
    <xf numFmtId="10" fontId="3" fillId="0" borderId="19" xfId="5" applyNumberFormat="1" applyFont="1" applyBorder="1"/>
    <xf numFmtId="10" fontId="3" fillId="0" borderId="25" xfId="5" applyNumberFormat="1" applyFont="1" applyBorder="1"/>
    <xf numFmtId="0" fontId="3" fillId="0" borderId="26" xfId="3" applyFont="1" applyBorder="1"/>
    <xf numFmtId="10" fontId="7" fillId="0" borderId="0" xfId="3" applyNumberFormat="1" applyFont="1"/>
    <xf numFmtId="10" fontId="7" fillId="0" borderId="19" xfId="5" applyNumberFormat="1" applyFont="1" applyBorder="1"/>
    <xf numFmtId="10" fontId="7" fillId="0" borderId="0" xfId="5" applyNumberFormat="1" applyFont="1" applyBorder="1"/>
    <xf numFmtId="0" fontId="16" fillId="0" borderId="27" xfId="3" applyFont="1" applyBorder="1"/>
    <xf numFmtId="9" fontId="7" fillId="0" borderId="0" xfId="5" applyFont="1" applyBorder="1"/>
    <xf numFmtId="0" fontId="16" fillId="0" borderId="26" xfId="3" applyFont="1" applyBorder="1"/>
    <xf numFmtId="10" fontId="3" fillId="9" borderId="0" xfId="5" applyNumberFormat="1" applyFont="1" applyFill="1" applyBorder="1"/>
    <xf numFmtId="10" fontId="7" fillId="9" borderId="0" xfId="3" applyNumberFormat="1" applyFont="1" applyFill="1"/>
    <xf numFmtId="10" fontId="3" fillId="9" borderId="19" xfId="5" applyNumberFormat="1" applyFont="1" applyFill="1" applyBorder="1"/>
    <xf numFmtId="0" fontId="3" fillId="5" borderId="18" xfId="3" applyFont="1" applyFill="1" applyBorder="1"/>
    <xf numFmtId="10" fontId="3" fillId="5" borderId="0" xfId="5" applyNumberFormat="1" applyFont="1" applyFill="1" applyBorder="1"/>
    <xf numFmtId="10" fontId="3" fillId="5" borderId="19" xfId="5" applyNumberFormat="1" applyFont="1" applyFill="1" applyBorder="1"/>
    <xf numFmtId="0" fontId="20" fillId="0" borderId="0" xfId="3" applyFont="1"/>
    <xf numFmtId="0" fontId="11" fillId="11" borderId="0" xfId="3" applyFont="1" applyFill="1" applyAlignment="1">
      <alignment horizontal="justify" vertical="center"/>
    </xf>
    <xf numFmtId="0" fontId="3" fillId="11" borderId="18" xfId="3" applyFont="1" applyFill="1" applyBorder="1"/>
    <xf numFmtId="10" fontId="3" fillId="11" borderId="0" xfId="5" applyNumberFormat="1" applyFont="1" applyFill="1" applyBorder="1"/>
    <xf numFmtId="10" fontId="3" fillId="11" borderId="19" xfId="5" applyNumberFormat="1" applyFont="1" applyFill="1" applyBorder="1"/>
    <xf numFmtId="0" fontId="11" fillId="11" borderId="0" xfId="3" applyFont="1" applyFill="1"/>
    <xf numFmtId="0" fontId="7" fillId="11" borderId="18" xfId="3" applyFont="1" applyFill="1" applyBorder="1"/>
    <xf numFmtId="10" fontId="7" fillId="11" borderId="0" xfId="3" applyNumberFormat="1" applyFont="1" applyFill="1"/>
    <xf numFmtId="10" fontId="7" fillId="11" borderId="19" xfId="5" applyNumberFormat="1" applyFont="1" applyFill="1" applyBorder="1"/>
    <xf numFmtId="10" fontId="7" fillId="11" borderId="0" xfId="5" applyNumberFormat="1" applyFont="1" applyFill="1" applyBorder="1"/>
    <xf numFmtId="0" fontId="7" fillId="6" borderId="20" xfId="3" applyFont="1" applyFill="1" applyBorder="1"/>
    <xf numFmtId="10" fontId="3" fillId="0" borderId="21" xfId="5" applyNumberFormat="1" applyFont="1" applyBorder="1"/>
    <xf numFmtId="10" fontId="7" fillId="0" borderId="21" xfId="3" applyNumberFormat="1" applyFont="1" applyBorder="1"/>
    <xf numFmtId="10" fontId="3" fillId="0" borderId="22" xfId="5" applyNumberFormat="1" applyFont="1" applyBorder="1"/>
    <xf numFmtId="0" fontId="5" fillId="0" borderId="0" xfId="0" applyFont="1"/>
    <xf numFmtId="0" fontId="22" fillId="0" borderId="0" xfId="0" applyFont="1"/>
    <xf numFmtId="0" fontId="5" fillId="0" borderId="0" xfId="0" applyFont="1" applyAlignment="1">
      <alignment wrapText="1"/>
    </xf>
    <xf numFmtId="0" fontId="15" fillId="0" borderId="0" xfId="0" applyFont="1"/>
    <xf numFmtId="0" fontId="25" fillId="0" borderId="0" xfId="0" applyFont="1"/>
    <xf numFmtId="0" fontId="26" fillId="0" borderId="0" xfId="0" applyFont="1" applyAlignment="1">
      <alignment horizontal="center"/>
    </xf>
    <xf numFmtId="0" fontId="25" fillId="0" borderId="0" xfId="0" applyFont="1" applyAlignment="1">
      <alignment horizontal="left"/>
    </xf>
    <xf numFmtId="0" fontId="27" fillId="0" borderId="0" xfId="0" applyFont="1" applyAlignment="1">
      <alignment horizontal="left"/>
    </xf>
    <xf numFmtId="0" fontId="32" fillId="0" borderId="0" xfId="0" applyFont="1" applyAlignment="1">
      <alignment vertical="center" wrapText="1"/>
    </xf>
    <xf numFmtId="0" fontId="32" fillId="0" borderId="0" xfId="0" applyFont="1" applyAlignment="1">
      <alignment horizontal="center" vertical="center" wrapText="1"/>
    </xf>
    <xf numFmtId="0" fontId="28" fillId="0" borderId="0" xfId="0" applyFont="1" applyAlignment="1">
      <alignment vertical="center"/>
    </xf>
    <xf numFmtId="166" fontId="25" fillId="0" borderId="0" xfId="0" applyNumberFormat="1" applyFont="1"/>
    <xf numFmtId="0" fontId="28" fillId="0" borderId="0" xfId="0" applyFont="1"/>
    <xf numFmtId="0" fontId="33" fillId="0" borderId="0" xfId="0" applyFont="1"/>
    <xf numFmtId="166" fontId="28" fillId="0" borderId="0" xfId="0" applyNumberFormat="1" applyFont="1"/>
    <xf numFmtId="0" fontId="5" fillId="0" borderId="0" xfId="0" applyFont="1" applyAlignment="1">
      <alignment vertical="center" wrapText="1"/>
    </xf>
    <xf numFmtId="0" fontId="5" fillId="0" borderId="0" xfId="0" applyFont="1" applyAlignment="1">
      <alignment vertical="center"/>
    </xf>
    <xf numFmtId="0" fontId="3" fillId="0" borderId="0" xfId="0" applyFont="1"/>
    <xf numFmtId="0" fontId="7" fillId="0" borderId="0" xfId="0" applyFont="1" applyAlignment="1">
      <alignment vertical="center" wrapText="1"/>
    </xf>
    <xf numFmtId="165" fontId="9" fillId="0" borderId="7" xfId="6" applyNumberFormat="1" applyFont="1" applyFill="1" applyBorder="1"/>
    <xf numFmtId="165" fontId="3" fillId="0" borderId="8" xfId="6" applyNumberFormat="1" applyFont="1" applyFill="1" applyBorder="1"/>
    <xf numFmtId="165" fontId="3" fillId="0" borderId="7" xfId="3" applyNumberFormat="1" applyFont="1" applyBorder="1"/>
    <xf numFmtId="165" fontId="10" fillId="0" borderId="8" xfId="3" applyNumberFormat="1" applyFont="1" applyBorder="1"/>
    <xf numFmtId="165" fontId="7" fillId="0" borderId="11" xfId="3" applyNumberFormat="1" applyFont="1" applyBorder="1"/>
    <xf numFmtId="165" fontId="7" fillId="7" borderId="11" xfId="6" applyNumberFormat="1" applyFont="1" applyFill="1" applyBorder="1"/>
    <xf numFmtId="0" fontId="3" fillId="0" borderId="0" xfId="9" applyFont="1"/>
    <xf numFmtId="0" fontId="7" fillId="0" borderId="0" xfId="9" applyFont="1" applyAlignment="1">
      <alignment horizontal="center"/>
    </xf>
    <xf numFmtId="0" fontId="3" fillId="0" borderId="0" xfId="9" applyFont="1" applyAlignment="1">
      <alignment horizontal="center"/>
    </xf>
    <xf numFmtId="0" fontId="7" fillId="0" borderId="0" xfId="9" applyFont="1" applyAlignment="1">
      <alignment horizontal="left"/>
    </xf>
    <xf numFmtId="0" fontId="3" fillId="0" borderId="0" xfId="9" applyFont="1" applyAlignment="1">
      <alignment horizontal="left"/>
    </xf>
    <xf numFmtId="0" fontId="7" fillId="0" borderId="0" xfId="9" applyFont="1"/>
    <xf numFmtId="10" fontId="7" fillId="0" borderId="0" xfId="10" applyNumberFormat="1" applyFont="1" applyFill="1" applyBorder="1" applyAlignment="1">
      <alignment horizontal="left"/>
    </xf>
    <xf numFmtId="10" fontId="7" fillId="0" borderId="0" xfId="10" applyNumberFormat="1" applyFont="1" applyFill="1" applyAlignment="1">
      <alignment horizontal="left"/>
    </xf>
    <xf numFmtId="10" fontId="3" fillId="0" borderId="0" xfId="10" applyNumberFormat="1" applyFont="1" applyFill="1" applyBorder="1" applyAlignment="1">
      <alignment horizontal="left"/>
    </xf>
    <xf numFmtId="10" fontId="3" fillId="0" borderId="0" xfId="10" applyNumberFormat="1" applyFont="1" applyFill="1" applyAlignment="1">
      <alignment horizontal="left"/>
    </xf>
    <xf numFmtId="0" fontId="3" fillId="0" borderId="1" xfId="9" applyFont="1" applyBorder="1"/>
    <xf numFmtId="0" fontId="7" fillId="0" borderId="4" xfId="9" applyFont="1" applyBorder="1" applyAlignment="1">
      <alignment horizontal="center"/>
    </xf>
    <xf numFmtId="0" fontId="7" fillId="0" borderId="5" xfId="9" applyFont="1" applyBorder="1" applyAlignment="1">
      <alignment horizontal="center"/>
    </xf>
    <xf numFmtId="10" fontId="3" fillId="0" borderId="0" xfId="10" applyNumberFormat="1" applyFont="1" applyBorder="1" applyAlignment="1">
      <alignment horizontal="center"/>
    </xf>
    <xf numFmtId="0" fontId="7" fillId="5" borderId="6" xfId="9" applyFont="1" applyFill="1" applyBorder="1"/>
    <xf numFmtId="41" fontId="7" fillId="0" borderId="6" xfId="11" applyFont="1" applyBorder="1"/>
    <xf numFmtId="41" fontId="7" fillId="0" borderId="13" xfId="11" applyFont="1" applyBorder="1"/>
    <xf numFmtId="0" fontId="15" fillId="5" borderId="0" xfId="9" applyFont="1" applyFill="1"/>
    <xf numFmtId="0" fontId="3" fillId="5" borderId="0" xfId="9" applyFont="1" applyFill="1"/>
    <xf numFmtId="0" fontId="7" fillId="0" borderId="1" xfId="9" applyFont="1" applyBorder="1" applyAlignment="1">
      <alignment horizontal="center"/>
    </xf>
    <xf numFmtId="0" fontId="8" fillId="0" borderId="6" xfId="9" applyFont="1" applyBorder="1"/>
    <xf numFmtId="41" fontId="3" fillId="0" borderId="6" xfId="11" applyFont="1" applyBorder="1"/>
    <xf numFmtId="41" fontId="3" fillId="0" borderId="13" xfId="11" applyFont="1" applyBorder="1"/>
    <xf numFmtId="0" fontId="8" fillId="0" borderId="0" xfId="9" applyFont="1"/>
    <xf numFmtId="0" fontId="3" fillId="0" borderId="6" xfId="9" applyFont="1" applyBorder="1" applyAlignment="1">
      <alignment horizontal="center"/>
    </xf>
    <xf numFmtId="0" fontId="3" fillId="0" borderId="7" xfId="9" applyFont="1" applyBorder="1"/>
    <xf numFmtId="41" fontId="7" fillId="0" borderId="1" xfId="11" applyFont="1" applyBorder="1"/>
    <xf numFmtId="41" fontId="7" fillId="0" borderId="38" xfId="11" applyFont="1" applyBorder="1"/>
    <xf numFmtId="165" fontId="3" fillId="0" borderId="6" xfId="12" applyNumberFormat="1" applyFont="1" applyFill="1" applyBorder="1"/>
    <xf numFmtId="165" fontId="3" fillId="0" borderId="7" xfId="12" applyNumberFormat="1" applyFont="1" applyFill="1" applyBorder="1"/>
    <xf numFmtId="10" fontId="3" fillId="0" borderId="0" xfId="10" applyNumberFormat="1" applyFont="1"/>
    <xf numFmtId="10" fontId="7" fillId="0" borderId="0" xfId="10" applyNumberFormat="1" applyFont="1" applyBorder="1" applyAlignment="1">
      <alignment horizontal="center"/>
    </xf>
    <xf numFmtId="10" fontId="7" fillId="0" borderId="0" xfId="10" applyNumberFormat="1" applyFont="1"/>
    <xf numFmtId="165" fontId="9" fillId="0" borderId="6" xfId="12" applyNumberFormat="1" applyFont="1" applyFill="1" applyBorder="1"/>
    <xf numFmtId="165" fontId="9" fillId="0" borderId="7" xfId="12" applyNumberFormat="1" applyFont="1" applyFill="1" applyBorder="1"/>
    <xf numFmtId="165" fontId="3" fillId="0" borderId="9" xfId="12" applyNumberFormat="1" applyFont="1" applyFill="1" applyBorder="1"/>
    <xf numFmtId="165" fontId="3" fillId="0" borderId="8" xfId="12" applyNumberFormat="1" applyFont="1" applyFill="1" applyBorder="1"/>
    <xf numFmtId="10" fontId="3" fillId="0" borderId="0" xfId="10" applyNumberFormat="1" applyFont="1" applyFill="1" applyBorder="1" applyAlignment="1">
      <alignment horizontal="center"/>
    </xf>
    <xf numFmtId="10" fontId="3" fillId="0" borderId="0" xfId="10" applyNumberFormat="1" applyFont="1" applyFill="1" applyBorder="1"/>
    <xf numFmtId="41" fontId="7" fillId="0" borderId="2" xfId="11" applyFont="1" applyBorder="1"/>
    <xf numFmtId="41" fontId="12" fillId="0" borderId="11" xfId="11" applyFont="1" applyBorder="1"/>
    <xf numFmtId="165" fontId="7" fillId="0" borderId="2" xfId="12" applyNumberFormat="1" applyFont="1" applyFill="1" applyBorder="1"/>
    <xf numFmtId="165" fontId="16" fillId="0" borderId="3" xfId="12" applyNumberFormat="1" applyFont="1" applyFill="1" applyBorder="1"/>
    <xf numFmtId="10" fontId="7" fillId="0" borderId="0" xfId="10" applyNumberFormat="1" applyFont="1" applyFill="1" applyBorder="1" applyAlignment="1">
      <alignment horizontal="center"/>
    </xf>
    <xf numFmtId="10" fontId="7" fillId="0" borderId="0" xfId="10" applyNumberFormat="1" applyFont="1" applyFill="1" applyBorder="1"/>
    <xf numFmtId="165" fontId="3" fillId="0" borderId="1" xfId="12" applyNumberFormat="1" applyFont="1" applyFill="1" applyBorder="1"/>
    <xf numFmtId="165" fontId="3" fillId="0" borderId="5" xfId="12" applyNumberFormat="1" applyFont="1" applyFill="1" applyBorder="1"/>
    <xf numFmtId="165" fontId="3" fillId="0" borderId="6" xfId="9" applyNumberFormat="1" applyFont="1" applyBorder="1"/>
    <xf numFmtId="165" fontId="3" fillId="0" borderId="7" xfId="9" applyNumberFormat="1" applyFont="1" applyBorder="1"/>
    <xf numFmtId="41" fontId="12" fillId="0" borderId="38" xfId="11" applyFont="1" applyBorder="1"/>
    <xf numFmtId="165" fontId="10" fillId="0" borderId="9" xfId="9" applyNumberFormat="1" applyFont="1" applyBorder="1"/>
    <xf numFmtId="165" fontId="10" fillId="0" borderId="8" xfId="9" applyNumberFormat="1" applyFont="1" applyBorder="1"/>
    <xf numFmtId="165" fontId="7" fillId="0" borderId="2" xfId="9" applyNumberFormat="1" applyFont="1" applyBorder="1"/>
    <xf numFmtId="165" fontId="7" fillId="0" borderId="11" xfId="9" applyNumberFormat="1" applyFont="1" applyBorder="1"/>
    <xf numFmtId="0" fontId="8" fillId="0" borderId="9" xfId="9" applyFont="1" applyBorder="1"/>
    <xf numFmtId="165" fontId="7" fillId="5" borderId="6" xfId="9" applyNumberFormat="1" applyFont="1" applyFill="1" applyBorder="1"/>
    <xf numFmtId="9" fontId="3" fillId="0" borderId="0" xfId="9" applyNumberFormat="1" applyFont="1" applyAlignment="1">
      <alignment horizontal="center"/>
    </xf>
    <xf numFmtId="0" fontId="3" fillId="0" borderId="6" xfId="9" applyFont="1" applyBorder="1"/>
    <xf numFmtId="0" fontId="3" fillId="0" borderId="13" xfId="9" applyFont="1" applyBorder="1"/>
    <xf numFmtId="0" fontId="3" fillId="0" borderId="5" xfId="9" applyFont="1" applyBorder="1"/>
    <xf numFmtId="0" fontId="6" fillId="0" borderId="0" xfId="9" applyFont="1" applyAlignment="1">
      <alignment wrapText="1"/>
    </xf>
    <xf numFmtId="165" fontId="12" fillId="0" borderId="3" xfId="12" applyNumberFormat="1" applyFont="1" applyFill="1" applyBorder="1"/>
    <xf numFmtId="43" fontId="3" fillId="0" borderId="1" xfId="12" applyFont="1" applyFill="1" applyBorder="1"/>
    <xf numFmtId="43" fontId="9" fillId="0" borderId="5" xfId="12" applyFont="1" applyFill="1" applyBorder="1"/>
    <xf numFmtId="0" fontId="15" fillId="0" borderId="0" xfId="9" applyFont="1"/>
    <xf numFmtId="165" fontId="3" fillId="0" borderId="9" xfId="12" applyNumberFormat="1" applyFont="1" applyBorder="1"/>
    <xf numFmtId="165" fontId="3" fillId="0" borderId="8" xfId="12" applyNumberFormat="1" applyFont="1" applyBorder="1"/>
    <xf numFmtId="0" fontId="11" fillId="0" borderId="0" xfId="9" applyFont="1"/>
    <xf numFmtId="165" fontId="3" fillId="0" borderId="0" xfId="12" applyNumberFormat="1" applyFont="1" applyFill="1" applyBorder="1"/>
    <xf numFmtId="165" fontId="3" fillId="0" borderId="0" xfId="9" applyNumberFormat="1" applyFont="1"/>
    <xf numFmtId="9" fontId="3" fillId="0" borderId="0" xfId="10" applyFont="1" applyFill="1" applyBorder="1"/>
    <xf numFmtId="165" fontId="7" fillId="6" borderId="9" xfId="12" applyNumberFormat="1" applyFont="1" applyFill="1" applyBorder="1"/>
    <xf numFmtId="165" fontId="7" fillId="6" borderId="39" xfId="12" applyNumberFormat="1" applyFont="1" applyFill="1" applyBorder="1"/>
    <xf numFmtId="165" fontId="3" fillId="0" borderId="6" xfId="12" applyNumberFormat="1" applyFont="1" applyBorder="1"/>
    <xf numFmtId="165" fontId="3" fillId="0" borderId="7" xfId="12" applyNumberFormat="1" applyFont="1" applyBorder="1"/>
    <xf numFmtId="165" fontId="9" fillId="0" borderId="0" xfId="12" applyNumberFormat="1" applyFont="1" applyFill="1" applyBorder="1"/>
    <xf numFmtId="43" fontId="3" fillId="0" borderId="1" xfId="12" applyFont="1" applyBorder="1"/>
    <xf numFmtId="43" fontId="3" fillId="0" borderId="5" xfId="12" applyFont="1" applyBorder="1"/>
    <xf numFmtId="10" fontId="3" fillId="0" borderId="0" xfId="9" applyNumberFormat="1" applyFont="1"/>
    <xf numFmtId="0" fontId="16" fillId="0" borderId="0" xfId="9" applyFont="1"/>
    <xf numFmtId="165" fontId="7" fillId="0" borderId="0" xfId="12" applyNumberFormat="1" applyFont="1" applyFill="1" applyBorder="1"/>
    <xf numFmtId="165" fontId="16" fillId="0" borderId="0" xfId="12" applyNumberFormat="1" applyFont="1" applyFill="1" applyBorder="1"/>
    <xf numFmtId="165" fontId="7" fillId="0" borderId="0" xfId="9" applyNumberFormat="1" applyFont="1"/>
    <xf numFmtId="9" fontId="7" fillId="0" borderId="0" xfId="10" applyFont="1" applyFill="1" applyBorder="1"/>
    <xf numFmtId="165" fontId="7" fillId="7" borderId="2" xfId="12" applyNumberFormat="1" applyFont="1" applyFill="1" applyBorder="1"/>
    <xf numFmtId="165" fontId="7" fillId="7" borderId="11" xfId="12" applyNumberFormat="1" applyFont="1" applyFill="1" applyBorder="1"/>
    <xf numFmtId="0" fontId="10" fillId="0" borderId="0" xfId="9" applyFont="1"/>
    <xf numFmtId="165" fontId="10" fillId="0" borderId="0" xfId="9" applyNumberFormat="1" applyFont="1"/>
    <xf numFmtId="165" fontId="7" fillId="0" borderId="6" xfId="12" applyNumberFormat="1" applyFont="1" applyFill="1" applyBorder="1"/>
    <xf numFmtId="165" fontId="7" fillId="0" borderId="7" xfId="12" applyNumberFormat="1" applyFont="1" applyFill="1" applyBorder="1"/>
    <xf numFmtId="165" fontId="7" fillId="5" borderId="9" xfId="12" applyNumberFormat="1" applyFont="1" applyFill="1" applyBorder="1"/>
    <xf numFmtId="165" fontId="7" fillId="5" borderId="8" xfId="12" applyNumberFormat="1" applyFont="1" applyFill="1" applyBorder="1"/>
    <xf numFmtId="9" fontId="3" fillId="0" borderId="0" xfId="9" applyNumberFormat="1" applyFont="1"/>
    <xf numFmtId="10" fontId="7" fillId="0" borderId="0" xfId="9" applyNumberFormat="1" applyFont="1"/>
    <xf numFmtId="9" fontId="7" fillId="0" borderId="0" xfId="9" applyNumberFormat="1" applyFont="1"/>
    <xf numFmtId="10" fontId="7" fillId="0" borderId="0" xfId="12" applyNumberFormat="1" applyFont="1" applyFill="1" applyBorder="1"/>
    <xf numFmtId="43" fontId="7" fillId="0" borderId="0" xfId="12" applyFont="1" applyFill="1" applyBorder="1"/>
    <xf numFmtId="0" fontId="3" fillId="0" borderId="4" xfId="9" applyFont="1" applyBorder="1"/>
    <xf numFmtId="0" fontId="19" fillId="0" borderId="4" xfId="9" applyFont="1" applyBorder="1" applyAlignment="1">
      <alignment horizontal="center"/>
    </xf>
    <xf numFmtId="0" fontId="19" fillId="0" borderId="5" xfId="9" applyFont="1" applyBorder="1" applyAlignment="1">
      <alignment horizontal="center"/>
    </xf>
    <xf numFmtId="0" fontId="7" fillId="0" borderId="6" xfId="9" applyFont="1" applyBorder="1"/>
    <xf numFmtId="0" fontId="19" fillId="0" borderId="0" xfId="9" applyFont="1" applyAlignment="1">
      <alignment horizontal="center"/>
    </xf>
    <xf numFmtId="0" fontId="19" fillId="0" borderId="7" xfId="9" applyFont="1" applyBorder="1" applyAlignment="1">
      <alignment horizontal="center"/>
    </xf>
    <xf numFmtId="165" fontId="3" fillId="0" borderId="10" xfId="9" applyNumberFormat="1" applyFont="1" applyBorder="1" applyAlignment="1">
      <alignment horizontal="center"/>
    </xf>
    <xf numFmtId="43" fontId="40" fillId="15" borderId="0" xfId="8" applyNumberFormat="1" applyFont="1" applyAlignment="1">
      <alignment horizontal="center"/>
    </xf>
    <xf numFmtId="165" fontId="3" fillId="0" borderId="0" xfId="9" applyNumberFormat="1" applyFont="1" applyAlignment="1">
      <alignment horizontal="center"/>
    </xf>
    <xf numFmtId="2" fontId="19" fillId="0" borderId="0" xfId="9" applyNumberFormat="1" applyFont="1" applyAlignment="1">
      <alignment horizontal="center"/>
    </xf>
    <xf numFmtId="2" fontId="19" fillId="0" borderId="7" xfId="9" applyNumberFormat="1" applyFont="1" applyBorder="1" applyAlignment="1">
      <alignment horizontal="center"/>
    </xf>
    <xf numFmtId="0" fontId="7" fillId="0" borderId="6" xfId="9" applyFont="1" applyBorder="1" applyAlignment="1">
      <alignment vertical="center"/>
    </xf>
    <xf numFmtId="41" fontId="3" fillId="0" borderId="10" xfId="9" applyNumberFormat="1" applyFont="1" applyBorder="1"/>
    <xf numFmtId="165" fontId="3" fillId="0" borderId="10" xfId="9" applyNumberFormat="1" applyFont="1" applyBorder="1"/>
    <xf numFmtId="43" fontId="9" fillId="7" borderId="0" xfId="8" applyNumberFormat="1" applyFont="1" applyFill="1" applyAlignment="1">
      <alignment horizontal="center"/>
    </xf>
    <xf numFmtId="0" fontId="3" fillId="0" borderId="6" xfId="9" applyFont="1" applyBorder="1" applyAlignment="1">
      <alignment horizontal="left" wrapText="1"/>
    </xf>
    <xf numFmtId="0" fontId="3" fillId="0" borderId="0" xfId="9" applyFont="1" applyAlignment="1">
      <alignment horizontal="left" wrapText="1"/>
    </xf>
    <xf numFmtId="41" fontId="3" fillId="0" borderId="0" xfId="9" applyNumberFormat="1" applyFont="1"/>
    <xf numFmtId="0" fontId="3" fillId="0" borderId="10" xfId="9" applyFont="1" applyBorder="1"/>
    <xf numFmtId="0" fontId="3" fillId="0" borderId="8" xfId="9" applyFont="1" applyBorder="1"/>
    <xf numFmtId="9" fontId="40" fillId="15" borderId="0" xfId="8" applyNumberFormat="1" applyFont="1" applyBorder="1"/>
    <xf numFmtId="9" fontId="19" fillId="0" borderId="0" xfId="8" applyNumberFormat="1" applyFont="1" applyFill="1" applyBorder="1" applyAlignment="1">
      <alignment horizontal="center"/>
    </xf>
    <xf numFmtId="9" fontId="19" fillId="0" borderId="7" xfId="10" applyFont="1" applyBorder="1" applyAlignment="1">
      <alignment horizontal="center"/>
    </xf>
    <xf numFmtId="0" fontId="19" fillId="0" borderId="10" xfId="9" applyFont="1" applyBorder="1" applyAlignment="1">
      <alignment horizontal="center"/>
    </xf>
    <xf numFmtId="0" fontId="6" fillId="0" borderId="1" xfId="9" applyFont="1" applyBorder="1"/>
    <xf numFmtId="9" fontId="40" fillId="15" borderId="0" xfId="8" applyNumberFormat="1" applyFont="1" applyAlignment="1">
      <alignment horizontal="center"/>
    </xf>
    <xf numFmtId="9" fontId="19" fillId="0" borderId="0" xfId="8" applyNumberFormat="1" applyFont="1" applyFill="1" applyAlignment="1">
      <alignment horizontal="center"/>
    </xf>
    <xf numFmtId="9" fontId="19" fillId="0" borderId="7" xfId="9" applyNumberFormat="1" applyFont="1" applyBorder="1" applyAlignment="1">
      <alignment horizontal="center"/>
    </xf>
    <xf numFmtId="9" fontId="9" fillId="7" borderId="0" xfId="8" applyNumberFormat="1" applyFont="1" applyFill="1" applyAlignment="1">
      <alignment horizontal="center"/>
    </xf>
    <xf numFmtId="167" fontId="9" fillId="7" borderId="0" xfId="8" applyNumberFormat="1" applyFont="1" applyFill="1" applyAlignment="1">
      <alignment horizontal="center"/>
    </xf>
    <xf numFmtId="167" fontId="19" fillId="0" borderId="0" xfId="8" applyNumberFormat="1" applyFont="1" applyFill="1" applyAlignment="1">
      <alignment horizontal="center"/>
    </xf>
    <xf numFmtId="167" fontId="19" fillId="0" borderId="7" xfId="9" applyNumberFormat="1" applyFont="1" applyBorder="1" applyAlignment="1">
      <alignment horizontal="center"/>
    </xf>
    <xf numFmtId="0" fontId="3"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xf>
    <xf numFmtId="9" fontId="3" fillId="0" borderId="0" xfId="0" applyNumberFormat="1" applyFont="1" applyAlignment="1">
      <alignment horizontal="center"/>
    </xf>
    <xf numFmtId="10" fontId="3" fillId="0" borderId="0" xfId="0" applyNumberFormat="1" applyFont="1" applyAlignment="1">
      <alignment horizontal="center"/>
    </xf>
    <xf numFmtId="0" fontId="19" fillId="0" borderId="0" xfId="0" applyFont="1"/>
    <xf numFmtId="0" fontId="3" fillId="0" borderId="0" xfId="13" applyFont="1"/>
    <xf numFmtId="0" fontId="18" fillId="0" borderId="0" xfId="13" applyFont="1" applyAlignment="1">
      <alignment horizontal="center" wrapText="1"/>
    </xf>
    <xf numFmtId="0" fontId="12" fillId="0" borderId="0" xfId="13" applyFont="1" applyAlignment="1">
      <alignment horizontal="center" vertical="center"/>
    </xf>
    <xf numFmtId="0" fontId="3" fillId="0" borderId="0" xfId="13" applyFont="1" applyAlignment="1">
      <alignment vertical="center" wrapText="1"/>
    </xf>
    <xf numFmtId="0" fontId="19" fillId="0" borderId="0" xfId="13" applyFont="1" applyAlignment="1">
      <alignment horizontal="center" vertical="center"/>
    </xf>
    <xf numFmtId="0" fontId="19" fillId="0" borderId="0" xfId="13" applyFont="1" applyAlignment="1">
      <alignment horizontal="left" vertical="center" wrapText="1"/>
    </xf>
    <xf numFmtId="0" fontId="7" fillId="0" borderId="0" xfId="13" applyFont="1"/>
    <xf numFmtId="0" fontId="7" fillId="0" borderId="0" xfId="13" applyFont="1" applyAlignment="1">
      <alignment vertical="center"/>
    </xf>
    <xf numFmtId="0" fontId="7" fillId="0" borderId="0" xfId="13" applyFont="1" applyAlignment="1">
      <alignment vertical="center" wrapText="1"/>
    </xf>
    <xf numFmtId="0" fontId="13" fillId="0" borderId="0" xfId="13" applyFont="1" applyAlignment="1">
      <alignment horizontal="center" vertical="center"/>
    </xf>
    <xf numFmtId="0" fontId="13" fillId="0" borderId="0" xfId="13" applyFont="1" applyAlignment="1">
      <alignment horizontal="left" vertical="center" wrapText="1"/>
    </xf>
    <xf numFmtId="0" fontId="15" fillId="0" borderId="15" xfId="13" applyFont="1" applyBorder="1"/>
    <xf numFmtId="0" fontId="3" fillId="0" borderId="16" xfId="13" applyFont="1" applyBorder="1"/>
    <xf numFmtId="0" fontId="3" fillId="0" borderId="17" xfId="13" applyFont="1" applyBorder="1"/>
    <xf numFmtId="0" fontId="15" fillId="0" borderId="18" xfId="13" applyFont="1" applyBorder="1"/>
    <xf numFmtId="0" fontId="3" fillId="0" borderId="19" xfId="13" applyFont="1" applyBorder="1"/>
    <xf numFmtId="0" fontId="3" fillId="0" borderId="18" xfId="13" applyFont="1" applyBorder="1"/>
    <xf numFmtId="0" fontId="7" fillId="0" borderId="19" xfId="13" applyFont="1" applyBorder="1"/>
    <xf numFmtId="0" fontId="7" fillId="9" borderId="18" xfId="13" applyFont="1" applyFill="1" applyBorder="1"/>
    <xf numFmtId="0" fontId="3" fillId="9" borderId="0" xfId="13" applyFont="1" applyFill="1"/>
    <xf numFmtId="0" fontId="3" fillId="9" borderId="19" xfId="13" applyFont="1" applyFill="1" applyBorder="1"/>
    <xf numFmtId="0" fontId="3" fillId="0" borderId="0" xfId="13" applyFont="1" applyAlignment="1">
      <alignment horizontal="center"/>
    </xf>
    <xf numFmtId="0" fontId="3" fillId="0" borderId="19" xfId="13" applyFont="1" applyBorder="1" applyAlignment="1">
      <alignment horizontal="center"/>
    </xf>
    <xf numFmtId="0" fontId="10" fillId="0" borderId="0" xfId="13" applyFont="1" applyAlignment="1">
      <alignment horizontal="center"/>
    </xf>
    <xf numFmtId="0" fontId="10" fillId="0" borderId="19" xfId="13" applyFont="1" applyBorder="1" applyAlignment="1">
      <alignment horizontal="center"/>
    </xf>
    <xf numFmtId="0" fontId="7" fillId="0" borderId="0" xfId="13" applyFont="1" applyAlignment="1">
      <alignment horizontal="center"/>
    </xf>
    <xf numFmtId="0" fontId="7" fillId="0" borderId="19" xfId="13" applyFont="1" applyBorder="1" applyAlignment="1">
      <alignment horizontal="center"/>
    </xf>
    <xf numFmtId="0" fontId="10" fillId="10" borderId="0" xfId="13" applyFont="1" applyFill="1" applyAlignment="1">
      <alignment horizontal="center"/>
    </xf>
    <xf numFmtId="0" fontId="10" fillId="10" borderId="19" xfId="13" applyFont="1" applyFill="1" applyBorder="1" applyAlignment="1">
      <alignment horizontal="center"/>
    </xf>
    <xf numFmtId="0" fontId="16" fillId="0" borderId="18" xfId="13" applyFont="1" applyBorder="1"/>
    <xf numFmtId="0" fontId="16" fillId="0" borderId="0" xfId="13" applyFont="1"/>
    <xf numFmtId="0" fontId="16" fillId="0" borderId="19" xfId="13" applyFont="1" applyBorder="1"/>
    <xf numFmtId="0" fontId="7" fillId="9" borderId="0" xfId="13" applyFont="1" applyFill="1"/>
    <xf numFmtId="0" fontId="7" fillId="9" borderId="19" xfId="13" applyFont="1" applyFill="1" applyBorder="1"/>
    <xf numFmtId="0" fontId="7" fillId="5" borderId="18" xfId="13" applyFont="1" applyFill="1" applyBorder="1"/>
    <xf numFmtId="0" fontId="3" fillId="5" borderId="0" xfId="13" applyFont="1" applyFill="1"/>
    <xf numFmtId="0" fontId="3" fillId="5" borderId="19" xfId="13" applyFont="1" applyFill="1" applyBorder="1"/>
    <xf numFmtId="0" fontId="7" fillId="7" borderId="21" xfId="13" applyFont="1" applyFill="1" applyBorder="1" applyAlignment="1">
      <alignment horizontal="center"/>
    </xf>
    <xf numFmtId="0" fontId="7" fillId="7" borderId="22" xfId="13" applyFont="1" applyFill="1" applyBorder="1" applyAlignment="1">
      <alignment horizontal="center"/>
    </xf>
    <xf numFmtId="0" fontId="20" fillId="0" borderId="18" xfId="13" applyFont="1" applyBorder="1"/>
    <xf numFmtId="0" fontId="11" fillId="5" borderId="18" xfId="13" applyFont="1" applyFill="1" applyBorder="1"/>
    <xf numFmtId="0" fontId="7" fillId="5" borderId="0" xfId="13" applyFont="1" applyFill="1"/>
    <xf numFmtId="0" fontId="7" fillId="5" borderId="19" xfId="13" applyFont="1" applyFill="1" applyBorder="1"/>
    <xf numFmtId="0" fontId="11" fillId="0" borderId="18" xfId="13" applyFont="1" applyBorder="1"/>
    <xf numFmtId="0" fontId="11" fillId="11" borderId="18" xfId="13" applyFont="1" applyFill="1" applyBorder="1" applyAlignment="1">
      <alignment horizontal="justify" vertical="center"/>
    </xf>
    <xf numFmtId="0" fontId="3" fillId="11" borderId="0" xfId="13" applyFont="1" applyFill="1"/>
    <xf numFmtId="0" fontId="3" fillId="11" borderId="19" xfId="13" applyFont="1" applyFill="1" applyBorder="1"/>
    <xf numFmtId="0" fontId="8" fillId="0" borderId="18" xfId="13" applyFont="1" applyBorder="1"/>
    <xf numFmtId="0" fontId="11" fillId="11" borderId="18" xfId="13" applyFont="1" applyFill="1" applyBorder="1"/>
    <xf numFmtId="0" fontId="7" fillId="11" borderId="0" xfId="13" applyFont="1" applyFill="1"/>
    <xf numFmtId="0" fontId="7" fillId="11" borderId="19" xfId="13" applyFont="1" applyFill="1" applyBorder="1"/>
    <xf numFmtId="0" fontId="11" fillId="6" borderId="20" xfId="13" applyFont="1" applyFill="1" applyBorder="1"/>
    <xf numFmtId="0" fontId="7" fillId="6" borderId="21" xfId="13" applyFont="1" applyFill="1" applyBorder="1"/>
    <xf numFmtId="0" fontId="7" fillId="6" borderId="22" xfId="13" applyFont="1" applyFill="1" applyBorder="1"/>
    <xf numFmtId="0" fontId="38" fillId="0" borderId="0" xfId="13"/>
    <xf numFmtId="0" fontId="14" fillId="0" borderId="0" xfId="13" applyFont="1"/>
    <xf numFmtId="0" fontId="15" fillId="0" borderId="0" xfId="13" applyFont="1"/>
    <xf numFmtId="0" fontId="3" fillId="9" borderId="18" xfId="13" applyFont="1" applyFill="1" applyBorder="1"/>
    <xf numFmtId="10" fontId="3" fillId="0" borderId="0" xfId="10" applyNumberFormat="1" applyFont="1" applyBorder="1"/>
    <xf numFmtId="10" fontId="3" fillId="0" borderId="19" xfId="10" applyNumberFormat="1" applyFont="1" applyBorder="1"/>
    <xf numFmtId="10" fontId="3" fillId="0" borderId="25" xfId="10" applyNumberFormat="1" applyFont="1" applyBorder="1"/>
    <xf numFmtId="10" fontId="3" fillId="0" borderId="10" xfId="10" applyNumberFormat="1" applyFont="1" applyBorder="1"/>
    <xf numFmtId="0" fontId="3" fillId="0" borderId="26" xfId="13" applyFont="1" applyBorder="1"/>
    <xf numFmtId="10" fontId="7" fillId="0" borderId="0" xfId="13" applyNumberFormat="1" applyFont="1"/>
    <xf numFmtId="10" fontId="7" fillId="0" borderId="19" xfId="10" applyNumberFormat="1" applyFont="1" applyBorder="1"/>
    <xf numFmtId="10" fontId="7" fillId="0" borderId="0" xfId="10" applyNumberFormat="1" applyFont="1" applyBorder="1"/>
    <xf numFmtId="0" fontId="16" fillId="0" borderId="27" xfId="13" applyFont="1" applyBorder="1"/>
    <xf numFmtId="9" fontId="7" fillId="0" borderId="0" xfId="10" applyFont="1" applyBorder="1"/>
    <xf numFmtId="0" fontId="16" fillId="0" borderId="26" xfId="13" applyFont="1" applyBorder="1"/>
    <xf numFmtId="10" fontId="3" fillId="9" borderId="0" xfId="10" applyNumberFormat="1" applyFont="1" applyFill="1" applyBorder="1"/>
    <xf numFmtId="10" fontId="7" fillId="9" borderId="0" xfId="13" applyNumberFormat="1" applyFont="1" applyFill="1"/>
    <xf numFmtId="10" fontId="3" fillId="9" borderId="19" xfId="10" applyNumberFormat="1" applyFont="1" applyFill="1" applyBorder="1"/>
    <xf numFmtId="0" fontId="3" fillId="5" borderId="18" xfId="13" applyFont="1" applyFill="1" applyBorder="1"/>
    <xf numFmtId="10" fontId="3" fillId="5" borderId="0" xfId="10" applyNumberFormat="1" applyFont="1" applyFill="1" applyBorder="1"/>
    <xf numFmtId="10" fontId="3" fillId="5" borderId="19" xfId="10" applyNumberFormat="1" applyFont="1" applyFill="1" applyBorder="1"/>
    <xf numFmtId="0" fontId="20" fillId="0" borderId="0" xfId="13" applyFont="1"/>
    <xf numFmtId="0" fontId="11" fillId="5" borderId="0" xfId="13" applyFont="1" applyFill="1"/>
    <xf numFmtId="10" fontId="7" fillId="5" borderId="0" xfId="13" applyNumberFormat="1" applyFont="1" applyFill="1"/>
    <xf numFmtId="0" fontId="11" fillId="0" borderId="0" xfId="13" applyFont="1"/>
    <xf numFmtId="0" fontId="11" fillId="11" borderId="0" xfId="13" applyFont="1" applyFill="1" applyAlignment="1">
      <alignment horizontal="justify" vertical="center"/>
    </xf>
    <xf numFmtId="0" fontId="3" fillId="11" borderId="18" xfId="13" applyFont="1" applyFill="1" applyBorder="1"/>
    <xf numFmtId="10" fontId="3" fillId="11" borderId="0" xfId="10" applyNumberFormat="1" applyFont="1" applyFill="1" applyBorder="1"/>
    <xf numFmtId="10" fontId="3" fillId="11" borderId="19" xfId="10" applyNumberFormat="1" applyFont="1" applyFill="1" applyBorder="1"/>
    <xf numFmtId="0" fontId="8" fillId="0" borderId="0" xfId="13" applyFont="1"/>
    <xf numFmtId="0" fontId="11" fillId="11" borderId="0" xfId="13" applyFont="1" applyFill="1"/>
    <xf numFmtId="0" fontId="7" fillId="11" borderId="18" xfId="13" applyFont="1" applyFill="1" applyBorder="1"/>
    <xf numFmtId="10" fontId="7" fillId="11" borderId="0" xfId="13" applyNumberFormat="1" applyFont="1" applyFill="1"/>
    <xf numFmtId="10" fontId="7" fillId="11" borderId="19" xfId="10" applyNumberFormat="1" applyFont="1" applyFill="1" applyBorder="1"/>
    <xf numFmtId="10" fontId="7" fillId="11" borderId="0" xfId="10" applyNumberFormat="1" applyFont="1" applyFill="1" applyBorder="1"/>
    <xf numFmtId="0" fontId="11" fillId="6" borderId="0" xfId="13" applyFont="1" applyFill="1"/>
    <xf numFmtId="0" fontId="7" fillId="6" borderId="0" xfId="13" applyFont="1" applyFill="1"/>
    <xf numFmtId="0" fontId="7" fillId="6" borderId="20" xfId="13" applyFont="1" applyFill="1" applyBorder="1"/>
    <xf numFmtId="10" fontId="3" fillId="0" borderId="21" xfId="10" applyNumberFormat="1" applyFont="1" applyBorder="1"/>
    <xf numFmtId="10" fontId="7" fillId="0" borderId="21" xfId="13" applyNumberFormat="1" applyFont="1" applyBorder="1"/>
    <xf numFmtId="10" fontId="3" fillId="0" borderId="22" xfId="10" applyNumberFormat="1" applyFont="1" applyBorder="1"/>
    <xf numFmtId="0" fontId="3" fillId="0" borderId="1" xfId="13" applyFont="1" applyBorder="1"/>
    <xf numFmtId="0" fontId="3" fillId="0" borderId="4" xfId="13" applyFont="1" applyBorder="1"/>
    <xf numFmtId="0" fontId="3" fillId="0" borderId="44" xfId="13" applyFont="1" applyBorder="1"/>
    <xf numFmtId="0" fontId="3" fillId="0" borderId="45" xfId="13" applyFont="1" applyBorder="1" applyAlignment="1">
      <alignment horizontal="center"/>
    </xf>
    <xf numFmtId="0" fontId="7" fillId="0" borderId="6" xfId="13" applyFont="1" applyBorder="1"/>
    <xf numFmtId="165" fontId="3" fillId="0" borderId="26" xfId="13" applyNumberFormat="1" applyFont="1" applyBorder="1" applyAlignment="1">
      <alignment horizontal="center"/>
    </xf>
    <xf numFmtId="43" fontId="13" fillId="0" borderId="19" xfId="8" applyNumberFormat="1" applyFont="1" applyFill="1" applyBorder="1" applyAlignment="1">
      <alignment horizontal="center"/>
    </xf>
    <xf numFmtId="165" fontId="3" fillId="0" borderId="18" xfId="13" applyNumberFormat="1" applyFont="1" applyBorder="1" applyAlignment="1">
      <alignment horizontal="center"/>
    </xf>
    <xf numFmtId="0" fontId="13" fillId="0" borderId="19" xfId="13" applyFont="1" applyBorder="1" applyAlignment="1">
      <alignment horizontal="center"/>
    </xf>
    <xf numFmtId="43" fontId="3" fillId="0" borderId="18" xfId="13" applyNumberFormat="1" applyFont="1" applyBorder="1" applyAlignment="1">
      <alignment horizontal="center"/>
    </xf>
    <xf numFmtId="0" fontId="3" fillId="0" borderId="18" xfId="13" applyFont="1" applyBorder="1" applyAlignment="1">
      <alignment horizontal="center"/>
    </xf>
    <xf numFmtId="0" fontId="3" fillId="0" borderId="6" xfId="13" applyFont="1" applyBorder="1"/>
    <xf numFmtId="0" fontId="7" fillId="0" borderId="6" xfId="13" applyFont="1" applyBorder="1" applyAlignment="1">
      <alignment vertical="center"/>
    </xf>
    <xf numFmtId="41" fontId="3" fillId="0" borderId="26" xfId="13" applyNumberFormat="1" applyFont="1" applyBorder="1"/>
    <xf numFmtId="165" fontId="3" fillId="0" borderId="18" xfId="13" applyNumberFormat="1" applyFont="1" applyBorder="1"/>
    <xf numFmtId="41" fontId="3" fillId="0" borderId="18" xfId="13" applyNumberFormat="1" applyFont="1" applyBorder="1"/>
    <xf numFmtId="168" fontId="3" fillId="0" borderId="18" xfId="13" applyNumberFormat="1" applyFont="1" applyBorder="1"/>
    <xf numFmtId="0" fontId="3" fillId="0" borderId="10" xfId="13" applyFont="1" applyBorder="1"/>
    <xf numFmtId="0" fontId="13" fillId="0" borderId="25" xfId="13" applyFont="1" applyBorder="1" applyAlignment="1">
      <alignment horizontal="center"/>
    </xf>
    <xf numFmtId="0" fontId="13" fillId="0" borderId="45" xfId="13" applyFont="1" applyBorder="1" applyAlignment="1">
      <alignment horizontal="center"/>
    </xf>
    <xf numFmtId="9" fontId="13" fillId="0" borderId="19" xfId="10" applyFont="1" applyFill="1" applyBorder="1" applyAlignment="1">
      <alignment horizontal="center"/>
    </xf>
    <xf numFmtId="165" fontId="3" fillId="0" borderId="26" xfId="13" applyNumberFormat="1" applyFont="1" applyBorder="1"/>
    <xf numFmtId="9" fontId="13" fillId="0" borderId="19" xfId="8" applyNumberFormat="1" applyFont="1" applyFill="1" applyBorder="1" applyAlignment="1">
      <alignment horizontal="center"/>
    </xf>
    <xf numFmtId="0" fontId="6" fillId="0" borderId="1" xfId="13" applyFont="1" applyBorder="1"/>
    <xf numFmtId="167" fontId="13" fillId="0" borderId="19" xfId="8" applyNumberFormat="1" applyFont="1" applyFill="1" applyBorder="1" applyAlignment="1">
      <alignment horizontal="center"/>
    </xf>
    <xf numFmtId="0" fontId="3" fillId="0" borderId="20" xfId="13" applyFont="1" applyBorder="1"/>
    <xf numFmtId="0" fontId="3" fillId="0" borderId="21" xfId="13" applyFont="1" applyBorder="1"/>
    <xf numFmtId="0" fontId="3" fillId="0" borderId="22" xfId="13" applyFont="1" applyBorder="1" applyAlignment="1">
      <alignment horizontal="center"/>
    </xf>
    <xf numFmtId="0" fontId="42" fillId="0" borderId="0" xfId="0" applyFont="1"/>
    <xf numFmtId="166" fontId="41" fillId="0" borderId="0" xfId="14" applyNumberFormat="1" applyFont="1"/>
    <xf numFmtId="0" fontId="41" fillId="0" borderId="0" xfId="0" applyFont="1"/>
    <xf numFmtId="0" fontId="43" fillId="0" borderId="0" xfId="0" applyFont="1"/>
    <xf numFmtId="0" fontId="44" fillId="0" borderId="0" xfId="0" applyFont="1"/>
    <xf numFmtId="166" fontId="45" fillId="0" borderId="0" xfId="0" applyNumberFormat="1" applyFont="1"/>
    <xf numFmtId="166" fontId="41" fillId="0" borderId="0" xfId="0" applyNumberFormat="1" applyFont="1"/>
    <xf numFmtId="169" fontId="41" fillId="0" borderId="0" xfId="0" applyNumberFormat="1" applyFont="1"/>
    <xf numFmtId="169" fontId="41" fillId="0" borderId="10" xfId="0" applyNumberFormat="1" applyFont="1" applyBorder="1"/>
    <xf numFmtId="166" fontId="46" fillId="0" borderId="0" xfId="0" applyNumberFormat="1" applyFont="1"/>
    <xf numFmtId="9" fontId="41" fillId="0" borderId="0" xfId="0" applyNumberFormat="1" applyFont="1"/>
    <xf numFmtId="166" fontId="25" fillId="0" borderId="10" xfId="0" applyNumberFormat="1" applyFont="1" applyBorder="1"/>
    <xf numFmtId="170" fontId="25" fillId="0" borderId="0" xfId="14" applyNumberFormat="1" applyFont="1"/>
    <xf numFmtId="171" fontId="25" fillId="0" borderId="10" xfId="14" applyNumberFormat="1" applyFont="1" applyBorder="1"/>
    <xf numFmtId="171" fontId="28" fillId="0" borderId="0" xfId="0" applyNumberFormat="1" applyFont="1"/>
    <xf numFmtId="0" fontId="15" fillId="0" borderId="0" xfId="0" applyFont="1" applyAlignment="1">
      <alignment horizontal="center"/>
    </xf>
    <xf numFmtId="0" fontId="41" fillId="0" borderId="0" xfId="0" applyFont="1" applyAlignment="1">
      <alignment horizontal="center" vertical="center" wrapText="1"/>
    </xf>
    <xf numFmtId="0" fontId="15" fillId="12" borderId="29" xfId="2" applyFont="1" applyFill="1" applyBorder="1" applyAlignment="1">
      <alignment horizontal="center"/>
    </xf>
    <xf numFmtId="0" fontId="15" fillId="12" borderId="30" xfId="2" applyFont="1" applyFill="1" applyBorder="1" applyAlignment="1">
      <alignment horizontal="center"/>
    </xf>
    <xf numFmtId="0" fontId="15" fillId="12" borderId="31" xfId="2" applyFont="1" applyFill="1" applyBorder="1" applyAlignment="1">
      <alignment horizontal="center"/>
    </xf>
    <xf numFmtId="0" fontId="5" fillId="12" borderId="32" xfId="2" applyFont="1" applyFill="1" applyBorder="1" applyAlignment="1">
      <alignment horizontal="left" wrapText="1"/>
    </xf>
    <xf numFmtId="0" fontId="5" fillId="12" borderId="0" xfId="2" applyFont="1" applyFill="1" applyBorder="1" applyAlignment="1">
      <alignment horizontal="left" wrapText="1"/>
    </xf>
    <xf numFmtId="0" fontId="5" fillId="12" borderId="33" xfId="2" applyFont="1" applyFill="1" applyBorder="1" applyAlignment="1">
      <alignment horizontal="left" wrapText="1"/>
    </xf>
    <xf numFmtId="0" fontId="5" fillId="12" borderId="34" xfId="2" applyFont="1" applyFill="1" applyBorder="1" applyAlignment="1">
      <alignment horizontal="left" wrapText="1"/>
    </xf>
    <xf numFmtId="0" fontId="5" fillId="12" borderId="35" xfId="2" applyFont="1" applyFill="1" applyBorder="1" applyAlignment="1">
      <alignment horizontal="left" wrapText="1"/>
    </xf>
    <xf numFmtId="0" fontId="5" fillId="12" borderId="36" xfId="2" applyFont="1" applyFill="1" applyBorder="1" applyAlignment="1">
      <alignment horizontal="left" wrapText="1"/>
    </xf>
    <xf numFmtId="0" fontId="21" fillId="0" borderId="28" xfId="0" applyFont="1" applyBorder="1" applyAlignment="1">
      <alignment horizontal="center"/>
    </xf>
    <xf numFmtId="0" fontId="17" fillId="2" borderId="29" xfId="1" applyFont="1" applyBorder="1" applyAlignment="1">
      <alignment horizontal="center"/>
    </xf>
    <xf numFmtId="0" fontId="17" fillId="2" borderId="30" xfId="1" applyFont="1" applyBorder="1" applyAlignment="1">
      <alignment horizontal="center"/>
    </xf>
    <xf numFmtId="0" fontId="17" fillId="2" borderId="31" xfId="1" applyFont="1" applyBorder="1" applyAlignment="1">
      <alignment horizontal="center"/>
    </xf>
    <xf numFmtId="0" fontId="15" fillId="3" borderId="29" xfId="2" applyFont="1" applyBorder="1" applyAlignment="1">
      <alignment horizontal="center"/>
    </xf>
    <xf numFmtId="0" fontId="15" fillId="3" borderId="30" xfId="2" applyFont="1" applyBorder="1" applyAlignment="1">
      <alignment horizontal="center"/>
    </xf>
    <xf numFmtId="0" fontId="15" fillId="3" borderId="31" xfId="2" applyFont="1" applyBorder="1" applyAlignment="1">
      <alignment horizontal="center"/>
    </xf>
    <xf numFmtId="0" fontId="23" fillId="2" borderId="32" xfId="1" applyFont="1" applyBorder="1" applyAlignment="1">
      <alignment horizontal="left" wrapText="1"/>
    </xf>
    <xf numFmtId="0" fontId="23" fillId="2" borderId="0" xfId="1" applyFont="1" applyBorder="1" applyAlignment="1">
      <alignment horizontal="left" wrapText="1"/>
    </xf>
    <xf numFmtId="0" fontId="23" fillId="2" borderId="33" xfId="1" applyFont="1" applyBorder="1" applyAlignment="1">
      <alignment horizontal="left" wrapText="1"/>
    </xf>
    <xf numFmtId="0" fontId="23" fillId="2" borderId="34" xfId="1" applyFont="1" applyBorder="1" applyAlignment="1">
      <alignment horizontal="left" wrapText="1"/>
    </xf>
    <xf numFmtId="0" fontId="23" fillId="2" borderId="35" xfId="1" applyFont="1" applyBorder="1" applyAlignment="1">
      <alignment horizontal="left" wrapText="1"/>
    </xf>
    <xf numFmtId="0" fontId="23" fillId="2" borderId="36" xfId="1" applyFont="1" applyBorder="1" applyAlignment="1">
      <alignment horizontal="left" wrapText="1"/>
    </xf>
    <xf numFmtId="0" fontId="5" fillId="3" borderId="32" xfId="2" applyFont="1" applyBorder="1" applyAlignment="1">
      <alignment horizontal="left" wrapText="1"/>
    </xf>
    <xf numFmtId="0" fontId="5" fillId="3" borderId="0" xfId="2" applyFont="1" applyBorder="1" applyAlignment="1">
      <alignment horizontal="left" wrapText="1"/>
    </xf>
    <xf numFmtId="0" fontId="5" fillId="3" borderId="33" xfId="2" applyFont="1" applyBorder="1" applyAlignment="1">
      <alignment horizontal="left" wrapText="1"/>
    </xf>
    <xf numFmtId="0" fontId="5" fillId="3" borderId="34" xfId="2" applyFont="1" applyBorder="1" applyAlignment="1">
      <alignment horizontal="left" wrapText="1"/>
    </xf>
    <xf numFmtId="0" fontId="5" fillId="3" borderId="35" xfId="2" applyFont="1" applyBorder="1" applyAlignment="1">
      <alignment horizontal="left" wrapText="1"/>
    </xf>
    <xf numFmtId="0" fontId="5" fillId="3" borderId="36" xfId="2" applyFont="1" applyBorder="1" applyAlignment="1">
      <alignment horizontal="left" wrapText="1"/>
    </xf>
    <xf numFmtId="0" fontId="28" fillId="0" borderId="0" xfId="0" applyFont="1" applyAlignment="1">
      <alignment horizontal="center"/>
    </xf>
    <xf numFmtId="0" fontId="24" fillId="0" borderId="28" xfId="0" applyFont="1" applyBorder="1" applyAlignment="1">
      <alignment horizontal="center" vertical="center" wrapText="1"/>
    </xf>
    <xf numFmtId="0" fontId="25" fillId="0" borderId="0" xfId="0" applyFont="1" applyAlignment="1">
      <alignment horizontal="left"/>
    </xf>
    <xf numFmtId="0" fontId="28" fillId="13" borderId="0" xfId="0" applyFont="1" applyFill="1" applyAlignment="1">
      <alignment horizontal="left" vertical="center" wrapText="1"/>
    </xf>
    <xf numFmtId="0" fontId="29" fillId="0" borderId="0" xfId="0" applyFont="1" applyAlignment="1">
      <alignment horizontal="center"/>
    </xf>
    <xf numFmtId="0" fontId="30" fillId="0" borderId="0" xfId="0" applyFont="1" applyAlignment="1">
      <alignment horizontal="center"/>
    </xf>
    <xf numFmtId="0" fontId="31" fillId="0" borderId="0" xfId="0" applyFont="1" applyAlignment="1">
      <alignment horizontal="center"/>
    </xf>
    <xf numFmtId="0" fontId="32" fillId="0" borderId="0" xfId="0" applyFont="1" applyAlignment="1">
      <alignment horizontal="left" vertical="center" wrapText="1"/>
    </xf>
    <xf numFmtId="0" fontId="32" fillId="0" borderId="0" xfId="0" applyFont="1" applyAlignment="1">
      <alignment horizontal="center" vertical="center" wrapText="1"/>
    </xf>
    <xf numFmtId="0" fontId="33" fillId="0" borderId="0" xfId="0" applyFont="1" applyAlignment="1">
      <alignment horizontal="left"/>
    </xf>
    <xf numFmtId="0" fontId="28" fillId="0" borderId="0" xfId="0" applyFont="1" applyAlignment="1">
      <alignment horizontal="left" wrapText="1"/>
    </xf>
    <xf numFmtId="0" fontId="3" fillId="14" borderId="11" xfId="7" applyFont="1" applyBorder="1" applyAlignment="1">
      <alignment horizontal="left" wrapText="1"/>
    </xf>
    <xf numFmtId="0" fontId="7" fillId="0" borderId="0" xfId="0" applyFont="1" applyAlignment="1">
      <alignment horizontal="left" vertical="center" wrapText="1"/>
    </xf>
    <xf numFmtId="0" fontId="35" fillId="14" borderId="11" xfId="7" applyFont="1" applyBorder="1" applyAlignment="1">
      <alignment horizontal="center"/>
    </xf>
    <xf numFmtId="0" fontId="3" fillId="14" borderId="1" xfId="7" applyFont="1" applyBorder="1" applyAlignment="1">
      <alignment horizontal="left" wrapText="1"/>
    </xf>
    <xf numFmtId="0" fontId="3" fillId="14" borderId="4" xfId="7" applyFont="1" applyBorder="1" applyAlignment="1">
      <alignment horizontal="left" wrapText="1"/>
    </xf>
    <xf numFmtId="0" fontId="3" fillId="14" borderId="5" xfId="7" applyFont="1" applyBorder="1" applyAlignment="1">
      <alignment horizontal="left" wrapText="1"/>
    </xf>
    <xf numFmtId="0" fontId="3" fillId="14" borderId="9" xfId="7" applyFont="1" applyBorder="1" applyAlignment="1">
      <alignment horizontal="left" wrapText="1"/>
    </xf>
    <xf numFmtId="0" fontId="3" fillId="14" borderId="10" xfId="7" applyFont="1" applyBorder="1" applyAlignment="1">
      <alignment horizontal="left" wrapText="1"/>
    </xf>
    <xf numFmtId="0" fontId="3" fillId="14" borderId="8" xfId="7" applyFont="1" applyBorder="1" applyAlignment="1">
      <alignment horizontal="left" wrapText="1"/>
    </xf>
    <xf numFmtId="0" fontId="4" fillId="4" borderId="0" xfId="0" applyFont="1" applyFill="1" applyAlignment="1">
      <alignment horizontal="center" wrapText="1"/>
    </xf>
    <xf numFmtId="0" fontId="5" fillId="0" borderId="0" xfId="3" applyFont="1" applyAlignment="1">
      <alignment horizontal="left"/>
    </xf>
    <xf numFmtId="0" fontId="7" fillId="0" borderId="0" xfId="3" applyFont="1" applyAlignment="1">
      <alignment horizontal="center"/>
    </xf>
    <xf numFmtId="0" fontId="11" fillId="0" borderId="6" xfId="3" applyFont="1" applyBorder="1" applyAlignment="1">
      <alignment horizontal="left"/>
    </xf>
    <xf numFmtId="0" fontId="11" fillId="0" borderId="0" xfId="3" applyFont="1" applyAlignment="1">
      <alignment horizontal="left"/>
    </xf>
    <xf numFmtId="0" fontId="7" fillId="0" borderId="2" xfId="3" applyFont="1" applyBorder="1" applyAlignment="1">
      <alignment horizontal="center"/>
    </xf>
    <xf numFmtId="0" fontId="7" fillId="0" borderId="3" xfId="3" applyFont="1" applyBorder="1" applyAlignment="1">
      <alignment horizontal="center"/>
    </xf>
    <xf numFmtId="0" fontId="3" fillId="0" borderId="1" xfId="3" applyFont="1" applyBorder="1" applyAlignment="1">
      <alignment horizontal="center"/>
    </xf>
    <xf numFmtId="0" fontId="3" fillId="0" borderId="4" xfId="3" applyFont="1" applyBorder="1" applyAlignment="1">
      <alignment horizontal="center"/>
    </xf>
    <xf numFmtId="0" fontId="7" fillId="0" borderId="6" xfId="3" applyFont="1" applyBorder="1" applyAlignment="1">
      <alignment horizontal="left"/>
    </xf>
    <xf numFmtId="0" fontId="7" fillId="0" borderId="0" xfId="3" applyFont="1" applyAlignment="1">
      <alignment horizontal="left"/>
    </xf>
    <xf numFmtId="0" fontId="8" fillId="0" borderId="6" xfId="3" applyFont="1" applyBorder="1" applyAlignment="1">
      <alignment horizontal="left"/>
    </xf>
    <xf numFmtId="0" fontId="8" fillId="0" borderId="0" xfId="3" applyFont="1" applyAlignment="1">
      <alignment horizontal="left"/>
    </xf>
    <xf numFmtId="0" fontId="11" fillId="0" borderId="9" xfId="3" applyFont="1" applyBorder="1" applyAlignment="1">
      <alignment horizontal="left"/>
    </xf>
    <xf numFmtId="0" fontId="11" fillId="0" borderId="10" xfId="3" applyFont="1" applyBorder="1" applyAlignment="1">
      <alignment horizontal="left"/>
    </xf>
    <xf numFmtId="0" fontId="3" fillId="0" borderId="0" xfId="3" applyFont="1" applyAlignment="1">
      <alignment horizontal="left"/>
    </xf>
    <xf numFmtId="0" fontId="6" fillId="0" borderId="0" xfId="3" applyFont="1" applyAlignment="1">
      <alignment horizontal="center" wrapText="1"/>
    </xf>
    <xf numFmtId="0" fontId="7" fillId="0" borderId="11" xfId="3" applyFont="1" applyBorder="1" applyAlignment="1">
      <alignment horizontal="center"/>
    </xf>
    <xf numFmtId="0" fontId="16" fillId="0" borderId="0" xfId="3" applyFont="1" applyAlignment="1">
      <alignment horizontal="left"/>
    </xf>
    <xf numFmtId="0" fontId="10" fillId="0" borderId="0" xfId="3" applyFont="1" applyAlignment="1">
      <alignment horizontal="left"/>
    </xf>
    <xf numFmtId="0" fontId="7" fillId="5" borderId="0" xfId="3" applyFont="1" applyFill="1" applyAlignment="1">
      <alignment horizontal="left"/>
    </xf>
    <xf numFmtId="0" fontId="15" fillId="6" borderId="0" xfId="3" applyFont="1" applyFill="1" applyAlignment="1">
      <alignment horizontal="left"/>
    </xf>
    <xf numFmtId="0" fontId="11" fillId="5" borderId="0" xfId="3" applyFont="1" applyFill="1" applyAlignment="1">
      <alignment horizontal="left"/>
    </xf>
    <xf numFmtId="0" fontId="11" fillId="6" borderId="0" xfId="3" applyFont="1" applyFill="1" applyAlignment="1">
      <alignment horizontal="left"/>
    </xf>
    <xf numFmtId="0" fontId="17" fillId="7" borderId="0" xfId="3" applyFont="1" applyFill="1" applyAlignment="1">
      <alignment horizontal="left" vertical="center"/>
    </xf>
    <xf numFmtId="0" fontId="8" fillId="0" borderId="0" xfId="3" applyFont="1"/>
    <xf numFmtId="0" fontId="8" fillId="0" borderId="0" xfId="3" applyFont="1" applyAlignment="1">
      <alignment horizontal="left" wrapText="1"/>
    </xf>
    <xf numFmtId="0" fontId="11" fillId="7" borderId="0" xfId="3" applyFont="1" applyFill="1"/>
    <xf numFmtId="0" fontId="11" fillId="0" borderId="0" xfId="3" applyFont="1" applyAlignment="1">
      <alignment horizontal="center" wrapText="1"/>
    </xf>
    <xf numFmtId="0" fontId="8" fillId="0" borderId="18" xfId="3" applyFont="1" applyBorder="1" applyAlignment="1">
      <alignment horizontal="left"/>
    </xf>
    <xf numFmtId="0" fontId="4" fillId="8" borderId="0" xfId="0" applyFont="1" applyFill="1" applyAlignment="1">
      <alignment horizontal="center" wrapText="1"/>
    </xf>
    <xf numFmtId="0" fontId="12" fillId="0" borderId="0" xfId="3" applyFont="1" applyAlignment="1">
      <alignment horizontal="center" vertical="center"/>
    </xf>
    <xf numFmtId="0" fontId="12" fillId="0" borderId="0" xfId="3" applyFont="1" applyAlignment="1">
      <alignment horizontal="left" vertical="center" wrapText="1"/>
    </xf>
    <xf numFmtId="0" fontId="19" fillId="0" borderId="0" xfId="3" applyFont="1" applyAlignment="1">
      <alignment horizontal="center" vertical="center"/>
    </xf>
    <xf numFmtId="0" fontId="19" fillId="0" borderId="0" xfId="3" applyFont="1" applyAlignment="1">
      <alignment horizontal="left" vertical="center" wrapText="1"/>
    </xf>
    <xf numFmtId="0" fontId="7" fillId="7" borderId="18" xfId="3" applyFont="1" applyFill="1" applyBorder="1" applyAlignment="1">
      <alignment horizontal="left"/>
    </xf>
    <xf numFmtId="0" fontId="7" fillId="7" borderId="0" xfId="3" applyFont="1" applyFill="1" applyAlignment="1">
      <alignment horizontal="left"/>
    </xf>
    <xf numFmtId="0" fontId="7" fillId="7" borderId="20" xfId="3" applyFont="1" applyFill="1" applyBorder="1" applyAlignment="1">
      <alignment horizontal="left"/>
    </xf>
    <xf numFmtId="0" fontId="7" fillId="7" borderId="21" xfId="3" applyFont="1" applyFill="1" applyBorder="1" applyAlignment="1">
      <alignment horizontal="left"/>
    </xf>
    <xf numFmtId="0" fontId="7" fillId="0" borderId="18" xfId="3" applyFont="1" applyBorder="1" applyAlignment="1">
      <alignment horizontal="left"/>
    </xf>
    <xf numFmtId="0" fontId="8" fillId="10" borderId="18" xfId="3" applyFont="1" applyFill="1" applyBorder="1" applyAlignment="1">
      <alignment horizontal="left"/>
    </xf>
    <xf numFmtId="0" fontId="8" fillId="10" borderId="0" xfId="3" applyFont="1" applyFill="1" applyAlignment="1">
      <alignment horizontal="left"/>
    </xf>
    <xf numFmtId="0" fontId="11" fillId="0" borderId="18" xfId="3" applyFont="1" applyBorder="1" applyAlignment="1">
      <alignment horizontal="left" wrapText="1"/>
    </xf>
    <xf numFmtId="0" fontId="11" fillId="0" borderId="0" xfId="3" applyFont="1" applyAlignment="1">
      <alignment horizontal="left" wrapText="1"/>
    </xf>
    <xf numFmtId="0" fontId="7" fillId="0" borderId="0" xfId="3" applyFont="1" applyAlignment="1">
      <alignment horizontal="center" vertical="center" wrapText="1"/>
    </xf>
    <xf numFmtId="0" fontId="7" fillId="0" borderId="19" xfId="3" applyFont="1" applyBorder="1" applyAlignment="1">
      <alignment horizontal="center" vertical="center" wrapText="1"/>
    </xf>
    <xf numFmtId="0" fontId="11" fillId="0" borderId="18" xfId="3" applyFont="1" applyBorder="1" applyAlignment="1">
      <alignment horizontal="left"/>
    </xf>
    <xf numFmtId="0" fontId="7" fillId="0" borderId="0" xfId="3" applyFont="1" applyAlignment="1">
      <alignment horizontal="center" vertical="center"/>
    </xf>
    <xf numFmtId="0" fontId="7" fillId="0" borderId="0" xfId="3" applyFont="1" applyAlignment="1">
      <alignment horizontal="left" wrapText="1"/>
    </xf>
    <xf numFmtId="0" fontId="7" fillId="0" borderId="15" xfId="3" applyFont="1" applyBorder="1" applyAlignment="1">
      <alignment horizontal="center" vertical="center" wrapText="1"/>
    </xf>
    <xf numFmtId="0" fontId="7" fillId="0" borderId="16" xfId="3" applyFont="1" applyBorder="1" applyAlignment="1">
      <alignment horizontal="center" vertical="center" wrapText="1"/>
    </xf>
    <xf numFmtId="0" fontId="7" fillId="0" borderId="17" xfId="3" applyFont="1" applyBorder="1" applyAlignment="1">
      <alignment horizontal="center" vertical="center" wrapText="1"/>
    </xf>
    <xf numFmtId="0" fontId="7" fillId="0" borderId="18" xfId="3" applyFont="1" applyBorder="1" applyAlignment="1">
      <alignment horizontal="center" vertical="center" wrapText="1"/>
    </xf>
    <xf numFmtId="0" fontId="7" fillId="0" borderId="23" xfId="3" applyFont="1" applyBorder="1" applyAlignment="1">
      <alignment horizontal="center" vertical="center" wrapText="1"/>
    </xf>
    <xf numFmtId="0" fontId="7" fillId="0" borderId="14" xfId="3" applyFont="1" applyBorder="1" applyAlignment="1">
      <alignment horizontal="center" vertical="center" wrapText="1"/>
    </xf>
    <xf numFmtId="0" fontId="7" fillId="0" borderId="24" xfId="3" applyFont="1" applyBorder="1" applyAlignment="1">
      <alignment horizontal="center" vertical="center" wrapText="1"/>
    </xf>
    <xf numFmtId="0" fontId="3" fillId="0" borderId="0" xfId="9" applyFont="1" applyAlignment="1">
      <alignment horizontal="left"/>
    </xf>
    <xf numFmtId="0" fontId="4" fillId="5" borderId="0" xfId="9" applyFont="1" applyFill="1" applyAlignment="1">
      <alignment horizontal="center" wrapText="1"/>
    </xf>
    <xf numFmtId="0" fontId="7" fillId="0" borderId="0" xfId="9" applyFont="1" applyAlignment="1">
      <alignment horizontal="center"/>
    </xf>
    <xf numFmtId="0" fontId="16" fillId="0" borderId="0" xfId="9" applyFont="1" applyAlignment="1">
      <alignment horizontal="left"/>
    </xf>
    <xf numFmtId="0" fontId="10" fillId="0" borderId="0" xfId="9" applyFont="1" applyAlignment="1">
      <alignment horizontal="left"/>
    </xf>
    <xf numFmtId="0" fontId="7" fillId="0" borderId="0" xfId="9" applyFont="1" applyAlignment="1">
      <alignment horizontal="left"/>
    </xf>
    <xf numFmtId="0" fontId="7" fillId="5" borderId="0" xfId="9" applyFont="1" applyFill="1" applyAlignment="1">
      <alignment horizontal="left"/>
    </xf>
    <xf numFmtId="0" fontId="15" fillId="6" borderId="0" xfId="9" applyFont="1" applyFill="1" applyAlignment="1">
      <alignment horizontal="left"/>
    </xf>
    <xf numFmtId="0" fontId="11" fillId="0" borderId="0" xfId="9" applyFont="1" applyAlignment="1">
      <alignment horizontal="center" wrapText="1"/>
    </xf>
    <xf numFmtId="0" fontId="8" fillId="0" borderId="0" xfId="9" applyFont="1" applyAlignment="1">
      <alignment horizontal="left"/>
    </xf>
    <xf numFmtId="0" fontId="11" fillId="6" borderId="0" xfId="9" applyFont="1" applyFill="1" applyAlignment="1">
      <alignment horizontal="left"/>
    </xf>
    <xf numFmtId="0" fontId="17" fillId="7" borderId="0" xfId="9" applyFont="1" applyFill="1" applyAlignment="1">
      <alignment horizontal="left" vertical="center"/>
    </xf>
    <xf numFmtId="0" fontId="8" fillId="0" borderId="0" xfId="9" applyFont="1"/>
    <xf numFmtId="0" fontId="8" fillId="0" borderId="0" xfId="9" applyFont="1" applyAlignment="1">
      <alignment horizontal="left" wrapText="1"/>
    </xf>
    <xf numFmtId="0" fontId="11" fillId="7" borderId="0" xfId="9" applyFont="1" applyFill="1"/>
    <xf numFmtId="0" fontId="11" fillId="5" borderId="0" xfId="9" applyFont="1" applyFill="1" applyAlignment="1">
      <alignment horizontal="left"/>
    </xf>
    <xf numFmtId="0" fontId="39" fillId="0" borderId="40" xfId="9" applyFont="1" applyBorder="1" applyAlignment="1">
      <alignment horizontal="center"/>
    </xf>
    <xf numFmtId="0" fontId="39" fillId="0" borderId="41" xfId="9" applyFont="1" applyBorder="1" applyAlignment="1">
      <alignment horizontal="center"/>
    </xf>
    <xf numFmtId="0" fontId="39" fillId="0" borderId="42" xfId="9" applyFont="1" applyBorder="1" applyAlignment="1">
      <alignment horizontal="center"/>
    </xf>
    <xf numFmtId="0" fontId="7" fillId="0" borderId="0" xfId="9" applyFont="1" applyAlignment="1">
      <alignment horizontal="center" vertical="center"/>
    </xf>
    <xf numFmtId="0" fontId="7" fillId="0" borderId="16" xfId="9" applyFont="1" applyBorder="1" applyAlignment="1">
      <alignment horizontal="center" vertical="center"/>
    </xf>
    <xf numFmtId="0" fontId="19" fillId="0" borderId="16" xfId="9" applyFont="1" applyBorder="1" applyAlignment="1">
      <alignment horizontal="center" vertical="center" wrapText="1"/>
    </xf>
    <xf numFmtId="0" fontId="19" fillId="0" borderId="10" xfId="9" applyFont="1" applyBorder="1" applyAlignment="1">
      <alignment horizontal="center" vertical="center" wrapText="1"/>
    </xf>
    <xf numFmtId="0" fontId="6" fillId="0" borderId="2" xfId="9" applyFont="1" applyBorder="1" applyAlignment="1">
      <alignment horizontal="left"/>
    </xf>
    <xf numFmtId="0" fontId="6" fillId="0" borderId="12" xfId="9" applyFont="1" applyBorder="1" applyAlignment="1">
      <alignment horizontal="left"/>
    </xf>
    <xf numFmtId="0" fontId="6" fillId="0" borderId="3" xfId="9" applyFont="1" applyBorder="1" applyAlignment="1">
      <alignment horizontal="left"/>
    </xf>
    <xf numFmtId="0" fontId="3" fillId="0" borderId="6" xfId="9" applyFont="1" applyBorder="1" applyAlignment="1">
      <alignment horizontal="left" wrapText="1"/>
    </xf>
    <xf numFmtId="0" fontId="3" fillId="0" borderId="0" xfId="9" applyFont="1" applyAlignment="1">
      <alignment horizontal="left" wrapText="1"/>
    </xf>
    <xf numFmtId="0" fontId="3" fillId="0" borderId="4" xfId="9" applyFont="1" applyBorder="1" applyAlignment="1">
      <alignment horizontal="center"/>
    </xf>
    <xf numFmtId="0" fontId="3" fillId="0" borderId="6" xfId="9" applyFont="1" applyBorder="1" applyAlignment="1">
      <alignment horizontal="left" vertical="center" wrapText="1"/>
    </xf>
    <xf numFmtId="0" fontId="3" fillId="0" borderId="0" xfId="9" applyFont="1" applyAlignment="1">
      <alignment horizontal="left" vertical="center" wrapText="1"/>
    </xf>
    <xf numFmtId="0" fontId="3" fillId="0" borderId="10" xfId="9" applyFont="1" applyBorder="1" applyAlignment="1">
      <alignment horizontal="center"/>
    </xf>
    <xf numFmtId="0" fontId="3" fillId="0" borderId="6" xfId="9" applyFont="1" applyBorder="1" applyAlignment="1">
      <alignment vertical="center" wrapText="1"/>
    </xf>
    <xf numFmtId="0" fontId="3" fillId="0" borderId="0" xfId="9" applyFont="1" applyAlignment="1">
      <alignment vertical="center" wrapText="1"/>
    </xf>
    <xf numFmtId="0" fontId="3" fillId="0" borderId="0" xfId="9" applyFont="1" applyAlignment="1">
      <alignment horizontal="center"/>
    </xf>
    <xf numFmtId="0" fontId="3" fillId="0" borderId="10" xfId="9" applyFont="1" applyBorder="1" applyAlignment="1">
      <alignment horizontal="center" wrapText="1"/>
    </xf>
    <xf numFmtId="0" fontId="3" fillId="0" borderId="9" xfId="9" applyFont="1" applyBorder="1" applyAlignment="1">
      <alignment horizontal="left" wrapText="1"/>
    </xf>
    <xf numFmtId="0" fontId="3" fillId="0" borderId="10" xfId="9" applyFont="1" applyBorder="1" applyAlignment="1">
      <alignment horizontal="left" wrapText="1"/>
    </xf>
    <xf numFmtId="0" fontId="6" fillId="0" borderId="1" xfId="9" applyFont="1" applyBorder="1" applyAlignment="1">
      <alignment horizontal="left"/>
    </xf>
    <xf numFmtId="0" fontId="6" fillId="0" borderId="4" xfId="9" applyFont="1" applyBorder="1" applyAlignment="1">
      <alignment horizontal="left"/>
    </xf>
    <xf numFmtId="0" fontId="3" fillId="0" borderId="12" xfId="9" applyFont="1" applyBorder="1" applyAlignment="1">
      <alignment horizontal="center"/>
    </xf>
    <xf numFmtId="0" fontId="7" fillId="0" borderId="0" xfId="0" applyFont="1" applyAlignment="1">
      <alignment horizontal="left"/>
    </xf>
    <xf numFmtId="0" fontId="7" fillId="0" borderId="0" xfId="0" applyFont="1" applyAlignment="1">
      <alignment horizontal="center" vertical="center"/>
    </xf>
    <xf numFmtId="0" fontId="19" fillId="0" borderId="0" xfId="0" applyFont="1" applyAlignment="1">
      <alignment horizontal="center" vertical="center" wrapText="1"/>
    </xf>
    <xf numFmtId="0" fontId="19" fillId="0" borderId="0" xfId="0" applyFont="1" applyAlignment="1">
      <alignment horizontal="center" wrapText="1"/>
    </xf>
    <xf numFmtId="0" fontId="7" fillId="9" borderId="11" xfId="0" applyFont="1" applyFill="1" applyBorder="1" applyAlignment="1">
      <alignment horizontal="left" vertical="center"/>
    </xf>
    <xf numFmtId="0" fontId="3" fillId="9" borderId="11" xfId="0" applyFont="1" applyFill="1" applyBorder="1" applyAlignment="1">
      <alignment horizontal="center"/>
    </xf>
    <xf numFmtId="0" fontId="3" fillId="9" borderId="11" xfId="0" applyFont="1" applyFill="1" applyBorder="1" applyAlignment="1">
      <alignment horizontal="left" vertical="center" wrapText="1"/>
    </xf>
    <xf numFmtId="0" fontId="19" fillId="0" borderId="0" xfId="0" applyFont="1" applyAlignment="1">
      <alignment horizontal="center" vertical="center"/>
    </xf>
    <xf numFmtId="0" fontId="19" fillId="0" borderId="0" xfId="0" applyFont="1" applyAlignment="1">
      <alignment horizontal="left" wrapText="1"/>
    </xf>
    <xf numFmtId="0" fontId="19" fillId="9" borderId="11" xfId="0" applyFont="1" applyFill="1" applyBorder="1" applyAlignment="1">
      <alignment horizontal="center" vertical="center" wrapText="1"/>
    </xf>
    <xf numFmtId="0" fontId="3" fillId="9" borderId="11" xfId="0" applyFont="1" applyFill="1" applyBorder="1" applyAlignment="1">
      <alignment horizontal="center" vertical="center" wrapText="1"/>
    </xf>
    <xf numFmtId="0" fontId="3" fillId="9" borderId="11" xfId="0" applyFont="1" applyFill="1" applyBorder="1" applyAlignment="1">
      <alignment horizontal="left" vertical="top" wrapText="1"/>
    </xf>
    <xf numFmtId="0" fontId="3" fillId="9" borderId="11" xfId="0" applyFont="1" applyFill="1" applyBorder="1" applyAlignment="1">
      <alignment horizontal="left" wrapText="1"/>
    </xf>
    <xf numFmtId="0" fontId="3" fillId="0" borderId="0" xfId="0" applyFont="1" applyAlignment="1">
      <alignment horizontal="left" wrapText="1"/>
    </xf>
    <xf numFmtId="0" fontId="3" fillId="0" borderId="0" xfId="0" applyFont="1" applyAlignment="1">
      <alignment horizontal="left" vertical="top" wrapText="1"/>
    </xf>
    <xf numFmtId="0" fontId="19" fillId="0" borderId="0" xfId="13" applyFont="1" applyAlignment="1">
      <alignment horizontal="center" vertical="center"/>
    </xf>
    <xf numFmtId="0" fontId="19" fillId="0" borderId="0" xfId="13" applyFont="1" applyAlignment="1">
      <alignment horizontal="left" vertical="center" wrapText="1"/>
    </xf>
    <xf numFmtId="0" fontId="7" fillId="7" borderId="18" xfId="13" applyFont="1" applyFill="1" applyBorder="1" applyAlignment="1">
      <alignment horizontal="left"/>
    </xf>
    <xf numFmtId="0" fontId="7" fillId="7" borderId="0" xfId="13" applyFont="1" applyFill="1" applyAlignment="1">
      <alignment horizontal="left"/>
    </xf>
    <xf numFmtId="0" fontId="8" fillId="0" borderId="18" xfId="13" applyFont="1" applyBorder="1" applyAlignment="1">
      <alignment horizontal="left"/>
    </xf>
    <xf numFmtId="0" fontId="8" fillId="0" borderId="0" xfId="13" applyFont="1" applyAlignment="1">
      <alignment horizontal="left"/>
    </xf>
    <xf numFmtId="0" fontId="7" fillId="0" borderId="18" xfId="13" applyFont="1" applyBorder="1" applyAlignment="1">
      <alignment horizontal="left"/>
    </xf>
    <xf numFmtId="0" fontId="7" fillId="0" borderId="0" xfId="13" applyFont="1" applyAlignment="1">
      <alignment horizontal="left"/>
    </xf>
    <xf numFmtId="0" fontId="4" fillId="8" borderId="0" xfId="13" applyFont="1" applyFill="1" applyAlignment="1">
      <alignment horizontal="center" wrapText="1"/>
    </xf>
    <xf numFmtId="0" fontId="12" fillId="0" borderId="0" xfId="13" applyFont="1" applyAlignment="1">
      <alignment horizontal="center" vertical="center"/>
    </xf>
    <xf numFmtId="0" fontId="12" fillId="0" borderId="0" xfId="13" applyFont="1" applyAlignment="1">
      <alignment horizontal="left" vertical="center" wrapText="1"/>
    </xf>
    <xf numFmtId="0" fontId="11" fillId="0" borderId="18" xfId="13" applyFont="1" applyBorder="1" applyAlignment="1">
      <alignment horizontal="left"/>
    </xf>
    <xf numFmtId="0" fontId="11" fillId="0" borderId="0" xfId="13" applyFont="1" applyAlignment="1">
      <alignment horizontal="left"/>
    </xf>
    <xf numFmtId="0" fontId="7" fillId="7" borderId="20" xfId="13" applyFont="1" applyFill="1" applyBorder="1" applyAlignment="1">
      <alignment horizontal="left"/>
    </xf>
    <xf numFmtId="0" fontId="7" fillId="7" borderId="21" xfId="13" applyFont="1" applyFill="1" applyBorder="1" applyAlignment="1">
      <alignment horizontal="left"/>
    </xf>
    <xf numFmtId="0" fontId="7" fillId="0" borderId="0" xfId="13" applyFont="1" applyAlignment="1">
      <alignment horizontal="center" vertical="center"/>
    </xf>
    <xf numFmtId="0" fontId="7" fillId="0" borderId="0" xfId="13" applyFont="1" applyAlignment="1">
      <alignment horizontal="left" wrapText="1"/>
    </xf>
    <xf numFmtId="0" fontId="8" fillId="10" borderId="18" xfId="13" applyFont="1" applyFill="1" applyBorder="1" applyAlignment="1">
      <alignment horizontal="left"/>
    </xf>
    <xf numFmtId="0" fontId="8" fillId="10" borderId="0" xfId="13" applyFont="1" applyFill="1" applyAlignment="1">
      <alignment horizontal="left"/>
    </xf>
    <xf numFmtId="0" fontId="11" fillId="0" borderId="18" xfId="13" applyFont="1" applyBorder="1" applyAlignment="1">
      <alignment horizontal="left" wrapText="1"/>
    </xf>
    <xf numFmtId="0" fontId="11" fillId="0" borderId="0" xfId="13" applyFont="1" applyAlignment="1">
      <alignment horizontal="left" wrapText="1"/>
    </xf>
    <xf numFmtId="0" fontId="7" fillId="0" borderId="0" xfId="13" applyFont="1" applyAlignment="1">
      <alignment horizontal="center" vertical="center" wrapText="1"/>
    </xf>
    <xf numFmtId="0" fontId="7" fillId="0" borderId="19" xfId="13" applyFont="1" applyBorder="1" applyAlignment="1">
      <alignment horizontal="center" vertical="center" wrapText="1"/>
    </xf>
    <xf numFmtId="0" fontId="7" fillId="0" borderId="15" xfId="13" applyFont="1" applyBorder="1" applyAlignment="1">
      <alignment horizontal="center" vertical="center" wrapText="1"/>
    </xf>
    <xf numFmtId="0" fontId="7" fillId="0" borderId="16" xfId="13" applyFont="1" applyBorder="1" applyAlignment="1">
      <alignment horizontal="center" vertical="center" wrapText="1"/>
    </xf>
    <xf numFmtId="0" fontId="7" fillId="0" borderId="17" xfId="13" applyFont="1" applyBorder="1" applyAlignment="1">
      <alignment horizontal="center" vertical="center" wrapText="1"/>
    </xf>
    <xf numFmtId="0" fontId="7" fillId="0" borderId="18" xfId="13" applyFont="1" applyBorder="1" applyAlignment="1">
      <alignment horizontal="center" vertical="center" wrapText="1"/>
    </xf>
    <xf numFmtId="0" fontId="7" fillId="0" borderId="23" xfId="13" applyFont="1" applyBorder="1" applyAlignment="1">
      <alignment horizontal="center" vertical="center" wrapText="1"/>
    </xf>
    <xf numFmtId="0" fontId="7" fillId="0" borderId="14" xfId="13" applyFont="1" applyBorder="1" applyAlignment="1">
      <alignment horizontal="center" vertical="center" wrapText="1"/>
    </xf>
    <xf numFmtId="0" fontId="7" fillId="0" borderId="24" xfId="13" applyFont="1" applyBorder="1" applyAlignment="1">
      <alignment horizontal="center" vertical="center" wrapText="1"/>
    </xf>
    <xf numFmtId="0" fontId="15" fillId="0" borderId="43" xfId="13" applyFont="1" applyBorder="1" applyAlignment="1">
      <alignment horizontal="center"/>
    </xf>
    <xf numFmtId="0" fontId="7" fillId="0" borderId="11" xfId="13" applyFont="1" applyBorder="1" applyAlignment="1">
      <alignment horizontal="center" vertical="center" wrapText="1"/>
    </xf>
    <xf numFmtId="0" fontId="3" fillId="0" borderId="39" xfId="13" applyFont="1" applyBorder="1" applyAlignment="1">
      <alignment horizontal="left" vertical="center" wrapText="1"/>
    </xf>
    <xf numFmtId="0" fontId="3" fillId="0" borderId="11" xfId="13" applyFont="1" applyBorder="1" applyAlignment="1">
      <alignment horizontal="left" vertical="center" wrapText="1"/>
    </xf>
    <xf numFmtId="0" fontId="3" fillId="0" borderId="6" xfId="13" applyFont="1" applyBorder="1" applyAlignment="1">
      <alignment horizontal="left" vertical="center" wrapText="1"/>
    </xf>
    <xf numFmtId="0" fontId="3" fillId="0" borderId="0" xfId="13" applyFont="1" applyAlignment="1">
      <alignment horizontal="left" vertical="center" wrapText="1"/>
    </xf>
    <xf numFmtId="0" fontId="3" fillId="0" borderId="10" xfId="13" applyFont="1" applyBorder="1" applyAlignment="1">
      <alignment horizontal="center"/>
    </xf>
    <xf numFmtId="0" fontId="3" fillId="0" borderId="6" xfId="13" applyFont="1" applyBorder="1" applyAlignment="1">
      <alignment wrapText="1"/>
    </xf>
    <xf numFmtId="0" fontId="3" fillId="0" borderId="0" xfId="13" applyFont="1" applyAlignment="1">
      <alignment wrapText="1"/>
    </xf>
    <xf numFmtId="0" fontId="3" fillId="0" borderId="0" xfId="13" applyFont="1" applyAlignment="1">
      <alignment horizontal="center"/>
    </xf>
    <xf numFmtId="0" fontId="3" fillId="0" borderId="10" xfId="13" applyFont="1" applyBorder="1" applyAlignment="1">
      <alignment horizontal="center" wrapText="1"/>
    </xf>
    <xf numFmtId="0" fontId="7" fillId="0" borderId="0" xfId="13" applyFont="1" applyAlignment="1">
      <alignment horizontal="left" vertical="center" wrapText="1"/>
    </xf>
    <xf numFmtId="0" fontId="39" fillId="0" borderId="40" xfId="13" applyFont="1" applyBorder="1" applyAlignment="1">
      <alignment horizontal="center"/>
    </xf>
    <xf numFmtId="0" fontId="39" fillId="0" borderId="41" xfId="13" applyFont="1" applyBorder="1" applyAlignment="1">
      <alignment horizontal="center"/>
    </xf>
    <xf numFmtId="0" fontId="39" fillId="0" borderId="42" xfId="13" applyFont="1" applyBorder="1" applyAlignment="1">
      <alignment horizontal="center"/>
    </xf>
    <xf numFmtId="0" fontId="7" fillId="0" borderId="15" xfId="13" applyFont="1" applyBorder="1" applyAlignment="1">
      <alignment horizontal="center" vertical="center"/>
    </xf>
    <xf numFmtId="0" fontId="7" fillId="0" borderId="16" xfId="13" applyFont="1" applyBorder="1" applyAlignment="1">
      <alignment horizontal="center" vertical="center"/>
    </xf>
    <xf numFmtId="0" fontId="7" fillId="0" borderId="17" xfId="13" applyFont="1" applyBorder="1" applyAlignment="1">
      <alignment horizontal="center" vertical="center"/>
    </xf>
    <xf numFmtId="0" fontId="7" fillId="0" borderId="18" xfId="13" applyFont="1" applyBorder="1" applyAlignment="1">
      <alignment horizontal="center" vertical="center"/>
    </xf>
    <xf numFmtId="0" fontId="7" fillId="0" borderId="19" xfId="13" applyFont="1" applyBorder="1" applyAlignment="1">
      <alignment horizontal="center" vertical="center"/>
    </xf>
    <xf numFmtId="0" fontId="6" fillId="0" borderId="2" xfId="13" applyFont="1" applyBorder="1" applyAlignment="1">
      <alignment horizontal="left"/>
    </xf>
    <xf numFmtId="0" fontId="6" fillId="0" borderId="12" xfId="13" applyFont="1" applyBorder="1" applyAlignment="1">
      <alignment horizontal="left"/>
    </xf>
    <xf numFmtId="0" fontId="6" fillId="0" borderId="1" xfId="13" applyFont="1" applyBorder="1" applyAlignment="1">
      <alignment horizontal="left"/>
    </xf>
    <xf numFmtId="0" fontId="6" fillId="0" borderId="4" xfId="13" applyFont="1" applyBorder="1" applyAlignment="1">
      <alignment horizontal="left"/>
    </xf>
    <xf numFmtId="0" fontId="3" fillId="0" borderId="6" xfId="13" applyFont="1" applyBorder="1" applyAlignment="1">
      <alignment horizontal="left" wrapText="1"/>
    </xf>
    <xf numFmtId="0" fontId="3" fillId="0" borderId="0" xfId="13" applyFont="1" applyAlignment="1">
      <alignment horizontal="left" wrapText="1"/>
    </xf>
    <xf numFmtId="0" fontId="3" fillId="0" borderId="4" xfId="13" applyFont="1" applyBorder="1" applyAlignment="1">
      <alignment horizontal="center"/>
    </xf>
    <xf numFmtId="0" fontId="3" fillId="0" borderId="9" xfId="13" applyFont="1" applyBorder="1" applyAlignment="1">
      <alignment horizontal="left" wrapText="1"/>
    </xf>
    <xf numFmtId="0" fontId="3" fillId="0" borderId="10" xfId="13" applyFont="1" applyBorder="1" applyAlignment="1">
      <alignment horizontal="left" wrapText="1"/>
    </xf>
    <xf numFmtId="0" fontId="3" fillId="0" borderId="12" xfId="13" applyFont="1" applyBorder="1" applyAlignment="1">
      <alignment horizontal="center"/>
    </xf>
    <xf numFmtId="0" fontId="3" fillId="0" borderId="11" xfId="13" applyFont="1" applyBorder="1" applyAlignment="1">
      <alignment horizontal="left" wrapText="1"/>
    </xf>
    <xf numFmtId="0" fontId="3" fillId="0" borderId="39" xfId="13" applyFont="1" applyBorder="1" applyAlignment="1">
      <alignment horizontal="left" wrapText="1"/>
    </xf>
    <xf numFmtId="0" fontId="3" fillId="0" borderId="46" xfId="13" applyFont="1" applyBorder="1" applyAlignment="1">
      <alignment horizontal="center" vertical="center" wrapText="1"/>
    </xf>
    <xf numFmtId="0" fontId="3" fillId="0" borderId="47" xfId="13" applyFont="1" applyBorder="1" applyAlignment="1">
      <alignment horizontal="center" vertical="center" wrapText="1"/>
    </xf>
    <xf numFmtId="0" fontId="3" fillId="0" borderId="48" xfId="13" applyFont="1" applyBorder="1" applyAlignment="1">
      <alignment horizontal="center" vertical="center" wrapText="1"/>
    </xf>
    <xf numFmtId="0" fontId="3" fillId="0" borderId="6" xfId="13" applyFont="1" applyBorder="1" applyAlignment="1">
      <alignment horizontal="center" vertical="center" wrapText="1"/>
    </xf>
    <xf numFmtId="0" fontId="3" fillId="0" borderId="0" xfId="13" applyFont="1" applyAlignment="1">
      <alignment horizontal="center" vertical="center" wrapText="1"/>
    </xf>
    <xf numFmtId="0" fontId="3" fillId="0" borderId="7" xfId="13" applyFont="1" applyBorder="1" applyAlignment="1">
      <alignment horizontal="center" vertical="center" wrapText="1"/>
    </xf>
    <xf numFmtId="0" fontId="3" fillId="0" borderId="9" xfId="13" applyFont="1" applyBorder="1" applyAlignment="1">
      <alignment horizontal="center" vertical="center" wrapText="1"/>
    </xf>
    <xf numFmtId="0" fontId="3" fillId="0" borderId="10" xfId="13" applyFont="1" applyBorder="1" applyAlignment="1">
      <alignment horizontal="center" vertical="center" wrapText="1"/>
    </xf>
    <xf numFmtId="0" fontId="3" fillId="0" borderId="8" xfId="13" applyFont="1" applyBorder="1" applyAlignment="1">
      <alignment horizontal="center" vertical="center" wrapText="1"/>
    </xf>
    <xf numFmtId="10" fontId="3" fillId="0" borderId="10" xfId="6" applyNumberFormat="1" applyFont="1" applyBorder="1"/>
    <xf numFmtId="43" fontId="40" fillId="16" borderId="0" xfId="8" applyNumberFormat="1" applyFont="1" applyFill="1" applyAlignment="1">
      <alignment horizontal="center"/>
    </xf>
    <xf numFmtId="9" fontId="40" fillId="15" borderId="0" xfId="15" applyFont="1" applyFill="1" applyAlignment="1">
      <alignment horizontal="center"/>
    </xf>
    <xf numFmtId="9" fontId="40" fillId="16" borderId="0" xfId="15" applyFont="1" applyFill="1" applyAlignment="1">
      <alignment horizontal="center"/>
    </xf>
    <xf numFmtId="10" fontId="3" fillId="0" borderId="0" xfId="13" applyNumberFormat="1" applyFont="1"/>
    <xf numFmtId="9" fontId="13" fillId="0" borderId="19" xfId="15" applyFont="1" applyFill="1" applyBorder="1" applyAlignment="1">
      <alignment horizontal="center"/>
    </xf>
    <xf numFmtId="9" fontId="13" fillId="0" borderId="19" xfId="15" applyFont="1" applyBorder="1" applyAlignment="1">
      <alignment horizontal="center"/>
    </xf>
    <xf numFmtId="2" fontId="13" fillId="0" borderId="19" xfId="8" applyNumberFormat="1" applyFont="1" applyFill="1" applyBorder="1" applyAlignment="1">
      <alignment horizontal="center"/>
    </xf>
  </cellXfs>
  <cellStyles count="16">
    <cellStyle name="40% - Énfasis4" xfId="2" builtinId="43"/>
    <cellStyle name="Bueno" xfId="1" builtinId="26"/>
    <cellStyle name="Incorrecto" xfId="8" builtinId="27"/>
    <cellStyle name="Millares [0] 2" xfId="4" xr:uid="{6A6744B5-CB96-43B4-A768-E274D1B08641}"/>
    <cellStyle name="Millares [0] 3" xfId="11" xr:uid="{FBFCDA13-BC01-4BB6-BE1B-CCA47648FB64}"/>
    <cellStyle name="Millares 2" xfId="6" xr:uid="{0F5C2AC4-3C34-4258-AA33-291377914264}"/>
    <cellStyle name="Millares 3" xfId="12" xr:uid="{2719F187-F47F-4B38-954C-958EC03170DC}"/>
    <cellStyle name="Moneda" xfId="14" builtinId="4"/>
    <cellStyle name="Normal" xfId="0" builtinId="0"/>
    <cellStyle name="Normal 2" xfId="3" xr:uid="{5BA9B6A8-6C6F-4845-A6DB-BECE99EECABD}"/>
    <cellStyle name="Normal 3" xfId="9" xr:uid="{7A0EBD7B-AD81-4EFD-B4DC-6A42188D29A8}"/>
    <cellStyle name="Normal 4" xfId="13" xr:uid="{73729964-153E-4687-86FB-DCE1A5FFC918}"/>
    <cellStyle name="Notas" xfId="7" builtinId="10"/>
    <cellStyle name="Porcentaje" xfId="15" builtinId="5"/>
    <cellStyle name="Porcentaje 2" xfId="5" xr:uid="{C2E3C21E-5BC1-4BE4-A50F-E9F17BBB1F03}"/>
    <cellStyle name="Porcentaje 3" xfId="10" xr:uid="{EEF824EC-4E02-47A5-873D-1A3F5A41EBD0}"/>
  </cellStyles>
  <dxfs count="20">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numFmt numFmtId="166"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D000DF-F0EB-4735-9E45-9446A80F7D1D}" name="Tabla3" displayName="Tabla3" ref="C23:E33" totalsRowShown="0" headerRowDxfId="19" dataDxfId="18">
  <autoFilter ref="C23:E33" xr:uid="{EED000DF-F0EB-4735-9E45-9446A80F7D1D}"/>
  <tableColumns count="3">
    <tableColumn id="1" xr3:uid="{9238CC6B-C0DF-41F8-AF1E-E2967E0A2FBA}" name="Rubro" dataDxfId="17"/>
    <tableColumn id="4" xr3:uid="{63EC6B03-E1A7-4549-930C-F9698DBE24C6}" name="Entrada de efectiva" dataDxfId="16"/>
    <tableColumn id="5" xr3:uid="{F999F101-9E79-4DC2-A9E9-BDE8D70A2246}" name="Salida de efectivo" dataDxfId="1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BF15D8-54E7-46EA-80D9-8956C7784EFA}" name="Tabla33" displayName="Tabla33" ref="H23:J33" totalsRowShown="0" headerRowDxfId="14" dataDxfId="13">
  <autoFilter ref="H23:J33" xr:uid="{4DBF15D8-54E7-46EA-80D9-8956C7784EFA}"/>
  <tableColumns count="3">
    <tableColumn id="1" xr3:uid="{E6F944A8-0FA5-4187-835A-55D0E81A737D}" name="Rubro" dataDxfId="12"/>
    <tableColumn id="4" xr3:uid="{FF6438F5-EC9B-41EB-937B-CF6EC0BCFFB9}" name="Entrada de efectiva" dataDxfId="11"/>
    <tableColumn id="5" xr3:uid="{1AFAEB9C-8A8A-47C0-9F85-8143FD65AD2B}" name="Salida de efectivo" dataDxfId="10"/>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2BF424-6859-42C3-B729-94B87AED3E10}" name="Tabla335" displayName="Tabla335" ref="N23:P33" totalsRowShown="0" headerRowDxfId="9" dataDxfId="8">
  <autoFilter ref="N23:P33" xr:uid="{952BF424-6859-42C3-B729-94B87AED3E10}"/>
  <tableColumns count="3">
    <tableColumn id="1" xr3:uid="{278DFB6B-7050-48BB-A920-EF6E91A1863A}" name="Rubro" dataDxfId="7"/>
    <tableColumn id="4" xr3:uid="{7497EB61-64F1-4175-AF2B-F66B3A35A9B1}" name="Entrada de efectiva" dataDxfId="6"/>
    <tableColumn id="5" xr3:uid="{EB565A85-E01F-4C43-B559-AC0D67F87BD5}" name="Salida de efectivo" dataDxfId="5"/>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1CC8C2-B248-4BC5-B563-833BE359BF17}" name="Tabla337" displayName="Tabla337" ref="T23:V33" totalsRowShown="0" headerRowDxfId="4" dataDxfId="3">
  <autoFilter ref="T23:V33" xr:uid="{531CC8C2-B248-4BC5-B563-833BE359BF17}"/>
  <tableColumns count="3">
    <tableColumn id="1" xr3:uid="{634B3797-CC00-4CBE-866A-A4D8B1107C0C}" name="Rubro" dataDxfId="2"/>
    <tableColumn id="4" xr3:uid="{07CB366B-09D4-44D7-99C0-E4829B251F79}" name="Entrada de efectiva" dataDxfId="1"/>
    <tableColumn id="5" xr3:uid="{171DDB45-EE1D-443F-B6A9-7A66E17D3F1B}" name="Salida de efectivo" dataDxfId="0"/>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E581C-853B-4396-9BB0-38380C2106E0}">
  <dimension ref="B3:Z89"/>
  <sheetViews>
    <sheetView topLeftCell="A12" zoomScaleNormal="100" workbookViewId="0">
      <selection activeCell="P78" sqref="P78"/>
    </sheetView>
  </sheetViews>
  <sheetFormatPr baseColWidth="10" defaultColWidth="9.109375" defaultRowHeight="15.6" x14ac:dyDescent="0.3"/>
  <cols>
    <col min="1" max="1" width="9.109375" style="219"/>
    <col min="2" max="2" width="62.33203125" style="219" bestFit="1" customWidth="1"/>
    <col min="3" max="3" width="17.5546875" style="219" bestFit="1" customWidth="1"/>
    <col min="4" max="4" width="9.109375" style="219"/>
    <col min="5" max="5" width="9.5546875" style="219" bestFit="1" customWidth="1"/>
    <col min="6" max="13" width="9.109375" style="219"/>
    <col min="14" max="14" width="4.33203125" style="219" customWidth="1"/>
    <col min="15" max="15" width="62.33203125" style="219" bestFit="1" customWidth="1"/>
    <col min="16" max="16" width="17.109375" style="219" bestFit="1" customWidth="1"/>
    <col min="17" max="17" width="16.5546875" style="219" bestFit="1" customWidth="1"/>
    <col min="18" max="16384" width="9.109375" style="219"/>
  </cols>
  <sheetData>
    <row r="3" spans="2:26" ht="25.8" thickBot="1" x14ac:dyDescent="0.5">
      <c r="B3" s="529" t="s">
        <v>103</v>
      </c>
      <c r="C3" s="529"/>
      <c r="D3" s="529"/>
      <c r="E3" s="529"/>
      <c r="F3" s="529"/>
      <c r="G3" s="529"/>
      <c r="H3" s="529"/>
      <c r="I3" s="529"/>
      <c r="J3" s="529"/>
      <c r="K3" s="529"/>
      <c r="L3" s="529"/>
      <c r="M3" s="529"/>
      <c r="N3" s="529"/>
      <c r="O3" s="529"/>
      <c r="P3" s="529"/>
      <c r="Q3" s="529"/>
      <c r="R3" s="529"/>
      <c r="S3" s="529"/>
      <c r="T3" s="529"/>
      <c r="U3" s="529"/>
      <c r="V3" s="529"/>
      <c r="W3" s="529"/>
      <c r="X3" s="529"/>
      <c r="Y3" s="529"/>
      <c r="Z3" s="529"/>
    </row>
    <row r="5" spans="2:26" ht="17.25" customHeight="1" x14ac:dyDescent="0.3">
      <c r="B5" s="219" t="s">
        <v>104</v>
      </c>
      <c r="N5" s="220" t="s">
        <v>105</v>
      </c>
    </row>
    <row r="6" spans="2:26" ht="17.25" customHeight="1" x14ac:dyDescent="0.3">
      <c r="N6" s="220"/>
    </row>
    <row r="7" spans="2:26" ht="17.25" customHeight="1" thickBot="1" x14ac:dyDescent="0.35">
      <c r="N7" s="220"/>
    </row>
    <row r="8" spans="2:26" x14ac:dyDescent="0.3">
      <c r="B8" s="530" t="s">
        <v>106</v>
      </c>
      <c r="C8" s="531"/>
      <c r="D8" s="531"/>
      <c r="E8" s="531"/>
      <c r="F8" s="531"/>
      <c r="G8" s="531"/>
      <c r="H8" s="531"/>
      <c r="I8" s="531"/>
      <c r="J8" s="531"/>
      <c r="K8" s="531"/>
      <c r="L8" s="531"/>
      <c r="M8" s="532"/>
      <c r="O8" s="533" t="s">
        <v>107</v>
      </c>
      <c r="P8" s="534"/>
      <c r="Q8" s="534"/>
      <c r="R8" s="534"/>
      <c r="S8" s="534"/>
      <c r="T8" s="534"/>
      <c r="U8" s="534"/>
      <c r="V8" s="534"/>
      <c r="W8" s="534"/>
      <c r="X8" s="534"/>
      <c r="Y8" s="534"/>
      <c r="Z8" s="535"/>
    </row>
    <row r="9" spans="2:26" ht="15.75" customHeight="1" x14ac:dyDescent="0.3">
      <c r="B9" s="536" t="s">
        <v>111</v>
      </c>
      <c r="C9" s="537"/>
      <c r="D9" s="537"/>
      <c r="E9" s="537"/>
      <c r="F9" s="537"/>
      <c r="G9" s="537"/>
      <c r="H9" s="537"/>
      <c r="I9" s="537"/>
      <c r="J9" s="537"/>
      <c r="K9" s="537"/>
      <c r="L9" s="537"/>
      <c r="M9" s="538"/>
      <c r="O9" s="542" t="s">
        <v>112</v>
      </c>
      <c r="P9" s="543"/>
      <c r="Q9" s="543"/>
      <c r="R9" s="543"/>
      <c r="S9" s="543"/>
      <c r="T9" s="543"/>
      <c r="U9" s="543"/>
      <c r="V9" s="543"/>
      <c r="W9" s="543"/>
      <c r="X9" s="543"/>
      <c r="Y9" s="543"/>
      <c r="Z9" s="544"/>
    </row>
    <row r="10" spans="2:26" x14ac:dyDescent="0.3">
      <c r="B10" s="536"/>
      <c r="C10" s="537"/>
      <c r="D10" s="537"/>
      <c r="E10" s="537"/>
      <c r="F10" s="537"/>
      <c r="G10" s="537"/>
      <c r="H10" s="537"/>
      <c r="I10" s="537"/>
      <c r="J10" s="537"/>
      <c r="K10" s="537"/>
      <c r="L10" s="537"/>
      <c r="M10" s="538"/>
      <c r="O10" s="542"/>
      <c r="P10" s="543"/>
      <c r="Q10" s="543"/>
      <c r="R10" s="543"/>
      <c r="S10" s="543"/>
      <c r="T10" s="543"/>
      <c r="U10" s="543"/>
      <c r="V10" s="543"/>
      <c r="W10" s="543"/>
      <c r="X10" s="543"/>
      <c r="Y10" s="543"/>
      <c r="Z10" s="544"/>
    </row>
    <row r="11" spans="2:26" ht="16.2" thickBot="1" x14ac:dyDescent="0.35">
      <c r="B11" s="539"/>
      <c r="C11" s="540"/>
      <c r="D11" s="540"/>
      <c r="E11" s="540"/>
      <c r="F11" s="540"/>
      <c r="G11" s="540"/>
      <c r="H11" s="540"/>
      <c r="I11" s="540"/>
      <c r="J11" s="540"/>
      <c r="K11" s="540"/>
      <c r="L11" s="540"/>
      <c r="M11" s="541"/>
      <c r="O11" s="545"/>
      <c r="P11" s="546"/>
      <c r="Q11" s="546"/>
      <c r="R11" s="546"/>
      <c r="S11" s="546"/>
      <c r="T11" s="546"/>
      <c r="U11" s="546"/>
      <c r="V11" s="546"/>
      <c r="W11" s="546"/>
      <c r="X11" s="546"/>
      <c r="Y11" s="546"/>
      <c r="Z11" s="547"/>
    </row>
    <row r="12" spans="2:26" x14ac:dyDescent="0.3">
      <c r="B12" s="221"/>
      <c r="C12" s="221"/>
      <c r="D12" s="221"/>
      <c r="E12" s="221"/>
      <c r="F12" s="221"/>
      <c r="G12" s="221"/>
      <c r="H12" s="221"/>
      <c r="I12" s="221"/>
      <c r="J12" s="221"/>
      <c r="K12" s="221"/>
      <c r="L12" s="221"/>
      <c r="M12" s="221"/>
      <c r="O12" s="221"/>
      <c r="P12" s="221"/>
      <c r="Q12" s="221"/>
      <c r="R12" s="221"/>
      <c r="S12" s="221"/>
      <c r="T12" s="221"/>
      <c r="U12" s="221"/>
      <c r="V12" s="221"/>
      <c r="W12" s="221"/>
      <c r="X12" s="221"/>
      <c r="Y12" s="221"/>
      <c r="Z12" s="221"/>
    </row>
    <row r="14" spans="2:26" x14ac:dyDescent="0.3">
      <c r="B14" s="222" t="s">
        <v>108</v>
      </c>
      <c r="O14" s="222" t="s">
        <v>108</v>
      </c>
    </row>
    <row r="16" spans="2:26" x14ac:dyDescent="0.3">
      <c r="B16" s="518" t="s">
        <v>270</v>
      </c>
      <c r="C16" s="518"/>
      <c r="D16" s="518"/>
      <c r="E16" s="518"/>
      <c r="F16" s="518"/>
      <c r="G16" s="518"/>
      <c r="H16" s="518"/>
      <c r="I16" s="518"/>
      <c r="O16" s="518" t="s">
        <v>270</v>
      </c>
      <c r="P16" s="518"/>
      <c r="Q16" s="518"/>
      <c r="R16" s="518"/>
      <c r="S16" s="518"/>
      <c r="T16" s="518"/>
      <c r="U16" s="518"/>
      <c r="V16" s="518"/>
    </row>
    <row r="17" spans="2:22" x14ac:dyDescent="0.3">
      <c r="B17" s="519" t="s">
        <v>271</v>
      </c>
      <c r="C17" s="519"/>
      <c r="D17" s="519"/>
      <c r="E17" s="519"/>
      <c r="F17" s="519"/>
      <c r="G17" s="519"/>
      <c r="H17" s="519"/>
      <c r="I17" s="519"/>
      <c r="O17" s="519" t="s">
        <v>271</v>
      </c>
      <c r="P17" s="519"/>
      <c r="Q17" s="519"/>
      <c r="R17" s="519"/>
      <c r="S17" s="519"/>
      <c r="T17" s="519"/>
      <c r="U17" s="519"/>
      <c r="V17" s="519"/>
    </row>
    <row r="18" spans="2:22" ht="15.6" customHeight="1" x14ac:dyDescent="0.3">
      <c r="B18" s="519"/>
      <c r="C18" s="519"/>
      <c r="D18" s="519"/>
      <c r="E18" s="519"/>
      <c r="F18" s="519"/>
      <c r="G18" s="519"/>
      <c r="H18" s="519"/>
      <c r="I18" s="519"/>
      <c r="J18" s="234"/>
      <c r="K18" s="234"/>
      <c r="L18" s="234"/>
      <c r="O18" s="519"/>
      <c r="P18" s="519"/>
      <c r="Q18" s="519"/>
      <c r="R18" s="519"/>
      <c r="S18" s="519"/>
      <c r="T18" s="519"/>
      <c r="U18" s="519"/>
      <c r="V18" s="519"/>
    </row>
    <row r="19" spans="2:22" x14ac:dyDescent="0.3">
      <c r="B19" s="503" t="s">
        <v>272</v>
      </c>
      <c r="C19" s="504">
        <v>0</v>
      </c>
      <c r="D19" s="505"/>
      <c r="E19" s="505"/>
      <c r="F19" s="505"/>
      <c r="G19" s="505"/>
      <c r="H19" s="505"/>
      <c r="I19" s="505"/>
      <c r="J19" s="234"/>
      <c r="K19" s="234"/>
      <c r="L19" s="234"/>
      <c r="O19" s="219" t="s">
        <v>276</v>
      </c>
      <c r="P19" s="509">
        <v>3000000</v>
      </c>
      <c r="Q19" s="505"/>
      <c r="R19" s="505"/>
      <c r="S19" s="505"/>
      <c r="T19" s="505"/>
      <c r="U19" s="505"/>
      <c r="V19" s="505"/>
    </row>
    <row r="20" spans="2:22" x14ac:dyDescent="0.3">
      <c r="B20" s="506" t="s">
        <v>273</v>
      </c>
      <c r="C20" s="505"/>
      <c r="D20" s="505"/>
      <c r="E20" s="505"/>
      <c r="F20" s="505"/>
      <c r="G20" s="505"/>
      <c r="H20" s="505"/>
      <c r="I20" s="505"/>
      <c r="J20" s="234"/>
      <c r="K20" s="234"/>
      <c r="L20" s="234"/>
      <c r="O20" s="506" t="s">
        <v>273</v>
      </c>
      <c r="P20" s="509"/>
      <c r="Q20" s="505"/>
      <c r="R20" s="505"/>
      <c r="S20" s="505"/>
      <c r="T20" s="505"/>
      <c r="U20" s="505"/>
      <c r="V20" s="505"/>
    </row>
    <row r="21" spans="2:22" ht="15.6" customHeight="1" x14ac:dyDescent="0.3">
      <c r="B21" s="507" t="s">
        <v>274</v>
      </c>
      <c r="C21" s="504">
        <v>2200000</v>
      </c>
      <c r="D21" s="505"/>
      <c r="E21" s="505"/>
      <c r="F21" s="505"/>
      <c r="G21" s="505"/>
      <c r="H21" s="505"/>
      <c r="I21" s="505"/>
      <c r="J21" s="234"/>
      <c r="K21" s="234"/>
      <c r="L21" s="234"/>
      <c r="O21" s="219" t="s">
        <v>277</v>
      </c>
      <c r="P21" s="509">
        <v>2200000</v>
      </c>
      <c r="Q21" s="505"/>
      <c r="R21" s="505"/>
      <c r="S21" s="505"/>
      <c r="T21" s="505"/>
      <c r="U21" s="505"/>
      <c r="V21" s="505"/>
    </row>
    <row r="22" spans="2:22" x14ac:dyDescent="0.3">
      <c r="B22" s="219" t="s">
        <v>275</v>
      </c>
      <c r="C22" s="508">
        <f>C19-C21</f>
        <v>-2200000</v>
      </c>
      <c r="D22" s="505"/>
      <c r="E22" s="505"/>
      <c r="F22" s="505"/>
      <c r="G22" s="505"/>
      <c r="H22" s="505"/>
      <c r="I22" s="505"/>
      <c r="J22" s="234"/>
      <c r="K22" s="234"/>
      <c r="L22" s="234"/>
      <c r="O22" s="219" t="s">
        <v>202</v>
      </c>
      <c r="P22" s="509">
        <f>P19-P21</f>
        <v>800000</v>
      </c>
      <c r="Q22" s="505"/>
      <c r="R22" s="505"/>
      <c r="S22" s="505"/>
      <c r="T22" s="505"/>
      <c r="U22" s="505"/>
      <c r="V22" s="505"/>
    </row>
    <row r="23" spans="2:22" x14ac:dyDescent="0.3">
      <c r="B23" s="505"/>
      <c r="C23" s="505"/>
      <c r="D23" s="505"/>
      <c r="E23" s="505"/>
      <c r="F23" s="505"/>
      <c r="G23" s="505"/>
      <c r="H23" s="505"/>
      <c r="I23" s="505"/>
      <c r="O23" s="505"/>
      <c r="P23" s="505"/>
      <c r="Q23" s="505"/>
      <c r="R23" s="505"/>
      <c r="S23" s="505"/>
      <c r="T23" s="505"/>
      <c r="U23" s="505"/>
      <c r="V23" s="505"/>
    </row>
    <row r="24" spans="2:22" x14ac:dyDescent="0.3">
      <c r="B24" s="518" t="s">
        <v>270</v>
      </c>
      <c r="C24" s="518"/>
      <c r="D24" s="518"/>
      <c r="E24" s="518"/>
      <c r="F24" s="518"/>
      <c r="G24" s="518"/>
      <c r="H24" s="518"/>
      <c r="I24" s="518"/>
      <c r="O24" s="518" t="s">
        <v>270</v>
      </c>
      <c r="P24" s="518"/>
      <c r="Q24" s="518"/>
      <c r="R24" s="518"/>
      <c r="S24" s="518"/>
      <c r="T24" s="518"/>
      <c r="U24" s="518"/>
      <c r="V24" s="518"/>
    </row>
    <row r="25" spans="2:22" x14ac:dyDescent="0.3">
      <c r="B25" s="519" t="s">
        <v>271</v>
      </c>
      <c r="C25" s="519"/>
      <c r="D25" s="519"/>
      <c r="E25" s="519"/>
      <c r="F25" s="519"/>
      <c r="G25" s="519"/>
      <c r="H25" s="519"/>
      <c r="I25" s="519"/>
      <c r="O25" s="519" t="s">
        <v>271</v>
      </c>
      <c r="P25" s="519"/>
      <c r="Q25" s="519"/>
      <c r="R25" s="519"/>
      <c r="S25" s="519"/>
      <c r="T25" s="519"/>
      <c r="U25" s="519"/>
      <c r="V25" s="519"/>
    </row>
    <row r="26" spans="2:22" x14ac:dyDescent="0.3">
      <c r="B26" s="519"/>
      <c r="C26" s="519"/>
      <c r="D26" s="519"/>
      <c r="E26" s="519"/>
      <c r="F26" s="519"/>
      <c r="G26" s="519"/>
      <c r="H26" s="519"/>
      <c r="I26" s="519"/>
      <c r="O26" s="519"/>
      <c r="P26" s="519"/>
      <c r="Q26" s="519"/>
      <c r="R26" s="519"/>
      <c r="S26" s="519"/>
      <c r="T26" s="519"/>
      <c r="U26" s="519"/>
      <c r="V26" s="519"/>
    </row>
    <row r="27" spans="2:22" x14ac:dyDescent="0.3">
      <c r="B27" s="505"/>
      <c r="C27" s="505"/>
      <c r="D27" s="505"/>
      <c r="E27" s="505"/>
      <c r="F27" s="505"/>
      <c r="G27" s="505"/>
      <c r="H27" s="505"/>
      <c r="I27" s="505"/>
      <c r="O27" s="505"/>
      <c r="P27" s="505"/>
      <c r="Q27" s="505"/>
      <c r="R27" s="505"/>
      <c r="S27" s="505"/>
      <c r="T27" s="505"/>
      <c r="U27" s="505"/>
      <c r="V27" s="505"/>
    </row>
    <row r="28" spans="2:22" x14ac:dyDescent="0.3">
      <c r="B28" s="219" t="s">
        <v>276</v>
      </c>
      <c r="C28" s="509">
        <v>3000000</v>
      </c>
      <c r="D28" s="505"/>
      <c r="E28" s="505"/>
      <c r="F28" s="505"/>
      <c r="G28" s="505"/>
      <c r="H28" s="505"/>
      <c r="I28" s="505"/>
      <c r="O28" s="503" t="s">
        <v>272</v>
      </c>
      <c r="P28" s="504">
        <f>3000000*0.4</f>
        <v>1200000</v>
      </c>
      <c r="Q28" s="505"/>
      <c r="R28" s="505"/>
      <c r="S28" s="505"/>
      <c r="T28" s="505"/>
      <c r="U28" s="505"/>
      <c r="V28" s="505"/>
    </row>
    <row r="29" spans="2:22" x14ac:dyDescent="0.3">
      <c r="B29" s="506" t="s">
        <v>273</v>
      </c>
      <c r="C29" s="509"/>
      <c r="D29" s="505"/>
      <c r="E29" s="505"/>
      <c r="F29" s="505"/>
      <c r="G29" s="505"/>
      <c r="H29" s="505"/>
      <c r="I29" s="505"/>
      <c r="O29" s="506" t="s">
        <v>273</v>
      </c>
      <c r="P29" s="505"/>
      <c r="Q29" s="505"/>
      <c r="R29" s="505"/>
      <c r="S29" s="505"/>
      <c r="T29" s="505"/>
      <c r="U29" s="505"/>
      <c r="V29" s="505"/>
    </row>
    <row r="30" spans="2:22" ht="27.6" customHeight="1" x14ac:dyDescent="0.3">
      <c r="B30" s="219" t="s">
        <v>277</v>
      </c>
      <c r="C30" s="509">
        <f>C21</f>
        <v>2200000</v>
      </c>
      <c r="D30" s="505"/>
      <c r="E30" s="505"/>
      <c r="F30" s="505"/>
      <c r="G30" s="505"/>
      <c r="H30" s="505"/>
      <c r="I30" s="505"/>
      <c r="O30" s="507" t="s">
        <v>274</v>
      </c>
      <c r="P30" s="504">
        <v>2200000</v>
      </c>
      <c r="Q30" s="505"/>
      <c r="R30" s="505"/>
      <c r="S30" s="505"/>
      <c r="T30" s="505"/>
      <c r="U30" s="505"/>
      <c r="V30" s="505"/>
    </row>
    <row r="31" spans="2:22" x14ac:dyDescent="0.3">
      <c r="B31" s="219" t="s">
        <v>202</v>
      </c>
      <c r="C31" s="509">
        <f>C28-C30</f>
        <v>800000</v>
      </c>
      <c r="D31" s="505"/>
      <c r="E31" s="505"/>
      <c r="F31" s="505"/>
      <c r="G31" s="505"/>
      <c r="H31" s="505"/>
      <c r="I31" s="505"/>
      <c r="O31" s="219" t="s">
        <v>275</v>
      </c>
      <c r="P31" s="508">
        <f>P28-P30</f>
        <v>-1000000</v>
      </c>
      <c r="Q31" s="505"/>
      <c r="R31" s="505"/>
      <c r="S31" s="505"/>
      <c r="T31" s="505"/>
      <c r="U31" s="505"/>
      <c r="V31" s="505"/>
    </row>
    <row r="32" spans="2:22" x14ac:dyDescent="0.3">
      <c r="O32" s="505"/>
      <c r="P32" s="505"/>
      <c r="Q32" s="505"/>
      <c r="R32" s="505"/>
      <c r="S32" s="505"/>
      <c r="T32" s="505"/>
      <c r="U32" s="505"/>
      <c r="V32" s="505"/>
    </row>
    <row r="33" spans="15:22" x14ac:dyDescent="0.3">
      <c r="O33" s="219" t="s">
        <v>278</v>
      </c>
      <c r="P33" s="510">
        <v>3000000</v>
      </c>
      <c r="Q33" s="505"/>
      <c r="R33" s="505"/>
      <c r="S33" s="505"/>
      <c r="T33" s="505"/>
      <c r="U33" s="505"/>
      <c r="V33" s="505"/>
    </row>
    <row r="34" spans="15:22" x14ac:dyDescent="0.3">
      <c r="O34" s="219" t="s">
        <v>279</v>
      </c>
      <c r="P34" s="510">
        <v>600000</v>
      </c>
      <c r="Q34" s="505"/>
      <c r="R34" s="505"/>
      <c r="S34" s="505"/>
      <c r="T34" s="505"/>
      <c r="U34" s="505"/>
      <c r="V34" s="505"/>
    </row>
    <row r="35" spans="15:22" x14ac:dyDescent="0.3">
      <c r="O35" s="219" t="s">
        <v>280</v>
      </c>
      <c r="P35" s="511">
        <f>P33*0.6</f>
        <v>1800000</v>
      </c>
      <c r="Q35" s="505"/>
      <c r="R35" s="505"/>
      <c r="S35" s="505"/>
      <c r="T35" s="505"/>
      <c r="U35" s="505"/>
      <c r="V35" s="505"/>
    </row>
    <row r="36" spans="15:22" x14ac:dyDescent="0.3">
      <c r="O36" s="505"/>
      <c r="P36" s="510">
        <f>P34+P35</f>
        <v>2400000</v>
      </c>
      <c r="Q36" s="505"/>
      <c r="R36" s="505"/>
      <c r="S36" s="505"/>
      <c r="T36" s="505"/>
      <c r="U36" s="505"/>
      <c r="V36" s="505"/>
    </row>
    <row r="39" spans="15:22" ht="15.6" customHeight="1" x14ac:dyDescent="0.3">
      <c r="O39" s="235"/>
      <c r="P39" s="235"/>
      <c r="Q39" s="235"/>
      <c r="R39" s="235"/>
    </row>
    <row r="40" spans="15:22" x14ac:dyDescent="0.3">
      <c r="O40" s="235"/>
      <c r="P40" s="235"/>
      <c r="Q40" s="235"/>
      <c r="R40" s="235"/>
    </row>
    <row r="41" spans="15:22" x14ac:dyDescent="0.3">
      <c r="O41" s="235"/>
      <c r="P41" s="235"/>
      <c r="Q41" s="235"/>
      <c r="R41" s="235"/>
    </row>
    <row r="42" spans="15:22" x14ac:dyDescent="0.3">
      <c r="O42" s="235"/>
      <c r="P42" s="235"/>
      <c r="Q42" s="235"/>
      <c r="R42" s="235"/>
    </row>
    <row r="48" spans="15:22" x14ac:dyDescent="0.3">
      <c r="O48" s="222" t="s">
        <v>109</v>
      </c>
    </row>
    <row r="50" spans="15:25" x14ac:dyDescent="0.3">
      <c r="O50" s="221"/>
      <c r="P50" s="221"/>
      <c r="Q50" s="221"/>
      <c r="R50" s="221"/>
      <c r="S50" s="221"/>
      <c r="T50" s="221"/>
      <c r="U50" s="221"/>
      <c r="V50" s="221"/>
      <c r="W50" s="221"/>
      <c r="X50" s="221"/>
      <c r="Y50" s="221"/>
    </row>
    <row r="51" spans="15:25" x14ac:dyDescent="0.3">
      <c r="O51" s="221"/>
      <c r="P51" s="221"/>
      <c r="Q51" s="221"/>
      <c r="R51" s="221"/>
      <c r="S51" s="221"/>
      <c r="T51" s="221"/>
      <c r="U51" s="221"/>
      <c r="V51" s="221"/>
      <c r="W51" s="221"/>
      <c r="X51" s="221"/>
      <c r="Y51" s="221"/>
    </row>
    <row r="52" spans="15:25" x14ac:dyDescent="0.3">
      <c r="O52" s="221"/>
      <c r="P52" s="221"/>
      <c r="Q52" s="221"/>
      <c r="R52" s="221"/>
      <c r="S52" s="221"/>
      <c r="T52" s="221"/>
      <c r="U52" s="221"/>
      <c r="V52" s="221"/>
      <c r="W52" s="221"/>
      <c r="X52" s="221"/>
      <c r="Y52" s="221"/>
    </row>
    <row r="53" spans="15:25" x14ac:dyDescent="0.3">
      <c r="O53" s="221"/>
      <c r="P53" s="221"/>
      <c r="Q53" s="221"/>
      <c r="R53" s="221"/>
      <c r="S53" s="221"/>
      <c r="T53" s="221"/>
      <c r="U53" s="221"/>
      <c r="V53" s="221"/>
      <c r="W53" s="221"/>
      <c r="X53" s="221"/>
      <c r="Y53" s="221"/>
    </row>
    <row r="55" spans="15:25" ht="16.2" thickBot="1" x14ac:dyDescent="0.35"/>
    <row r="56" spans="15:25" x14ac:dyDescent="0.3">
      <c r="O56" s="520" t="s">
        <v>110</v>
      </c>
      <c r="P56" s="521"/>
      <c r="Q56" s="521"/>
      <c r="R56" s="521"/>
      <c r="S56" s="521"/>
      <c r="T56" s="521"/>
      <c r="U56" s="521"/>
      <c r="V56" s="521"/>
      <c r="W56" s="521"/>
      <c r="X56" s="521"/>
      <c r="Y56" s="522"/>
    </row>
    <row r="57" spans="15:25" x14ac:dyDescent="0.3">
      <c r="O57" s="523" t="s">
        <v>113</v>
      </c>
      <c r="P57" s="524"/>
      <c r="Q57" s="524"/>
      <c r="R57" s="524"/>
      <c r="S57" s="524"/>
      <c r="T57" s="524"/>
      <c r="U57" s="524"/>
      <c r="V57" s="524"/>
      <c r="W57" s="524"/>
      <c r="X57" s="524"/>
      <c r="Y57" s="525"/>
    </row>
    <row r="58" spans="15:25" x14ac:dyDescent="0.3">
      <c r="O58" s="523"/>
      <c r="P58" s="524"/>
      <c r="Q58" s="524"/>
      <c r="R58" s="524"/>
      <c r="S58" s="524"/>
      <c r="T58" s="524"/>
      <c r="U58" s="524"/>
      <c r="V58" s="524"/>
      <c r="W58" s="524"/>
      <c r="X58" s="524"/>
      <c r="Y58" s="525"/>
    </row>
    <row r="59" spans="15:25" ht="16.2" thickBot="1" x14ac:dyDescent="0.35">
      <c r="O59" s="526"/>
      <c r="P59" s="527"/>
      <c r="Q59" s="527"/>
      <c r="R59" s="527"/>
      <c r="S59" s="527"/>
      <c r="T59" s="527"/>
      <c r="U59" s="527"/>
      <c r="V59" s="527"/>
      <c r="W59" s="527"/>
      <c r="X59" s="527"/>
      <c r="Y59" s="528"/>
    </row>
    <row r="62" spans="15:25" x14ac:dyDescent="0.3">
      <c r="O62" s="222" t="s">
        <v>108</v>
      </c>
    </row>
    <row r="64" spans="15:25" x14ac:dyDescent="0.3">
      <c r="O64" s="518" t="s">
        <v>270</v>
      </c>
      <c r="P64" s="518"/>
      <c r="Q64" s="518"/>
      <c r="R64" s="518"/>
      <c r="S64" s="518"/>
      <c r="T64" s="518"/>
      <c r="U64" s="518"/>
      <c r="V64" s="518"/>
    </row>
    <row r="65" spans="15:22" x14ac:dyDescent="0.3">
      <c r="O65" s="519" t="s">
        <v>271</v>
      </c>
      <c r="P65" s="519"/>
      <c r="Q65" s="519"/>
      <c r="R65" s="519"/>
      <c r="S65" s="519"/>
      <c r="T65" s="519"/>
      <c r="U65" s="519"/>
      <c r="V65" s="519"/>
    </row>
    <row r="66" spans="15:22" x14ac:dyDescent="0.3">
      <c r="O66" s="519"/>
      <c r="P66" s="519"/>
      <c r="Q66" s="519"/>
      <c r="R66" s="519"/>
      <c r="S66" s="519"/>
      <c r="T66" s="519"/>
      <c r="U66" s="519"/>
      <c r="V66" s="519"/>
    </row>
    <row r="67" spans="15:22" x14ac:dyDescent="0.3">
      <c r="O67" s="219" t="s">
        <v>276</v>
      </c>
      <c r="P67" s="509">
        <f>P33</f>
        <v>3000000</v>
      </c>
      <c r="Q67" s="505"/>
      <c r="R67" s="505"/>
      <c r="S67" s="505"/>
      <c r="T67" s="505"/>
      <c r="U67" s="505"/>
      <c r="V67" s="505"/>
    </row>
    <row r="68" spans="15:22" x14ac:dyDescent="0.3">
      <c r="O68" s="506" t="s">
        <v>273</v>
      </c>
      <c r="P68" s="509"/>
      <c r="Q68" s="505"/>
      <c r="R68" s="505"/>
      <c r="S68" s="505"/>
      <c r="T68" s="505"/>
      <c r="U68" s="505"/>
      <c r="V68" s="505"/>
    </row>
    <row r="69" spans="15:22" x14ac:dyDescent="0.3">
      <c r="O69" s="219" t="s">
        <v>277</v>
      </c>
      <c r="P69" s="509">
        <f>P21</f>
        <v>2200000</v>
      </c>
      <c r="Q69" s="505"/>
      <c r="R69" s="505"/>
      <c r="S69" s="505"/>
      <c r="T69" s="505"/>
      <c r="U69" s="505"/>
      <c r="V69" s="505"/>
    </row>
    <row r="70" spans="15:22" x14ac:dyDescent="0.3">
      <c r="O70" s="219" t="s">
        <v>202</v>
      </c>
      <c r="P70" s="509">
        <f>P67-P69</f>
        <v>800000</v>
      </c>
      <c r="Q70" s="505"/>
      <c r="R70" s="505"/>
      <c r="S70" s="505"/>
      <c r="T70" s="505"/>
      <c r="U70" s="505"/>
      <c r="V70" s="505"/>
    </row>
    <row r="71" spans="15:22" x14ac:dyDescent="0.3">
      <c r="O71" s="505"/>
      <c r="P71" s="505"/>
      <c r="Q71" s="505"/>
      <c r="R71" s="505"/>
      <c r="S71" s="505"/>
      <c r="T71" s="505"/>
      <c r="U71" s="505"/>
      <c r="V71" s="505"/>
    </row>
    <row r="72" spans="15:22" x14ac:dyDescent="0.3">
      <c r="O72" s="518" t="s">
        <v>270</v>
      </c>
      <c r="P72" s="518"/>
      <c r="Q72" s="518"/>
      <c r="R72" s="518"/>
      <c r="S72" s="518"/>
      <c r="T72" s="518"/>
      <c r="U72" s="518"/>
      <c r="V72" s="518"/>
    </row>
    <row r="73" spans="15:22" x14ac:dyDescent="0.3">
      <c r="O73" s="519" t="s">
        <v>271</v>
      </c>
      <c r="P73" s="519"/>
      <c r="Q73" s="519"/>
      <c r="R73" s="519"/>
      <c r="S73" s="519"/>
      <c r="T73" s="519"/>
      <c r="U73" s="519"/>
      <c r="V73" s="519"/>
    </row>
    <row r="74" spans="15:22" x14ac:dyDescent="0.3">
      <c r="O74" s="519"/>
      <c r="P74" s="519"/>
      <c r="Q74" s="519"/>
      <c r="R74" s="519"/>
      <c r="S74" s="519"/>
      <c r="T74" s="519"/>
      <c r="U74" s="519"/>
      <c r="V74" s="519"/>
    </row>
    <row r="75" spans="15:22" x14ac:dyDescent="0.3">
      <c r="O75" s="505"/>
      <c r="P75" s="505"/>
      <c r="Q75" s="505"/>
      <c r="R75" s="505"/>
      <c r="S75" s="505"/>
      <c r="T75" s="505"/>
      <c r="U75" s="505"/>
      <c r="V75" s="505"/>
    </row>
    <row r="76" spans="15:22" x14ac:dyDescent="0.3">
      <c r="O76" s="503" t="s">
        <v>272</v>
      </c>
      <c r="P76" s="504">
        <f>Q82</f>
        <v>1500000</v>
      </c>
      <c r="Q76" s="505"/>
      <c r="R76" s="505"/>
      <c r="S76" s="505"/>
      <c r="T76" s="505"/>
      <c r="U76" s="505"/>
      <c r="V76" s="505"/>
    </row>
    <row r="77" spans="15:22" x14ac:dyDescent="0.3">
      <c r="O77" s="506" t="s">
        <v>273</v>
      </c>
      <c r="P77" s="505"/>
      <c r="Q77" s="505"/>
      <c r="R77" s="505"/>
      <c r="S77" s="505"/>
      <c r="T77" s="505"/>
      <c r="U77" s="505"/>
      <c r="V77" s="505"/>
    </row>
    <row r="78" spans="15:22" x14ac:dyDescent="0.3">
      <c r="O78" s="507" t="s">
        <v>274</v>
      </c>
      <c r="P78" s="504">
        <f>Q87</f>
        <v>550000</v>
      </c>
      <c r="Q78" s="505"/>
      <c r="R78" s="505"/>
      <c r="S78" s="505"/>
      <c r="T78" s="505"/>
      <c r="U78" s="505"/>
      <c r="V78" s="505"/>
    </row>
    <row r="79" spans="15:22" x14ac:dyDescent="0.3">
      <c r="O79" s="219" t="s">
        <v>275</v>
      </c>
      <c r="P79" s="512">
        <f>P76-P78</f>
        <v>950000</v>
      </c>
      <c r="Q79" s="505"/>
      <c r="R79" s="505"/>
      <c r="S79" s="505"/>
      <c r="T79" s="505"/>
      <c r="U79" s="505"/>
      <c r="V79" s="505"/>
    </row>
    <row r="80" spans="15:22" x14ac:dyDescent="0.3">
      <c r="O80" s="505"/>
      <c r="P80" s="505"/>
      <c r="Q80" s="505"/>
      <c r="R80" s="505"/>
      <c r="S80" s="505"/>
      <c r="T80" s="505"/>
      <c r="U80" s="505"/>
      <c r="V80" s="505"/>
    </row>
    <row r="81" spans="15:22" x14ac:dyDescent="0.3">
      <c r="O81" s="219" t="s">
        <v>278</v>
      </c>
      <c r="P81" s="510">
        <f>P67</f>
        <v>3000000</v>
      </c>
      <c r="Q81" s="505"/>
      <c r="R81" s="505"/>
      <c r="S81" s="505"/>
      <c r="T81" s="505"/>
      <c r="U81" s="505"/>
      <c r="V81" s="505"/>
    </row>
    <row r="82" spans="15:22" x14ac:dyDescent="0.3">
      <c r="O82" s="219" t="s">
        <v>281</v>
      </c>
      <c r="P82" s="513">
        <v>0.5</v>
      </c>
      <c r="Q82" s="510">
        <f>P81*P82</f>
        <v>1500000</v>
      </c>
      <c r="R82" s="505"/>
      <c r="S82" s="505"/>
      <c r="T82" s="505"/>
      <c r="U82" s="505"/>
      <c r="V82" s="505"/>
    </row>
    <row r="83" spans="15:22" x14ac:dyDescent="0.3">
      <c r="O83" s="219" t="s">
        <v>282</v>
      </c>
      <c r="P83" s="513">
        <v>0.5</v>
      </c>
      <c r="Q83" s="510">
        <f>P81*P82</f>
        <v>1500000</v>
      </c>
      <c r="R83" s="505"/>
      <c r="S83" s="505"/>
      <c r="T83" s="505"/>
      <c r="U83" s="505"/>
      <c r="V83" s="505"/>
    </row>
    <row r="84" spans="15:22" x14ac:dyDescent="0.3">
      <c r="O84" s="505"/>
      <c r="P84" s="505"/>
      <c r="Q84" s="510">
        <f>Q82+Q83</f>
        <v>3000000</v>
      </c>
      <c r="R84" s="505"/>
      <c r="S84" s="505"/>
      <c r="T84" s="505"/>
      <c r="U84" s="505"/>
      <c r="V84" s="505"/>
    </row>
    <row r="85" spans="15:22" x14ac:dyDescent="0.3">
      <c r="O85" s="505"/>
      <c r="P85" s="505"/>
      <c r="Q85" s="505"/>
      <c r="R85" s="505"/>
      <c r="S85" s="505"/>
      <c r="T85" s="505"/>
      <c r="U85" s="505"/>
      <c r="V85" s="505"/>
    </row>
    <row r="86" spans="15:22" x14ac:dyDescent="0.3">
      <c r="O86" s="219" t="s">
        <v>283</v>
      </c>
      <c r="P86" s="510">
        <v>2200000</v>
      </c>
      <c r="Q86" s="505"/>
      <c r="R86" s="505"/>
      <c r="S86" s="505"/>
      <c r="T86" s="505"/>
      <c r="U86" s="505"/>
      <c r="V86" s="505"/>
    </row>
    <row r="87" spans="15:22" x14ac:dyDescent="0.3">
      <c r="O87" s="219" t="s">
        <v>281</v>
      </c>
      <c r="P87" s="513">
        <v>0.25</v>
      </c>
      <c r="Q87" s="510">
        <f>P86*P87</f>
        <v>550000</v>
      </c>
      <c r="R87" s="505"/>
      <c r="S87" s="505"/>
      <c r="T87" s="505"/>
      <c r="U87" s="505"/>
      <c r="V87" s="505"/>
    </row>
    <row r="88" spans="15:22" x14ac:dyDescent="0.3">
      <c r="O88" s="219" t="s">
        <v>282</v>
      </c>
      <c r="P88" s="513">
        <v>0.75</v>
      </c>
      <c r="Q88" s="511">
        <f>P86*P88</f>
        <v>1650000</v>
      </c>
      <c r="R88" s="505"/>
      <c r="S88" s="505"/>
      <c r="T88" s="505"/>
      <c r="U88" s="505"/>
      <c r="V88" s="505"/>
    </row>
    <row r="89" spans="15:22" x14ac:dyDescent="0.3">
      <c r="O89" s="505"/>
      <c r="P89" s="505"/>
      <c r="Q89" s="510">
        <f>Q87+Q88</f>
        <v>2200000</v>
      </c>
      <c r="R89" s="505"/>
      <c r="S89" s="505"/>
      <c r="T89" s="505"/>
      <c r="U89" s="505"/>
      <c r="V89" s="505"/>
    </row>
  </sheetData>
  <mergeCells count="19">
    <mergeCell ref="B16:I16"/>
    <mergeCell ref="B17:I18"/>
    <mergeCell ref="B24:I24"/>
    <mergeCell ref="B25:I26"/>
    <mergeCell ref="O16:V16"/>
    <mergeCell ref="O17:V18"/>
    <mergeCell ref="O24:V24"/>
    <mergeCell ref="O25:V26"/>
    <mergeCell ref="B3:Z3"/>
    <mergeCell ref="B8:M8"/>
    <mergeCell ref="O8:Z8"/>
    <mergeCell ref="B9:M11"/>
    <mergeCell ref="O9:Z11"/>
    <mergeCell ref="O64:V64"/>
    <mergeCell ref="O65:V66"/>
    <mergeCell ref="O72:V72"/>
    <mergeCell ref="O73:V74"/>
    <mergeCell ref="O56:Y56"/>
    <mergeCell ref="O57:Y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48DF-3F39-4568-8A86-F7BEF54341D3}">
  <dimension ref="B3:W88"/>
  <sheetViews>
    <sheetView topLeftCell="E33" workbookViewId="0">
      <selection activeCell="P70" sqref="P70"/>
    </sheetView>
  </sheetViews>
  <sheetFormatPr baseColWidth="10" defaultColWidth="9.109375" defaultRowHeight="15" x14ac:dyDescent="0.25"/>
  <cols>
    <col min="1" max="2" width="9.109375" style="223"/>
    <col min="3" max="3" width="24.109375" style="223" bestFit="1" customWidth="1"/>
    <col min="4" max="4" width="25.21875" style="223" customWidth="1"/>
    <col min="5" max="5" width="23.109375" style="223" customWidth="1"/>
    <col min="6" max="7" width="9.109375" style="223"/>
    <col min="8" max="8" width="24.109375" style="223" bestFit="1" customWidth="1"/>
    <col min="9" max="9" width="25" style="223" customWidth="1"/>
    <col min="10" max="10" width="23.109375" style="223" customWidth="1"/>
    <col min="11" max="13" width="9.109375" style="223"/>
    <col min="14" max="14" width="24.88671875" style="223" bestFit="1" customWidth="1"/>
    <col min="15" max="15" width="24.6640625" style="223" bestFit="1" customWidth="1"/>
    <col min="16" max="16" width="22.88671875" style="223" bestFit="1" customWidth="1"/>
    <col min="17" max="19" width="9.109375" style="223"/>
    <col min="20" max="20" width="24.109375" style="223" bestFit="1" customWidth="1"/>
    <col min="21" max="21" width="25" style="223" customWidth="1"/>
    <col min="22" max="22" width="23.109375" style="223" customWidth="1"/>
    <col min="23" max="16384" width="9.109375" style="223"/>
  </cols>
  <sheetData>
    <row r="3" spans="2:23" ht="23.25" customHeight="1" thickBot="1" x14ac:dyDescent="0.3">
      <c r="B3" s="549" t="s">
        <v>114</v>
      </c>
      <c r="C3" s="549"/>
      <c r="D3" s="549"/>
      <c r="E3" s="549"/>
      <c r="F3" s="549"/>
      <c r="G3" s="549"/>
      <c r="H3" s="549"/>
      <c r="I3" s="549"/>
      <c r="J3" s="549"/>
      <c r="K3" s="549"/>
      <c r="L3" s="549"/>
      <c r="M3" s="549"/>
    </row>
    <row r="4" spans="2:23" ht="23.4" thickTop="1" x14ac:dyDescent="0.4">
      <c r="D4" s="224"/>
      <c r="E4" s="224"/>
      <c r="F4" s="224"/>
      <c r="G4" s="224"/>
      <c r="H4" s="224"/>
      <c r="I4" s="224"/>
      <c r="J4" s="224"/>
    </row>
    <row r="5" spans="2:23" ht="23.25" customHeight="1" x14ac:dyDescent="0.25">
      <c r="B5" s="550" t="s">
        <v>115</v>
      </c>
      <c r="C5" s="550"/>
      <c r="D5" s="550"/>
      <c r="E5" s="550"/>
      <c r="F5" s="550"/>
      <c r="G5" s="550"/>
      <c r="H5" s="550"/>
      <c r="I5" s="550"/>
      <c r="J5" s="550"/>
      <c r="K5" s="550"/>
      <c r="L5" s="550"/>
      <c r="M5" s="550"/>
    </row>
    <row r="6" spans="2:23" ht="23.25" customHeight="1" x14ac:dyDescent="0.4">
      <c r="B6" s="226" t="s">
        <v>116</v>
      </c>
      <c r="C6" s="225"/>
      <c r="D6" s="225"/>
      <c r="E6" s="225"/>
      <c r="F6" s="225"/>
      <c r="G6" s="225"/>
      <c r="H6" s="225"/>
      <c r="I6" s="225"/>
      <c r="J6" s="225"/>
      <c r="K6" s="225"/>
      <c r="L6" s="225"/>
      <c r="M6" s="225"/>
    </row>
    <row r="7" spans="2:23" ht="23.25" customHeight="1" x14ac:dyDescent="0.25">
      <c r="B7" s="225"/>
      <c r="C7" s="225"/>
      <c r="D7" s="225"/>
      <c r="E7" s="225"/>
      <c r="F7" s="225"/>
      <c r="G7" s="225"/>
      <c r="H7" s="225"/>
      <c r="I7" s="225"/>
      <c r="J7" s="225"/>
      <c r="K7" s="225"/>
      <c r="L7" s="225"/>
      <c r="M7" s="225"/>
    </row>
    <row r="8" spans="2:23" ht="15.75" customHeight="1" x14ac:dyDescent="0.25">
      <c r="B8" s="551" t="s">
        <v>117</v>
      </c>
      <c r="C8" s="551"/>
      <c r="D8" s="551"/>
      <c r="E8" s="551"/>
      <c r="F8" s="551"/>
      <c r="G8" s="551"/>
      <c r="H8" s="551"/>
      <c r="I8" s="551"/>
      <c r="J8" s="551"/>
      <c r="K8" s="551"/>
      <c r="L8" s="551"/>
      <c r="M8" s="551"/>
    </row>
    <row r="9" spans="2:23" ht="15.75" customHeight="1" x14ac:dyDescent="0.25">
      <c r="B9" s="551"/>
      <c r="C9" s="551"/>
      <c r="D9" s="551"/>
      <c r="E9" s="551"/>
      <c r="F9" s="551"/>
      <c r="G9" s="551"/>
      <c r="H9" s="551"/>
      <c r="I9" s="551"/>
      <c r="J9" s="551"/>
      <c r="K9" s="551"/>
      <c r="L9" s="551"/>
      <c r="M9" s="551"/>
    </row>
    <row r="10" spans="2:23" ht="15.75" customHeight="1" x14ac:dyDescent="0.25">
      <c r="B10" s="551"/>
      <c r="C10" s="551"/>
      <c r="D10" s="551"/>
      <c r="E10" s="551"/>
      <c r="F10" s="551"/>
      <c r="G10" s="551"/>
      <c r="H10" s="551"/>
      <c r="I10" s="551"/>
      <c r="J10" s="551"/>
      <c r="K10" s="551"/>
      <c r="L10" s="551"/>
      <c r="M10" s="551"/>
    </row>
    <row r="12" spans="2:23" ht="15.75" customHeight="1" x14ac:dyDescent="0.3">
      <c r="B12" s="552" t="s">
        <v>118</v>
      </c>
      <c r="C12" s="552"/>
      <c r="D12" s="552"/>
      <c r="E12" s="552"/>
      <c r="H12" s="553" t="s">
        <v>119</v>
      </c>
      <c r="I12" s="553"/>
      <c r="J12" s="553"/>
      <c r="K12" s="553"/>
      <c r="N12" s="554" t="s">
        <v>120</v>
      </c>
      <c r="O12" s="554"/>
      <c r="P12" s="554"/>
      <c r="Q12" s="554"/>
      <c r="T12" s="553" t="s">
        <v>121</v>
      </c>
      <c r="U12" s="553"/>
      <c r="V12" s="553"/>
      <c r="W12" s="553"/>
    </row>
    <row r="13" spans="2:23" ht="15.75" customHeight="1" x14ac:dyDescent="0.25">
      <c r="B13" s="555" t="s">
        <v>122</v>
      </c>
      <c r="C13" s="555"/>
      <c r="D13" s="555"/>
      <c r="E13" s="555"/>
      <c r="F13" s="227"/>
      <c r="G13" s="227"/>
      <c r="H13" s="556" t="s">
        <v>123</v>
      </c>
      <c r="I13" s="556"/>
      <c r="J13" s="556"/>
      <c r="K13" s="556"/>
      <c r="L13" s="227"/>
      <c r="M13" s="227"/>
      <c r="N13" s="556" t="s">
        <v>124</v>
      </c>
      <c r="O13" s="556"/>
      <c r="P13" s="556"/>
      <c r="Q13" s="556"/>
      <c r="T13" s="556" t="s">
        <v>125</v>
      </c>
      <c r="U13" s="556"/>
      <c r="V13" s="556"/>
      <c r="W13" s="556"/>
    </row>
    <row r="14" spans="2:23" x14ac:dyDescent="0.25">
      <c r="B14" s="555"/>
      <c r="C14" s="555"/>
      <c r="D14" s="555"/>
      <c r="E14" s="555"/>
      <c r="F14" s="227"/>
      <c r="G14" s="227"/>
      <c r="H14" s="556"/>
      <c r="I14" s="556"/>
      <c r="J14" s="556"/>
      <c r="K14" s="556"/>
      <c r="L14" s="227"/>
      <c r="M14" s="227"/>
      <c r="N14" s="556"/>
      <c r="O14" s="556"/>
      <c r="P14" s="556"/>
      <c r="Q14" s="556"/>
      <c r="T14" s="556"/>
      <c r="U14" s="556"/>
      <c r="V14" s="556"/>
      <c r="W14" s="556"/>
    </row>
    <row r="15" spans="2:23" x14ac:dyDescent="0.25">
      <c r="B15" s="555"/>
      <c r="C15" s="555"/>
      <c r="D15" s="555"/>
      <c r="E15" s="555"/>
      <c r="F15" s="227"/>
      <c r="G15" s="227"/>
      <c r="H15" s="556"/>
      <c r="I15" s="556"/>
      <c r="J15" s="556"/>
      <c r="K15" s="556"/>
      <c r="L15" s="227"/>
      <c r="M15" s="227"/>
      <c r="N15" s="556"/>
      <c r="O15" s="556"/>
      <c r="P15" s="556"/>
      <c r="Q15" s="556"/>
      <c r="T15" s="556"/>
      <c r="U15" s="556"/>
      <c r="V15" s="556"/>
      <c r="W15" s="556"/>
    </row>
    <row r="16" spans="2:23" x14ac:dyDescent="0.25">
      <c r="B16" s="555"/>
      <c r="C16" s="555"/>
      <c r="D16" s="555"/>
      <c r="E16" s="555"/>
      <c r="F16" s="227"/>
      <c r="G16" s="227"/>
      <c r="H16" s="556"/>
      <c r="I16" s="556"/>
      <c r="J16" s="556"/>
      <c r="K16" s="556"/>
      <c r="L16" s="227"/>
      <c r="M16" s="227"/>
      <c r="N16" s="556"/>
      <c r="O16" s="556"/>
      <c r="P16" s="556"/>
      <c r="Q16" s="556"/>
      <c r="T16" s="556"/>
      <c r="U16" s="556"/>
      <c r="V16" s="556"/>
      <c r="W16" s="556"/>
    </row>
    <row r="17" spans="2:23" x14ac:dyDescent="0.25">
      <c r="B17" s="555"/>
      <c r="C17" s="555"/>
      <c r="D17" s="555"/>
      <c r="E17" s="555"/>
      <c r="F17" s="227"/>
      <c r="G17" s="227"/>
      <c r="H17" s="227"/>
      <c r="I17" s="227"/>
      <c r="J17" s="227"/>
      <c r="K17" s="227"/>
      <c r="L17" s="227"/>
      <c r="M17" s="227"/>
      <c r="N17" s="227"/>
      <c r="O17" s="227"/>
      <c r="P17" s="227"/>
      <c r="Q17" s="227"/>
      <c r="T17" s="227"/>
      <c r="U17" s="227"/>
      <c r="V17" s="227"/>
      <c r="W17" s="227"/>
    </row>
    <row r="18" spans="2:23" x14ac:dyDescent="0.25">
      <c r="B18" s="555"/>
      <c r="C18" s="555"/>
      <c r="D18" s="555"/>
      <c r="E18" s="555"/>
      <c r="F18" s="227"/>
      <c r="G18" s="227"/>
      <c r="H18" s="227"/>
      <c r="I18" s="227"/>
      <c r="J18" s="227"/>
      <c r="K18" s="227"/>
      <c r="L18" s="227"/>
      <c r="M18" s="227"/>
      <c r="N18" s="227"/>
      <c r="O18" s="227"/>
      <c r="P18" s="227"/>
      <c r="Q18" s="227"/>
      <c r="T18" s="227"/>
      <c r="U18" s="227"/>
      <c r="V18" s="227"/>
      <c r="W18" s="227"/>
    </row>
    <row r="19" spans="2:23" x14ac:dyDescent="0.25">
      <c r="B19" s="555"/>
      <c r="C19" s="555"/>
      <c r="D19" s="555"/>
      <c r="E19" s="555"/>
      <c r="F19" s="227"/>
      <c r="G19" s="227"/>
      <c r="H19" s="227"/>
      <c r="I19" s="227"/>
      <c r="J19" s="227"/>
      <c r="K19" s="227"/>
      <c r="L19" s="227"/>
      <c r="M19" s="227"/>
      <c r="N19" s="227"/>
      <c r="O19" s="227"/>
      <c r="P19" s="227"/>
      <c r="Q19" s="227"/>
      <c r="T19" s="227"/>
      <c r="U19" s="227"/>
      <c r="V19" s="227"/>
      <c r="W19" s="227"/>
    </row>
    <row r="20" spans="2:23" x14ac:dyDescent="0.25">
      <c r="B20" s="555"/>
      <c r="C20" s="555"/>
      <c r="D20" s="555"/>
      <c r="E20" s="555"/>
      <c r="F20" s="227"/>
      <c r="G20" s="227"/>
      <c r="H20" s="227"/>
      <c r="I20" s="227"/>
      <c r="J20" s="227"/>
      <c r="K20" s="227"/>
      <c r="L20" s="227"/>
      <c r="M20" s="227"/>
      <c r="N20" s="227"/>
      <c r="O20" s="227"/>
      <c r="P20" s="227"/>
      <c r="Q20" s="227"/>
      <c r="T20" s="227"/>
      <c r="U20" s="227"/>
      <c r="V20" s="227"/>
      <c r="W20" s="227"/>
    </row>
    <row r="21" spans="2:23" x14ac:dyDescent="0.25">
      <c r="B21" s="228"/>
      <c r="C21" s="228"/>
      <c r="D21" s="228"/>
      <c r="E21" s="228"/>
      <c r="F21" s="227"/>
      <c r="G21" s="227"/>
      <c r="H21" s="227"/>
      <c r="I21" s="227"/>
      <c r="J21" s="227"/>
      <c r="K21" s="227"/>
      <c r="L21" s="227"/>
      <c r="M21" s="227"/>
      <c r="N21" s="227"/>
      <c r="O21" s="227"/>
      <c r="P21" s="227"/>
      <c r="Q21" s="227"/>
      <c r="T21" s="227"/>
      <c r="U21" s="227"/>
      <c r="V21" s="227"/>
      <c r="W21" s="227"/>
    </row>
    <row r="22" spans="2:23" ht="15.75" customHeight="1" x14ac:dyDescent="0.3">
      <c r="C22" s="548" t="s">
        <v>126</v>
      </c>
      <c r="D22" s="548"/>
      <c r="E22" s="548"/>
      <c r="H22" s="548" t="s">
        <v>127</v>
      </c>
      <c r="I22" s="548"/>
      <c r="J22" s="548"/>
      <c r="N22" s="548" t="s">
        <v>128</v>
      </c>
      <c r="O22" s="548"/>
      <c r="P22" s="548"/>
      <c r="T22" s="548" t="s">
        <v>129</v>
      </c>
      <c r="U22" s="548"/>
      <c r="V22" s="548"/>
    </row>
    <row r="23" spans="2:23" ht="15.6" x14ac:dyDescent="0.25">
      <c r="C23" s="229" t="s">
        <v>130</v>
      </c>
      <c r="D23" s="229" t="s">
        <v>131</v>
      </c>
      <c r="E23" s="229" t="s">
        <v>132</v>
      </c>
      <c r="H23" s="229" t="s">
        <v>130</v>
      </c>
      <c r="I23" s="229" t="s">
        <v>131</v>
      </c>
      <c r="J23" s="229" t="s">
        <v>132</v>
      </c>
      <c r="N23" s="229" t="s">
        <v>130</v>
      </c>
      <c r="O23" s="229" t="s">
        <v>131</v>
      </c>
      <c r="P23" s="229" t="s">
        <v>132</v>
      </c>
      <c r="T23" s="229" t="s">
        <v>130</v>
      </c>
      <c r="U23" s="229" t="s">
        <v>131</v>
      </c>
      <c r="V23" s="229" t="s">
        <v>132</v>
      </c>
    </row>
    <row r="24" spans="2:23" x14ac:dyDescent="0.25">
      <c r="C24" s="225" t="s">
        <v>133</v>
      </c>
      <c r="D24" s="230"/>
      <c r="E24" s="230">
        <v>1500</v>
      </c>
      <c r="H24" s="225" t="s">
        <v>133</v>
      </c>
      <c r="I24" s="230"/>
      <c r="J24" s="230">
        <v>1000</v>
      </c>
      <c r="N24" s="225" t="s">
        <v>133</v>
      </c>
      <c r="O24" s="230"/>
      <c r="P24" s="230">
        <v>800</v>
      </c>
      <c r="T24" s="225"/>
      <c r="U24" s="230"/>
      <c r="V24" s="230"/>
    </row>
    <row r="25" spans="2:23" x14ac:dyDescent="0.25">
      <c r="C25" s="225" t="s">
        <v>134</v>
      </c>
      <c r="D25" s="230">
        <v>300</v>
      </c>
      <c r="E25" s="230"/>
      <c r="H25" s="225" t="s">
        <v>134</v>
      </c>
      <c r="I25" s="230">
        <v>200</v>
      </c>
      <c r="J25" s="230"/>
      <c r="N25" s="225" t="s">
        <v>134</v>
      </c>
      <c r="O25" s="230">
        <v>250</v>
      </c>
      <c r="P25" s="230"/>
      <c r="T25" s="225"/>
      <c r="U25" s="230"/>
      <c r="V25" s="230"/>
    </row>
    <row r="26" spans="2:23" x14ac:dyDescent="0.25">
      <c r="C26" s="225" t="s">
        <v>135</v>
      </c>
      <c r="D26" s="230">
        <v>700</v>
      </c>
      <c r="E26" s="230"/>
      <c r="H26" s="225" t="s">
        <v>135</v>
      </c>
      <c r="I26" s="230">
        <v>700</v>
      </c>
      <c r="J26" s="230"/>
      <c r="N26" s="225" t="s">
        <v>135</v>
      </c>
      <c r="O26" s="230">
        <v>700</v>
      </c>
      <c r="P26" s="230"/>
      <c r="T26" s="225"/>
      <c r="U26" s="230"/>
      <c r="V26" s="230"/>
    </row>
    <row r="27" spans="2:23" x14ac:dyDescent="0.25">
      <c r="C27" s="225" t="s">
        <v>136</v>
      </c>
      <c r="D27" s="230"/>
      <c r="E27" s="230">
        <v>400</v>
      </c>
      <c r="H27" s="225" t="s">
        <v>136</v>
      </c>
      <c r="I27" s="230"/>
      <c r="J27" s="230">
        <v>400</v>
      </c>
      <c r="N27" s="225" t="s">
        <v>136</v>
      </c>
      <c r="O27" s="230"/>
      <c r="P27" s="230">
        <v>300</v>
      </c>
      <c r="T27" s="225"/>
      <c r="U27" s="230"/>
      <c r="V27" s="230"/>
    </row>
    <row r="28" spans="2:23" x14ac:dyDescent="0.25">
      <c r="C28" s="225" t="s">
        <v>137</v>
      </c>
      <c r="D28" s="230"/>
      <c r="E28" s="230">
        <v>1000</v>
      </c>
      <c r="H28" s="225" t="s">
        <v>137</v>
      </c>
      <c r="I28" s="230"/>
      <c r="J28" s="230">
        <v>1000</v>
      </c>
      <c r="N28" s="225" t="s">
        <v>137</v>
      </c>
      <c r="O28" s="230"/>
      <c r="P28" s="230">
        <v>1000</v>
      </c>
      <c r="T28" s="225"/>
      <c r="U28" s="230"/>
      <c r="V28" s="230"/>
    </row>
    <row r="29" spans="2:23" x14ac:dyDescent="0.25">
      <c r="C29" s="225" t="s">
        <v>138</v>
      </c>
      <c r="D29" s="230">
        <v>3500</v>
      </c>
      <c r="E29" s="230"/>
      <c r="H29" s="225" t="s">
        <v>138</v>
      </c>
      <c r="I29" s="230">
        <v>3500</v>
      </c>
      <c r="J29" s="230"/>
      <c r="N29" s="225" t="s">
        <v>138</v>
      </c>
      <c r="O29" s="230">
        <v>3500</v>
      </c>
      <c r="P29" s="230"/>
      <c r="T29" s="225"/>
      <c r="U29" s="230"/>
      <c r="V29" s="230"/>
    </row>
    <row r="30" spans="2:23" x14ac:dyDescent="0.25">
      <c r="C30" s="225" t="s">
        <v>139</v>
      </c>
      <c r="D30" s="230"/>
      <c r="E30" s="230">
        <v>400</v>
      </c>
      <c r="H30" s="225" t="s">
        <v>139</v>
      </c>
      <c r="I30" s="230"/>
      <c r="J30" s="230">
        <v>400</v>
      </c>
      <c r="N30" s="225" t="s">
        <v>139</v>
      </c>
      <c r="O30" s="230"/>
      <c r="P30" s="230">
        <v>400</v>
      </c>
      <c r="T30" s="225"/>
      <c r="U30" s="230"/>
      <c r="V30" s="230"/>
    </row>
    <row r="31" spans="2:23" x14ac:dyDescent="0.25">
      <c r="C31" s="225" t="s">
        <v>140</v>
      </c>
      <c r="D31" s="230"/>
      <c r="E31" s="230">
        <v>300</v>
      </c>
      <c r="H31" s="225" t="s">
        <v>140</v>
      </c>
      <c r="I31" s="230"/>
      <c r="J31" s="230">
        <v>300</v>
      </c>
      <c r="N31" s="225" t="s">
        <v>140</v>
      </c>
      <c r="O31" s="230"/>
      <c r="P31" s="230">
        <v>300</v>
      </c>
      <c r="T31" s="225"/>
      <c r="U31" s="230"/>
      <c r="V31" s="230"/>
    </row>
    <row r="32" spans="2:23" x14ac:dyDescent="0.25">
      <c r="C32" s="225" t="s">
        <v>141</v>
      </c>
      <c r="D32" s="230"/>
      <c r="E32" s="230">
        <v>1000</v>
      </c>
      <c r="H32" s="225" t="s">
        <v>141</v>
      </c>
      <c r="I32" s="230"/>
      <c r="J32" s="230">
        <v>1000</v>
      </c>
      <c r="N32" s="225" t="s">
        <v>141</v>
      </c>
      <c r="O32" s="230"/>
      <c r="P32" s="230">
        <v>1000</v>
      </c>
      <c r="T32" s="225"/>
      <c r="U32" s="230"/>
      <c r="V32" s="230"/>
    </row>
    <row r="33" spans="2:23" x14ac:dyDescent="0.25">
      <c r="C33" s="225" t="s">
        <v>142</v>
      </c>
      <c r="D33" s="230"/>
      <c r="E33" s="230">
        <v>300</v>
      </c>
      <c r="H33" s="225" t="s">
        <v>142</v>
      </c>
      <c r="I33" s="230"/>
      <c r="J33" s="230">
        <v>300</v>
      </c>
      <c r="N33" s="225" t="s">
        <v>142</v>
      </c>
      <c r="O33" s="230"/>
      <c r="P33" s="230">
        <v>300</v>
      </c>
      <c r="T33" s="225"/>
      <c r="U33" s="230"/>
      <c r="V33" s="230"/>
    </row>
    <row r="36" spans="2:23" ht="15.75" customHeight="1" x14ac:dyDescent="0.3">
      <c r="B36" s="557" t="s">
        <v>143</v>
      </c>
      <c r="C36" s="557"/>
      <c r="D36" s="557"/>
      <c r="E36" s="557"/>
      <c r="H36" s="557" t="s">
        <v>143</v>
      </c>
      <c r="I36" s="557"/>
      <c r="J36" s="557"/>
      <c r="K36" s="557"/>
      <c r="N36" s="557" t="s">
        <v>143</v>
      </c>
      <c r="O36" s="557"/>
      <c r="P36" s="557"/>
      <c r="Q36" s="557"/>
      <c r="T36" s="557" t="s">
        <v>144</v>
      </c>
      <c r="U36" s="557"/>
      <c r="V36" s="557"/>
      <c r="W36" s="557"/>
    </row>
    <row r="38" spans="2:23" ht="15.75" customHeight="1" x14ac:dyDescent="0.3">
      <c r="B38" s="225"/>
      <c r="C38" s="231" t="s">
        <v>284</v>
      </c>
      <c r="H38" s="231" t="s">
        <v>284</v>
      </c>
      <c r="J38" s="230"/>
      <c r="N38" s="231" t="s">
        <v>284</v>
      </c>
      <c r="P38" s="230"/>
      <c r="T38" s="225"/>
      <c r="V38" s="230"/>
    </row>
    <row r="39" spans="2:23" ht="15.75" customHeight="1" x14ac:dyDescent="0.25">
      <c r="C39" s="225" t="str">
        <f>C25</f>
        <v>Intereses recibidos</v>
      </c>
      <c r="D39" s="230">
        <f>D25</f>
        <v>300</v>
      </c>
      <c r="H39" s="225" t="s">
        <v>289</v>
      </c>
      <c r="I39" s="230">
        <v>200</v>
      </c>
      <c r="N39" s="225" t="s">
        <v>289</v>
      </c>
      <c r="O39" s="230">
        <v>200</v>
      </c>
    </row>
    <row r="40" spans="2:23" ht="15.75" customHeight="1" x14ac:dyDescent="0.3">
      <c r="C40" s="223" t="str">
        <f>C26</f>
        <v>Servicios profesionales</v>
      </c>
      <c r="D40" s="230">
        <f>D26</f>
        <v>700</v>
      </c>
      <c r="H40" s="223" t="s">
        <v>290</v>
      </c>
      <c r="I40" s="515">
        <v>700</v>
      </c>
      <c r="N40" s="223" t="s">
        <v>290</v>
      </c>
      <c r="O40" s="515">
        <v>700</v>
      </c>
      <c r="T40" s="557" t="s">
        <v>146</v>
      </c>
      <c r="U40" s="557"/>
      <c r="V40" s="557"/>
      <c r="W40" s="557"/>
    </row>
    <row r="41" spans="2:23" ht="15.75" customHeight="1" x14ac:dyDescent="0.3">
      <c r="C41" s="223" t="str">
        <f>C29</f>
        <v>Salario</v>
      </c>
      <c r="D41" s="514">
        <f>D29</f>
        <v>3500</v>
      </c>
      <c r="H41" s="223" t="s">
        <v>138</v>
      </c>
      <c r="I41" s="516">
        <v>3500</v>
      </c>
      <c r="N41" s="223" t="s">
        <v>138</v>
      </c>
      <c r="O41" s="516">
        <v>3500</v>
      </c>
      <c r="T41" s="232"/>
    </row>
    <row r="42" spans="2:23" ht="15.75" customHeight="1" x14ac:dyDescent="0.3">
      <c r="C42" s="231" t="s">
        <v>285</v>
      </c>
      <c r="D42" s="233">
        <f>SUM(D39:D41)</f>
        <v>4500</v>
      </c>
      <c r="H42" s="231" t="s">
        <v>285</v>
      </c>
      <c r="I42" s="517">
        <f>SUM(I39:I41)</f>
        <v>4400</v>
      </c>
      <c r="N42" s="231" t="s">
        <v>285</v>
      </c>
      <c r="O42" s="517">
        <f>SUM(O39:O41)</f>
        <v>4400</v>
      </c>
    </row>
    <row r="43" spans="2:23" ht="15.75" customHeight="1" x14ac:dyDescent="0.25">
      <c r="T43" s="558" t="s">
        <v>147</v>
      </c>
      <c r="U43" s="558"/>
      <c r="V43" s="558"/>
      <c r="W43" s="558"/>
    </row>
    <row r="44" spans="2:23" ht="15.75" customHeight="1" x14ac:dyDescent="0.25">
      <c r="T44" s="558"/>
      <c r="U44" s="558"/>
      <c r="V44" s="558"/>
      <c r="W44" s="558"/>
    </row>
    <row r="45" spans="2:23" ht="15.75" customHeight="1" x14ac:dyDescent="0.3">
      <c r="C45" s="231" t="s">
        <v>286</v>
      </c>
      <c r="H45" s="231" t="s">
        <v>286</v>
      </c>
      <c r="N45" s="231" t="s">
        <v>286</v>
      </c>
    </row>
    <row r="46" spans="2:23" ht="15.75" customHeight="1" x14ac:dyDescent="0.25">
      <c r="C46" s="225" t="str">
        <f>C24</f>
        <v>Viajes</v>
      </c>
      <c r="D46" s="230">
        <f>E24</f>
        <v>1500</v>
      </c>
      <c r="H46" s="225" t="str">
        <f>H24</f>
        <v>Viajes</v>
      </c>
      <c r="I46" s="230">
        <f>J24</f>
        <v>1000</v>
      </c>
      <c r="N46" s="225" t="str">
        <f>N24</f>
        <v>Viajes</v>
      </c>
      <c r="O46" s="230">
        <f>P24</f>
        <v>800</v>
      </c>
    </row>
    <row r="47" spans="2:23" ht="15.75" customHeight="1" x14ac:dyDescent="0.25">
      <c r="C47" s="225" t="str">
        <f>C27</f>
        <v>Comida fuera de casa</v>
      </c>
      <c r="D47" s="230">
        <f>E27</f>
        <v>400</v>
      </c>
      <c r="H47" s="225" t="str">
        <f>H27</f>
        <v>Comida fuera de casa</v>
      </c>
      <c r="I47" s="230">
        <f>J27</f>
        <v>400</v>
      </c>
      <c r="N47" s="225" t="str">
        <f>N27</f>
        <v>Comida fuera de casa</v>
      </c>
      <c r="O47" s="230">
        <f>P27</f>
        <v>300</v>
      </c>
    </row>
    <row r="48" spans="2:23" ht="15.75" customHeight="1" x14ac:dyDescent="0.25">
      <c r="C48" s="225" t="str">
        <f>C28</f>
        <v>Diario hogar</v>
      </c>
      <c r="D48" s="230">
        <f>E28</f>
        <v>1000</v>
      </c>
      <c r="H48" s="225" t="str">
        <f>H28</f>
        <v>Diario hogar</v>
      </c>
      <c r="I48" s="230">
        <f>J28</f>
        <v>1000</v>
      </c>
      <c r="N48" s="225" t="str">
        <f>N28</f>
        <v>Diario hogar</v>
      </c>
      <c r="O48" s="230">
        <f>P28</f>
        <v>1000</v>
      </c>
    </row>
    <row r="49" spans="2:17" ht="15.75" customHeight="1" x14ac:dyDescent="0.25">
      <c r="C49" s="225" t="str">
        <f>C30</f>
        <v>Pago del automóvil</v>
      </c>
      <c r="D49" s="230">
        <f>E30</f>
        <v>400</v>
      </c>
      <c r="H49" s="225" t="str">
        <f>H30</f>
        <v>Pago del automóvil</v>
      </c>
      <c r="I49" s="230">
        <f>J30</f>
        <v>400</v>
      </c>
      <c r="N49" s="225" t="str">
        <f>N30</f>
        <v>Pago del automóvil</v>
      </c>
      <c r="O49" s="230">
        <f>P30</f>
        <v>400</v>
      </c>
    </row>
    <row r="50" spans="2:17" ht="15.75" customHeight="1" x14ac:dyDescent="0.25">
      <c r="C50" s="225" t="str">
        <f>C31</f>
        <v>Servicios</v>
      </c>
      <c r="D50" s="230">
        <f>E31</f>
        <v>300</v>
      </c>
      <c r="H50" s="225" t="str">
        <f>H31</f>
        <v>Servicios</v>
      </c>
      <c r="I50" s="230">
        <f>J31</f>
        <v>300</v>
      </c>
      <c r="N50" s="225" t="str">
        <f>N31</f>
        <v>Servicios</v>
      </c>
      <c r="O50" s="230">
        <f>P31</f>
        <v>300</v>
      </c>
    </row>
    <row r="51" spans="2:17" ht="15.75" customHeight="1" x14ac:dyDescent="0.25">
      <c r="C51" s="225" t="str">
        <f>C32</f>
        <v>Hipoteca</v>
      </c>
      <c r="D51" s="230">
        <f>E32</f>
        <v>1000</v>
      </c>
      <c r="H51" s="225" t="str">
        <f>H32</f>
        <v>Hipoteca</v>
      </c>
      <c r="I51" s="230">
        <f>J32</f>
        <v>1000</v>
      </c>
      <c r="N51" s="225" t="str">
        <f>N32</f>
        <v>Hipoteca</v>
      </c>
      <c r="O51" s="230">
        <f>P32</f>
        <v>1000</v>
      </c>
    </row>
    <row r="52" spans="2:17" ht="15.75" customHeight="1" x14ac:dyDescent="0.25">
      <c r="C52" s="223" t="str">
        <f>C33</f>
        <v xml:space="preserve">Gasolina </v>
      </c>
      <c r="D52" s="514">
        <f>E33</f>
        <v>300</v>
      </c>
      <c r="H52" s="223" t="str">
        <f>H33</f>
        <v xml:space="preserve">Gasolina </v>
      </c>
      <c r="I52" s="514">
        <f>J33</f>
        <v>300</v>
      </c>
      <c r="N52" s="223" t="str">
        <f>N33</f>
        <v xml:space="preserve">Gasolina </v>
      </c>
      <c r="O52" s="514">
        <f>P33</f>
        <v>300</v>
      </c>
    </row>
    <row r="53" spans="2:17" ht="15.6" x14ac:dyDescent="0.3">
      <c r="C53" s="231" t="s">
        <v>287</v>
      </c>
      <c r="D53" s="233">
        <f>SUM(D46:D52)</f>
        <v>4900</v>
      </c>
      <c r="H53" s="231" t="s">
        <v>287</v>
      </c>
      <c r="I53" s="233">
        <f>SUM(I46:I52)</f>
        <v>4400</v>
      </c>
      <c r="N53" s="231" t="s">
        <v>287</v>
      </c>
      <c r="O53" s="233">
        <f>SUM(O46:O52)</f>
        <v>4100</v>
      </c>
    </row>
    <row r="56" spans="2:17" ht="15.75" customHeight="1" x14ac:dyDescent="0.3">
      <c r="B56" s="557" t="s">
        <v>145</v>
      </c>
      <c r="C56" s="557"/>
      <c r="D56" s="557"/>
      <c r="E56" s="557"/>
      <c r="H56" s="557" t="s">
        <v>145</v>
      </c>
      <c r="I56" s="557"/>
      <c r="J56" s="557"/>
      <c r="K56" s="557"/>
      <c r="N56" s="557" t="s">
        <v>145</v>
      </c>
      <c r="O56" s="557"/>
      <c r="P56" s="557"/>
      <c r="Q56" s="557"/>
    </row>
    <row r="57" spans="2:17" ht="15.75" customHeight="1" x14ac:dyDescent="0.3">
      <c r="E57" s="232"/>
      <c r="H57" s="225"/>
      <c r="I57" s="230"/>
    </row>
    <row r="58" spans="2:17" ht="15.75" customHeight="1" x14ac:dyDescent="0.3">
      <c r="C58" s="231" t="s">
        <v>284</v>
      </c>
      <c r="H58" s="231" t="s">
        <v>284</v>
      </c>
      <c r="N58" s="231" t="s">
        <v>284</v>
      </c>
    </row>
    <row r="59" spans="2:17" ht="15.75" customHeight="1" x14ac:dyDescent="0.25">
      <c r="B59" s="230"/>
      <c r="C59" s="225" t="str">
        <f t="shared" ref="C59:D62" si="0">C39</f>
        <v>Intereses recibidos</v>
      </c>
      <c r="D59" s="230">
        <f t="shared" si="0"/>
        <v>300</v>
      </c>
      <c r="H59" s="225" t="str">
        <f t="shared" ref="H59:I59" si="1">H39</f>
        <v>Interes recibido</v>
      </c>
      <c r="I59" s="230">
        <f t="shared" si="1"/>
        <v>200</v>
      </c>
      <c r="N59" s="225" t="str">
        <f t="shared" ref="N59:O59" si="2">N39</f>
        <v>Interes recibido</v>
      </c>
      <c r="O59" s="230">
        <f t="shared" si="2"/>
        <v>200</v>
      </c>
    </row>
    <row r="60" spans="2:17" ht="15.75" customHeight="1" x14ac:dyDescent="0.25">
      <c r="B60" s="230"/>
      <c r="C60" s="225" t="str">
        <f t="shared" si="0"/>
        <v>Servicios profesionales</v>
      </c>
      <c r="D60" s="230">
        <f t="shared" si="0"/>
        <v>700</v>
      </c>
      <c r="H60" s="225" t="str">
        <f t="shared" ref="H60:I60" si="3">H40</f>
        <v>Servicio profecionales</v>
      </c>
      <c r="I60" s="230">
        <f t="shared" si="3"/>
        <v>700</v>
      </c>
      <c r="N60" s="225" t="str">
        <f t="shared" ref="N60:O60" si="4">N40</f>
        <v>Servicio profecionales</v>
      </c>
      <c r="O60" s="230">
        <f t="shared" si="4"/>
        <v>700</v>
      </c>
    </row>
    <row r="61" spans="2:17" ht="15.75" customHeight="1" x14ac:dyDescent="0.25">
      <c r="B61" s="230"/>
      <c r="C61" s="225" t="str">
        <f t="shared" si="0"/>
        <v>Salario</v>
      </c>
      <c r="D61" s="514">
        <f t="shared" si="0"/>
        <v>3500</v>
      </c>
      <c r="H61" s="225" t="str">
        <f t="shared" ref="H61:I61" si="5">H41</f>
        <v>Salario</v>
      </c>
      <c r="I61" s="514">
        <f t="shared" si="5"/>
        <v>3500</v>
      </c>
      <c r="N61" s="225" t="str">
        <f t="shared" ref="N61:O61" si="6">N41</f>
        <v>Salario</v>
      </c>
      <c r="O61" s="514">
        <f t="shared" si="6"/>
        <v>3500</v>
      </c>
    </row>
    <row r="62" spans="2:17" ht="15.75" customHeight="1" x14ac:dyDescent="0.3">
      <c r="B62" s="233"/>
      <c r="C62" s="231" t="str">
        <f t="shared" si="0"/>
        <v>Total Entradas</v>
      </c>
      <c r="D62" s="233">
        <f t="shared" si="0"/>
        <v>4500</v>
      </c>
      <c r="H62" s="231" t="str">
        <f t="shared" ref="H62:I62" si="7">H42</f>
        <v>Total Entradas</v>
      </c>
      <c r="I62" s="233">
        <f t="shared" si="7"/>
        <v>4400</v>
      </c>
      <c r="N62" s="231" t="str">
        <f t="shared" ref="N62:O62" si="8">N42</f>
        <v>Total Entradas</v>
      </c>
      <c r="O62" s="233">
        <f t="shared" si="8"/>
        <v>4400</v>
      </c>
    </row>
    <row r="64" spans="2:17" ht="15.75" customHeight="1" x14ac:dyDescent="0.3">
      <c r="E64" s="231"/>
    </row>
    <row r="65" spans="2:17" ht="15.75" customHeight="1" x14ac:dyDescent="0.3">
      <c r="B65" s="230"/>
      <c r="C65" s="231" t="str">
        <f t="shared" ref="C65:C73" si="9">C45</f>
        <v>Salidas de Efectivo</v>
      </c>
      <c r="E65" s="225"/>
      <c r="F65" s="230"/>
      <c r="H65" s="231" t="str">
        <f t="shared" ref="H65:I73" si="10">H45</f>
        <v>Salidas de Efectivo</v>
      </c>
      <c r="N65" s="231" t="str">
        <f t="shared" ref="N65:O65" si="11">N45</f>
        <v>Salidas de Efectivo</v>
      </c>
    </row>
    <row r="66" spans="2:17" ht="15.75" customHeight="1" x14ac:dyDescent="0.25">
      <c r="B66" s="230"/>
      <c r="C66" s="223" t="str">
        <f t="shared" si="9"/>
        <v>Viajes</v>
      </c>
      <c r="D66" s="230">
        <f t="shared" ref="D66:D73" si="12">D46</f>
        <v>1500</v>
      </c>
      <c r="E66" s="225"/>
      <c r="F66" s="230"/>
      <c r="H66" s="223" t="str">
        <f t="shared" si="10"/>
        <v>Viajes</v>
      </c>
      <c r="I66" s="230">
        <f t="shared" si="10"/>
        <v>1000</v>
      </c>
      <c r="N66" s="223" t="str">
        <f t="shared" ref="N66:O66" si="13">N46</f>
        <v>Viajes</v>
      </c>
      <c r="O66" s="230">
        <f t="shared" si="13"/>
        <v>800</v>
      </c>
    </row>
    <row r="67" spans="2:17" ht="15.75" customHeight="1" x14ac:dyDescent="0.25">
      <c r="B67" s="230"/>
      <c r="C67" s="223" t="str">
        <f t="shared" si="9"/>
        <v>Comida fuera de casa</v>
      </c>
      <c r="D67" s="230">
        <f t="shared" si="12"/>
        <v>400</v>
      </c>
      <c r="E67" s="225"/>
      <c r="F67" s="230"/>
      <c r="H67" s="223" t="str">
        <f t="shared" si="10"/>
        <v>Comida fuera de casa</v>
      </c>
      <c r="I67" s="230">
        <f t="shared" si="10"/>
        <v>400</v>
      </c>
      <c r="N67" s="223" t="str">
        <f t="shared" ref="N67:O67" si="14">N47</f>
        <v>Comida fuera de casa</v>
      </c>
      <c r="O67" s="230">
        <f t="shared" si="14"/>
        <v>300</v>
      </c>
    </row>
    <row r="68" spans="2:17" ht="15.75" customHeight="1" x14ac:dyDescent="0.25">
      <c r="B68" s="230"/>
      <c r="C68" s="223" t="str">
        <f t="shared" si="9"/>
        <v>Diario hogar</v>
      </c>
      <c r="D68" s="230">
        <f t="shared" si="12"/>
        <v>1000</v>
      </c>
      <c r="E68" s="225"/>
      <c r="F68" s="230"/>
      <c r="H68" s="223" t="str">
        <f t="shared" si="10"/>
        <v>Diario hogar</v>
      </c>
      <c r="I68" s="230">
        <f t="shared" si="10"/>
        <v>1000</v>
      </c>
      <c r="N68" s="223" t="str">
        <f t="shared" ref="N68:O68" si="15">N48</f>
        <v>Diario hogar</v>
      </c>
      <c r="O68" s="230">
        <f t="shared" si="15"/>
        <v>1000</v>
      </c>
    </row>
    <row r="69" spans="2:17" ht="15.75" customHeight="1" x14ac:dyDescent="0.25">
      <c r="B69" s="230"/>
      <c r="C69" s="223" t="str">
        <f t="shared" si="9"/>
        <v>Pago del automóvil</v>
      </c>
      <c r="D69" s="230">
        <f t="shared" si="12"/>
        <v>400</v>
      </c>
      <c r="E69" s="225"/>
      <c r="F69" s="230"/>
      <c r="H69" s="223" t="str">
        <f t="shared" si="10"/>
        <v>Pago del automóvil</v>
      </c>
      <c r="I69" s="230">
        <f t="shared" si="10"/>
        <v>400</v>
      </c>
      <c r="N69" s="223" t="str">
        <f t="shared" ref="N69:O69" si="16">N49</f>
        <v>Pago del automóvil</v>
      </c>
      <c r="O69" s="230">
        <f t="shared" si="16"/>
        <v>400</v>
      </c>
    </row>
    <row r="70" spans="2:17" ht="15.75" customHeight="1" x14ac:dyDescent="0.25">
      <c r="B70" s="230"/>
      <c r="C70" s="223" t="str">
        <f t="shared" si="9"/>
        <v>Servicios</v>
      </c>
      <c r="D70" s="230">
        <f t="shared" si="12"/>
        <v>300</v>
      </c>
      <c r="E70" s="225"/>
      <c r="F70" s="230"/>
      <c r="H70" s="223" t="str">
        <f t="shared" si="10"/>
        <v>Servicios</v>
      </c>
      <c r="I70" s="230">
        <f t="shared" si="10"/>
        <v>300</v>
      </c>
      <c r="N70" s="223" t="str">
        <f t="shared" ref="N70:O70" si="17">N50</f>
        <v>Servicios</v>
      </c>
      <c r="O70" s="230">
        <f t="shared" si="17"/>
        <v>300</v>
      </c>
    </row>
    <row r="71" spans="2:17" ht="15.75" customHeight="1" x14ac:dyDescent="0.25">
      <c r="B71" s="230"/>
      <c r="C71" s="223" t="str">
        <f t="shared" si="9"/>
        <v>Hipoteca</v>
      </c>
      <c r="D71" s="230">
        <f t="shared" si="12"/>
        <v>1000</v>
      </c>
      <c r="E71" s="225"/>
      <c r="F71" s="230"/>
      <c r="H71" s="223" t="str">
        <f t="shared" si="10"/>
        <v>Hipoteca</v>
      </c>
      <c r="I71" s="230">
        <f t="shared" si="10"/>
        <v>1000</v>
      </c>
      <c r="N71" s="223" t="str">
        <f t="shared" ref="N71:O71" si="18">N51</f>
        <v>Hipoteca</v>
      </c>
      <c r="O71" s="230">
        <f t="shared" si="18"/>
        <v>1000</v>
      </c>
    </row>
    <row r="72" spans="2:17" ht="15.75" customHeight="1" x14ac:dyDescent="0.3">
      <c r="B72" s="233"/>
      <c r="C72" s="223" t="str">
        <f t="shared" si="9"/>
        <v xml:space="preserve">Gasolina </v>
      </c>
      <c r="D72" s="514">
        <f t="shared" si="12"/>
        <v>300</v>
      </c>
      <c r="E72" s="231"/>
      <c r="F72" s="233"/>
      <c r="H72" s="223" t="str">
        <f t="shared" si="10"/>
        <v xml:space="preserve">Gasolina </v>
      </c>
      <c r="I72" s="514">
        <f t="shared" si="10"/>
        <v>300</v>
      </c>
      <c r="N72" s="223" t="str">
        <f t="shared" ref="N72:O72" si="19">N52</f>
        <v xml:space="preserve">Gasolina </v>
      </c>
      <c r="O72" s="514">
        <f t="shared" si="19"/>
        <v>300</v>
      </c>
    </row>
    <row r="73" spans="2:17" ht="15.6" x14ac:dyDescent="0.3">
      <c r="C73" s="231" t="str">
        <f t="shared" si="9"/>
        <v>Total Salidas</v>
      </c>
      <c r="D73" s="233">
        <f t="shared" si="12"/>
        <v>4900</v>
      </c>
      <c r="H73" s="231" t="str">
        <f t="shared" si="10"/>
        <v>Total Salidas</v>
      </c>
      <c r="I73" s="233">
        <f t="shared" si="10"/>
        <v>4400</v>
      </c>
      <c r="N73" s="231" t="str">
        <f t="shared" ref="N73:O73" si="20">N53</f>
        <v>Total Salidas</v>
      </c>
      <c r="O73" s="233">
        <f t="shared" si="20"/>
        <v>4100</v>
      </c>
    </row>
    <row r="74" spans="2:17" ht="15.75" customHeight="1" x14ac:dyDescent="0.25"/>
    <row r="75" spans="2:17" ht="15.6" x14ac:dyDescent="0.3">
      <c r="C75" s="231" t="s">
        <v>288</v>
      </c>
      <c r="D75" s="233">
        <f>D62-D73</f>
        <v>-400</v>
      </c>
      <c r="H75" s="231" t="s">
        <v>288</v>
      </c>
      <c r="I75" s="233">
        <f>I62-I73</f>
        <v>0</v>
      </c>
      <c r="N75" s="231" t="s">
        <v>288</v>
      </c>
      <c r="O75" s="233">
        <f>O62-O73</f>
        <v>300</v>
      </c>
    </row>
    <row r="77" spans="2:17" x14ac:dyDescent="0.25">
      <c r="B77" s="558" t="s">
        <v>147</v>
      </c>
      <c r="C77" s="558"/>
      <c r="D77" s="558"/>
      <c r="E77" s="558"/>
      <c r="H77" s="558" t="s">
        <v>147</v>
      </c>
      <c r="I77" s="558"/>
      <c r="J77" s="558"/>
      <c r="K77" s="558"/>
      <c r="N77" s="558" t="s">
        <v>147</v>
      </c>
      <c r="O77" s="558"/>
      <c r="P77" s="558"/>
      <c r="Q77" s="558"/>
    </row>
    <row r="78" spans="2:17" x14ac:dyDescent="0.25">
      <c r="B78" s="558"/>
      <c r="C78" s="558"/>
      <c r="D78" s="558"/>
      <c r="E78" s="558"/>
      <c r="H78" s="558"/>
      <c r="I78" s="558"/>
      <c r="J78" s="558"/>
      <c r="K78" s="558"/>
      <c r="N78" s="558"/>
      <c r="O78" s="558"/>
      <c r="P78" s="558"/>
      <c r="Q78" s="558"/>
    </row>
    <row r="79" spans="2:17" x14ac:dyDescent="0.25">
      <c r="N79" s="225"/>
      <c r="O79" s="230"/>
    </row>
    <row r="80" spans="2:17" x14ac:dyDescent="0.25">
      <c r="N80" s="225"/>
      <c r="O80" s="230"/>
    </row>
    <row r="81" spans="14:17" x14ac:dyDescent="0.25">
      <c r="N81" s="225"/>
      <c r="O81" s="230"/>
    </row>
    <row r="82" spans="14:17" x14ac:dyDescent="0.25">
      <c r="N82" s="558" t="s">
        <v>148</v>
      </c>
      <c r="O82" s="558"/>
      <c r="P82" s="558"/>
      <c r="Q82" s="558"/>
    </row>
    <row r="83" spans="14:17" x14ac:dyDescent="0.25">
      <c r="N83" s="558"/>
      <c r="O83" s="558"/>
      <c r="P83" s="558"/>
      <c r="Q83" s="558"/>
    </row>
    <row r="88" spans="14:17" ht="15.75" customHeight="1" x14ac:dyDescent="0.25">
      <c r="N88" s="223" t="s">
        <v>149</v>
      </c>
    </row>
  </sheetData>
  <mergeCells count="28">
    <mergeCell ref="B77:E78"/>
    <mergeCell ref="H77:K78"/>
    <mergeCell ref="N77:Q78"/>
    <mergeCell ref="N82:Q83"/>
    <mergeCell ref="B36:E36"/>
    <mergeCell ref="H36:K36"/>
    <mergeCell ref="N36:Q36"/>
    <mergeCell ref="T36:W36"/>
    <mergeCell ref="B56:E56"/>
    <mergeCell ref="H56:K56"/>
    <mergeCell ref="N56:Q56"/>
    <mergeCell ref="T40:W40"/>
    <mergeCell ref="T43:W44"/>
    <mergeCell ref="C22:E22"/>
    <mergeCell ref="H22:J22"/>
    <mergeCell ref="N22:P22"/>
    <mergeCell ref="T22:V22"/>
    <mergeCell ref="B3:M3"/>
    <mergeCell ref="B5:M5"/>
    <mergeCell ref="B8:M10"/>
    <mergeCell ref="B12:E12"/>
    <mergeCell ref="H12:K12"/>
    <mergeCell ref="N12:Q12"/>
    <mergeCell ref="T12:W12"/>
    <mergeCell ref="B13:E20"/>
    <mergeCell ref="H13:K16"/>
    <mergeCell ref="N13:Q16"/>
    <mergeCell ref="T13:W16"/>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162E-92A1-4B1C-BB0C-9AA8BF33FCC8}">
  <dimension ref="B2:V87"/>
  <sheetViews>
    <sheetView topLeftCell="B31" workbookViewId="0">
      <selection activeCell="W29" sqref="W29"/>
    </sheetView>
  </sheetViews>
  <sheetFormatPr baseColWidth="10" defaultColWidth="9.109375" defaultRowHeight="13.8" x14ac:dyDescent="0.25"/>
  <cols>
    <col min="1" max="1" width="9.109375" style="1"/>
    <col min="2" max="2" width="36.109375" style="1" bestFit="1" customWidth="1"/>
    <col min="3" max="3" width="9.88671875" style="1" bestFit="1" customWidth="1"/>
    <col min="4" max="4" width="10.33203125" style="1" bestFit="1" customWidth="1"/>
    <col min="5" max="5" width="9.88671875" style="1" bestFit="1" customWidth="1"/>
    <col min="6" max="6" width="9.109375" style="1"/>
    <col min="7" max="8" width="10.33203125" style="1" bestFit="1" customWidth="1"/>
    <col min="9" max="10" width="9.109375" style="1"/>
    <col min="11" max="11" width="9.5546875" style="1" bestFit="1" customWidth="1"/>
    <col min="12" max="13" width="9.109375" style="1"/>
    <col min="14" max="14" width="11.33203125" style="1" customWidth="1"/>
    <col min="15" max="15" width="15.109375" style="1" customWidth="1"/>
    <col min="16" max="16" width="11.88671875" style="1" customWidth="1"/>
    <col min="17" max="17" width="12" style="1" customWidth="1"/>
    <col min="18" max="18" width="13.33203125" style="1" customWidth="1"/>
    <col min="19" max="19" width="13" style="1" customWidth="1"/>
    <col min="20" max="20" width="11.33203125" style="1" customWidth="1"/>
    <col min="21" max="21" width="13.109375" style="1" customWidth="1"/>
    <col min="22" max="16384" width="9.109375" style="1"/>
  </cols>
  <sheetData>
    <row r="2" spans="2:18" ht="24" customHeight="1" x14ac:dyDescent="0.35">
      <c r="B2" s="568" t="s">
        <v>0</v>
      </c>
      <c r="C2" s="568"/>
      <c r="D2" s="568"/>
      <c r="E2" s="568"/>
      <c r="F2" s="568"/>
      <c r="G2" s="568"/>
      <c r="H2" s="568"/>
      <c r="I2" s="568"/>
      <c r="J2" s="568"/>
      <c r="K2" s="568"/>
      <c r="L2" s="568"/>
      <c r="M2" s="568"/>
      <c r="N2" s="568"/>
      <c r="O2" s="568"/>
      <c r="P2" s="568"/>
      <c r="Q2" s="568"/>
    </row>
    <row r="4" spans="2:18" ht="15.6" x14ac:dyDescent="0.3">
      <c r="B4" s="569" t="s">
        <v>1</v>
      </c>
      <c r="C4" s="569"/>
      <c r="D4" s="569"/>
      <c r="E4" s="569"/>
      <c r="F4" s="569"/>
      <c r="G4" s="569"/>
      <c r="H4" s="569"/>
      <c r="I4" s="569"/>
      <c r="J4" s="569"/>
      <c r="K4" s="569"/>
      <c r="L4" s="569"/>
      <c r="M4" s="569"/>
      <c r="N4" s="569"/>
      <c r="O4" s="569"/>
      <c r="P4" s="569"/>
    </row>
    <row r="6" spans="2:18" ht="17.399999999999999" x14ac:dyDescent="0.3">
      <c r="B6" s="2" t="s">
        <v>2</v>
      </c>
      <c r="J6" s="2" t="s">
        <v>3</v>
      </c>
    </row>
    <row r="7" spans="2:18" x14ac:dyDescent="0.25">
      <c r="B7" s="570" t="s">
        <v>4</v>
      </c>
      <c r="C7" s="570"/>
      <c r="D7" s="570"/>
      <c r="E7" s="570"/>
      <c r="F7" s="570"/>
      <c r="G7" s="570"/>
      <c r="H7" s="570"/>
      <c r="J7" s="570" t="s">
        <v>4</v>
      </c>
      <c r="K7" s="570"/>
      <c r="L7" s="570"/>
      <c r="M7" s="570"/>
      <c r="N7" s="570"/>
      <c r="O7" s="570"/>
      <c r="P7" s="570"/>
    </row>
    <row r="8" spans="2:18" x14ac:dyDescent="0.25">
      <c r="B8" s="570" t="s">
        <v>5</v>
      </c>
      <c r="C8" s="570"/>
      <c r="D8" s="570"/>
      <c r="E8" s="570"/>
      <c r="F8" s="570"/>
      <c r="G8" s="570"/>
      <c r="H8" s="570"/>
      <c r="J8" s="570" t="s">
        <v>5</v>
      </c>
      <c r="K8" s="570"/>
      <c r="L8" s="570"/>
      <c r="M8" s="570"/>
      <c r="N8" s="570"/>
      <c r="O8" s="570"/>
      <c r="P8" s="570"/>
    </row>
    <row r="9" spans="2:18" x14ac:dyDescent="0.25">
      <c r="B9" s="570" t="s">
        <v>6</v>
      </c>
      <c r="C9" s="570"/>
      <c r="D9" s="570"/>
      <c r="E9" s="570"/>
      <c r="F9" s="570"/>
      <c r="G9" s="570"/>
      <c r="H9" s="570"/>
      <c r="J9" s="570" t="s">
        <v>6</v>
      </c>
      <c r="K9" s="570"/>
      <c r="L9" s="570"/>
      <c r="M9" s="570"/>
      <c r="N9" s="570"/>
      <c r="O9" s="570"/>
      <c r="P9" s="570"/>
    </row>
    <row r="10" spans="2:18" x14ac:dyDescent="0.25">
      <c r="B10" s="4"/>
      <c r="C10" s="4"/>
      <c r="D10" s="4"/>
      <c r="E10" s="4"/>
      <c r="F10" s="4"/>
      <c r="G10" s="4"/>
      <c r="H10" s="4"/>
      <c r="P10" s="3" t="s">
        <v>7</v>
      </c>
      <c r="Q10" s="3" t="s">
        <v>7</v>
      </c>
      <c r="R10" s="5"/>
    </row>
    <row r="11" spans="2:18" x14ac:dyDescent="0.25">
      <c r="B11" s="6"/>
      <c r="C11" s="573" t="s">
        <v>8</v>
      </c>
      <c r="D11" s="574"/>
      <c r="E11" s="573" t="s">
        <v>9</v>
      </c>
      <c r="F11" s="574"/>
      <c r="G11" s="3" t="s">
        <v>7</v>
      </c>
      <c r="J11" s="575"/>
      <c r="K11" s="576"/>
      <c r="L11" s="576"/>
      <c r="M11" s="576"/>
      <c r="N11" s="7" t="s">
        <v>10</v>
      </c>
      <c r="O11" s="8" t="s">
        <v>11</v>
      </c>
      <c r="P11" s="9" t="s">
        <v>12</v>
      </c>
      <c r="Q11" s="3" t="s">
        <v>13</v>
      </c>
      <c r="R11" s="3" t="s">
        <v>14</v>
      </c>
    </row>
    <row r="12" spans="2:18" x14ac:dyDescent="0.25">
      <c r="B12" s="10" t="s">
        <v>15</v>
      </c>
      <c r="C12" s="11">
        <v>3000</v>
      </c>
      <c r="D12" s="12">
        <v>1</v>
      </c>
      <c r="E12" s="11">
        <v>3500</v>
      </c>
      <c r="F12" s="12">
        <v>1</v>
      </c>
      <c r="G12" s="13"/>
      <c r="H12" s="13"/>
      <c r="I12" s="14"/>
      <c r="J12" s="577" t="s">
        <v>15</v>
      </c>
      <c r="K12" s="578"/>
      <c r="L12" s="578"/>
      <c r="M12" s="578"/>
      <c r="N12" s="11">
        <v>3000</v>
      </c>
      <c r="O12" s="11">
        <v>3500</v>
      </c>
      <c r="P12" s="15">
        <f>O12-N12</f>
        <v>500</v>
      </c>
      <c r="Q12" s="16">
        <f>P12/N12</f>
        <v>0.16666666666666666</v>
      </c>
      <c r="R12" s="17">
        <f>(O12-N12)/N12</f>
        <v>0.16666666666666666</v>
      </c>
    </row>
    <row r="13" spans="2:18" x14ac:dyDescent="0.25">
      <c r="B13" s="18" t="s">
        <v>16</v>
      </c>
      <c r="C13" s="19">
        <v>2050</v>
      </c>
      <c r="D13" s="20">
        <f>C13/$C$12</f>
        <v>0.68333333333333335</v>
      </c>
      <c r="E13" s="19">
        <v>2400</v>
      </c>
      <c r="F13" s="21">
        <f>E13/$E$12</f>
        <v>0.68571428571428572</v>
      </c>
      <c r="G13" s="22">
        <f>F13-D13</f>
        <v>2.3809523809523725E-3</v>
      </c>
      <c r="H13" s="23"/>
      <c r="I13" s="24"/>
      <c r="J13" s="579" t="s">
        <v>16</v>
      </c>
      <c r="K13" s="580"/>
      <c r="L13" s="580"/>
      <c r="M13" s="580"/>
      <c r="N13" s="19">
        <v>2050</v>
      </c>
      <c r="O13" s="19">
        <v>2400</v>
      </c>
      <c r="P13" s="15">
        <f t="shared" ref="P13:P23" si="0">O13-N13</f>
        <v>350</v>
      </c>
      <c r="Q13" s="16">
        <f t="shared" ref="Q13:Q23" si="1">P13/N13</f>
        <v>0.17073170731707318</v>
      </c>
      <c r="R13" s="17">
        <f t="shared" ref="R13:R23" si="2">(O13-N13)/N13</f>
        <v>0.17073170731707318</v>
      </c>
    </row>
    <row r="14" spans="2:18" x14ac:dyDescent="0.25">
      <c r="B14" s="10" t="s">
        <v>17</v>
      </c>
      <c r="C14" s="26">
        <f>+C12-C13</f>
        <v>950</v>
      </c>
      <c r="D14" s="20">
        <f>C14/$C$12</f>
        <v>0.31666666666666665</v>
      </c>
      <c r="E14" s="26">
        <f>+E12-E13</f>
        <v>1100</v>
      </c>
      <c r="F14" s="21">
        <f t="shared" ref="F14:F23" si="3">E14/$E$12</f>
        <v>0.31428571428571428</v>
      </c>
      <c r="G14" s="22">
        <f>F14-D14</f>
        <v>-2.3809523809523725E-3</v>
      </c>
      <c r="H14" s="23"/>
      <c r="I14" s="27"/>
      <c r="J14" s="571" t="s">
        <v>17</v>
      </c>
      <c r="K14" s="572"/>
      <c r="L14" s="572"/>
      <c r="M14" s="572"/>
      <c r="N14" s="26">
        <f>+N12-N13</f>
        <v>950</v>
      </c>
      <c r="O14" s="26">
        <f>+O12-O13</f>
        <v>1100</v>
      </c>
      <c r="P14" s="15">
        <f t="shared" si="0"/>
        <v>150</v>
      </c>
      <c r="Q14" s="16">
        <f t="shared" si="1"/>
        <v>0.15789473684210525</v>
      </c>
      <c r="R14" s="17">
        <f t="shared" si="2"/>
        <v>0.15789473684210525</v>
      </c>
    </row>
    <row r="15" spans="2:18" x14ac:dyDescent="0.25">
      <c r="B15" s="18" t="s">
        <v>18</v>
      </c>
      <c r="C15" s="19">
        <v>200</v>
      </c>
      <c r="D15" s="20">
        <f>C15/$C$12</f>
        <v>6.6666666666666666E-2</v>
      </c>
      <c r="E15" s="19">
        <v>250</v>
      </c>
      <c r="F15" s="21">
        <f t="shared" si="3"/>
        <v>7.1428571428571425E-2</v>
      </c>
      <c r="G15" s="22">
        <f t="shared" ref="G14:G23" si="4">F15-D15</f>
        <v>4.7619047619047589E-3</v>
      </c>
      <c r="H15" s="23"/>
      <c r="I15" s="24"/>
      <c r="J15" s="579" t="s">
        <v>18</v>
      </c>
      <c r="K15" s="580"/>
      <c r="L15" s="580"/>
      <c r="M15" s="580"/>
      <c r="N15" s="19">
        <v>200</v>
      </c>
      <c r="O15" s="19">
        <v>250</v>
      </c>
      <c r="P15" s="15">
        <f t="shared" si="0"/>
        <v>50</v>
      </c>
      <c r="Q15" s="16">
        <f t="shared" si="1"/>
        <v>0.25</v>
      </c>
      <c r="R15" s="17">
        <f t="shared" si="2"/>
        <v>0.25</v>
      </c>
    </row>
    <row r="16" spans="2:18" x14ac:dyDescent="0.25">
      <c r="B16" s="18" t="s">
        <v>19</v>
      </c>
      <c r="C16" s="19">
        <v>300</v>
      </c>
      <c r="D16" s="20">
        <f t="shared" ref="D14:D23" si="5">C16/$C$12</f>
        <v>0.1</v>
      </c>
      <c r="E16" s="19">
        <v>280</v>
      </c>
      <c r="F16" s="21">
        <f t="shared" si="3"/>
        <v>0.08</v>
      </c>
      <c r="G16" s="22">
        <f t="shared" si="4"/>
        <v>-2.0000000000000004E-2</v>
      </c>
      <c r="H16" s="23"/>
      <c r="I16" s="24"/>
      <c r="J16" s="579" t="s">
        <v>19</v>
      </c>
      <c r="K16" s="580"/>
      <c r="L16" s="580"/>
      <c r="M16" s="580"/>
      <c r="N16" s="19">
        <v>300</v>
      </c>
      <c r="O16" s="19">
        <v>280</v>
      </c>
      <c r="P16" s="15">
        <f t="shared" si="0"/>
        <v>-20</v>
      </c>
      <c r="Q16" s="16">
        <f t="shared" si="1"/>
        <v>-6.6666666666666666E-2</v>
      </c>
      <c r="R16" s="17">
        <f t="shared" si="2"/>
        <v>-6.6666666666666666E-2</v>
      </c>
    </row>
    <row r="17" spans="2:22" x14ac:dyDescent="0.25">
      <c r="B17" s="18" t="s">
        <v>20</v>
      </c>
      <c r="C17" s="19">
        <v>20</v>
      </c>
      <c r="D17" s="20">
        <f t="shared" si="5"/>
        <v>6.6666666666666671E-3</v>
      </c>
      <c r="E17" s="19">
        <v>22</v>
      </c>
      <c r="F17" s="21">
        <f t="shared" si="3"/>
        <v>6.285714285714286E-3</v>
      </c>
      <c r="G17" s="22">
        <f t="shared" si="4"/>
        <v>-3.8095238095238113E-4</v>
      </c>
      <c r="H17" s="23"/>
      <c r="I17" s="24"/>
      <c r="J17" s="579" t="s">
        <v>20</v>
      </c>
      <c r="K17" s="580"/>
      <c r="L17" s="580"/>
      <c r="M17" s="580"/>
      <c r="N17" s="19">
        <v>20</v>
      </c>
      <c r="O17" s="19">
        <v>22</v>
      </c>
      <c r="P17" s="15">
        <f t="shared" si="0"/>
        <v>2</v>
      </c>
      <c r="Q17" s="16">
        <f t="shared" si="1"/>
        <v>0.1</v>
      </c>
      <c r="R17" s="17">
        <f t="shared" si="2"/>
        <v>0.1</v>
      </c>
    </row>
    <row r="18" spans="2:22" x14ac:dyDescent="0.25">
      <c r="B18" s="28" t="s">
        <v>21</v>
      </c>
      <c r="C18" s="29">
        <f>+C15+C16+C17</f>
        <v>520</v>
      </c>
      <c r="D18" s="20">
        <f t="shared" si="5"/>
        <v>0.17333333333333334</v>
      </c>
      <c r="E18" s="30">
        <f>+E15+E16+E17</f>
        <v>552</v>
      </c>
      <c r="F18" s="21">
        <f t="shared" si="3"/>
        <v>0.15771428571428572</v>
      </c>
      <c r="G18" s="22">
        <f t="shared" si="4"/>
        <v>-1.5619047619047616E-2</v>
      </c>
      <c r="H18" s="23"/>
      <c r="I18" s="27"/>
      <c r="J18" s="571" t="s">
        <v>21</v>
      </c>
      <c r="K18" s="572"/>
      <c r="L18" s="572"/>
      <c r="M18" s="572"/>
      <c r="N18" s="29">
        <f>+N15+N16+N17</f>
        <v>520</v>
      </c>
      <c r="O18" s="30">
        <f>+O15+O16+O17</f>
        <v>552</v>
      </c>
      <c r="P18" s="15">
        <f t="shared" si="0"/>
        <v>32</v>
      </c>
      <c r="Q18" s="16">
        <f t="shared" si="1"/>
        <v>6.1538461538461542E-2</v>
      </c>
      <c r="R18" s="17">
        <f t="shared" si="2"/>
        <v>6.1538461538461542E-2</v>
      </c>
    </row>
    <row r="19" spans="2:22" x14ac:dyDescent="0.25">
      <c r="B19" s="18" t="s">
        <v>22</v>
      </c>
      <c r="C19" s="19">
        <f>+C14-C18</f>
        <v>430</v>
      </c>
      <c r="D19" s="20">
        <f t="shared" si="5"/>
        <v>0.14333333333333334</v>
      </c>
      <c r="E19" s="19">
        <f>+E14-E18</f>
        <v>548</v>
      </c>
      <c r="F19" s="21">
        <f t="shared" si="3"/>
        <v>0.15657142857142858</v>
      </c>
      <c r="G19" s="22">
        <f t="shared" si="4"/>
        <v>1.3238095238095243E-2</v>
      </c>
      <c r="H19" s="23"/>
      <c r="I19" s="24"/>
      <c r="J19" s="579" t="s">
        <v>22</v>
      </c>
      <c r="K19" s="580"/>
      <c r="L19" s="580"/>
      <c r="M19" s="580"/>
      <c r="N19" s="19">
        <f>+N14-N18</f>
        <v>430</v>
      </c>
      <c r="O19" s="19">
        <f>+O14-O18</f>
        <v>548</v>
      </c>
      <c r="P19" s="15">
        <f t="shared" si="0"/>
        <v>118</v>
      </c>
      <c r="Q19" s="16">
        <f t="shared" si="1"/>
        <v>0.2744186046511628</v>
      </c>
      <c r="R19" s="17">
        <f t="shared" si="2"/>
        <v>0.2744186046511628</v>
      </c>
    </row>
    <row r="20" spans="2:22" x14ac:dyDescent="0.25">
      <c r="B20" s="18" t="s">
        <v>23</v>
      </c>
      <c r="C20" s="19">
        <v>50</v>
      </c>
      <c r="D20" s="20">
        <f t="shared" si="5"/>
        <v>1.6666666666666666E-2</v>
      </c>
      <c r="E20" s="19">
        <v>47</v>
      </c>
      <c r="F20" s="21">
        <f t="shared" si="3"/>
        <v>1.3428571428571429E-2</v>
      </c>
      <c r="G20" s="22">
        <f t="shared" si="4"/>
        <v>-3.2380952380952378E-3</v>
      </c>
      <c r="H20" s="23"/>
      <c r="I20" s="27"/>
      <c r="J20" s="579" t="s">
        <v>23</v>
      </c>
      <c r="K20" s="580"/>
      <c r="L20" s="580"/>
      <c r="M20" s="580"/>
      <c r="N20" s="19">
        <v>50</v>
      </c>
      <c r="O20" s="19">
        <v>47</v>
      </c>
      <c r="P20" s="15">
        <f t="shared" si="0"/>
        <v>-3</v>
      </c>
      <c r="Q20" s="16">
        <f t="shared" si="1"/>
        <v>-0.06</v>
      </c>
      <c r="R20" s="17">
        <f t="shared" si="2"/>
        <v>-0.06</v>
      </c>
    </row>
    <row r="21" spans="2:22" x14ac:dyDescent="0.25">
      <c r="B21" s="28" t="s">
        <v>24</v>
      </c>
      <c r="C21" s="26">
        <f>+C19-C20</f>
        <v>380</v>
      </c>
      <c r="D21" s="20">
        <f t="shared" si="5"/>
        <v>0.12666666666666668</v>
      </c>
      <c r="E21" s="31">
        <f>+E19-E20</f>
        <v>501</v>
      </c>
      <c r="F21" s="21">
        <f t="shared" si="3"/>
        <v>0.14314285714285716</v>
      </c>
      <c r="G21" s="22">
        <f t="shared" si="4"/>
        <v>1.6476190476190478E-2</v>
      </c>
      <c r="H21" s="23"/>
      <c r="I21" s="24"/>
      <c r="J21" s="571" t="s">
        <v>24</v>
      </c>
      <c r="K21" s="572"/>
      <c r="L21" s="572"/>
      <c r="M21" s="572"/>
      <c r="N21" s="26">
        <f>+N19-N20</f>
        <v>380</v>
      </c>
      <c r="O21" s="31">
        <f>+O19-O20</f>
        <v>501</v>
      </c>
      <c r="P21" s="15">
        <f t="shared" si="0"/>
        <v>121</v>
      </c>
      <c r="Q21" s="16">
        <f t="shared" si="1"/>
        <v>0.31842105263157894</v>
      </c>
      <c r="R21" s="17">
        <f t="shared" si="2"/>
        <v>0.31842105263157894</v>
      </c>
    </row>
    <row r="22" spans="2:22" x14ac:dyDescent="0.25">
      <c r="B22" s="18" t="s">
        <v>25</v>
      </c>
      <c r="C22" s="19">
        <f>+C21*30%</f>
        <v>114</v>
      </c>
      <c r="D22" s="20">
        <f t="shared" si="5"/>
        <v>3.7999999999999999E-2</v>
      </c>
      <c r="E22" s="19">
        <f>+E21*30%</f>
        <v>150.29999999999998</v>
      </c>
      <c r="F22" s="21">
        <f t="shared" si="3"/>
        <v>4.2942857142857137E-2</v>
      </c>
      <c r="G22" s="22">
        <f t="shared" si="4"/>
        <v>4.9428571428571377E-3</v>
      </c>
      <c r="H22" s="23"/>
      <c r="I22" s="27"/>
      <c r="J22" s="579" t="s">
        <v>26</v>
      </c>
      <c r="K22" s="580"/>
      <c r="L22" s="580"/>
      <c r="M22" s="580"/>
      <c r="N22" s="19">
        <f>+N21*30%</f>
        <v>114</v>
      </c>
      <c r="O22" s="19">
        <f>+O21*30%</f>
        <v>150.29999999999998</v>
      </c>
      <c r="P22" s="15">
        <f t="shared" si="0"/>
        <v>36.299999999999983</v>
      </c>
      <c r="Q22" s="16">
        <f t="shared" si="1"/>
        <v>0.31842105263157877</v>
      </c>
      <c r="R22" s="17">
        <f t="shared" si="2"/>
        <v>0.31842105263157877</v>
      </c>
    </row>
    <row r="23" spans="2:22" x14ac:dyDescent="0.25">
      <c r="B23" s="32" t="s">
        <v>27</v>
      </c>
      <c r="C23" s="29">
        <f>+C21-C22</f>
        <v>266</v>
      </c>
      <c r="D23" s="20">
        <f t="shared" si="5"/>
        <v>8.8666666666666671E-2</v>
      </c>
      <c r="E23" s="30">
        <f>+E21-E22</f>
        <v>350.70000000000005</v>
      </c>
      <c r="F23" s="21">
        <f t="shared" si="3"/>
        <v>0.10020000000000001</v>
      </c>
      <c r="G23" s="22">
        <f t="shared" si="4"/>
        <v>1.153333333333334E-2</v>
      </c>
      <c r="H23" s="33"/>
      <c r="J23" s="581" t="s">
        <v>27</v>
      </c>
      <c r="K23" s="582"/>
      <c r="L23" s="582"/>
      <c r="M23" s="582"/>
      <c r="N23" s="29">
        <f>+N21-N22</f>
        <v>266</v>
      </c>
      <c r="O23" s="30">
        <f>+O21-O22</f>
        <v>350.70000000000005</v>
      </c>
      <c r="P23" s="15">
        <f t="shared" si="0"/>
        <v>84.700000000000045</v>
      </c>
      <c r="Q23" s="16">
        <f t="shared" si="1"/>
        <v>0.3184210526315791</v>
      </c>
      <c r="R23" s="17">
        <f t="shared" si="2"/>
        <v>0.3184210526315791</v>
      </c>
    </row>
    <row r="24" spans="2:22" x14ac:dyDescent="0.25">
      <c r="D24" s="33"/>
      <c r="F24" s="33"/>
      <c r="G24" s="34"/>
    </row>
    <row r="26" spans="2:22" ht="20.399999999999999" x14ac:dyDescent="0.35">
      <c r="B26" s="35" t="s">
        <v>28</v>
      </c>
      <c r="D26" s="570" t="s">
        <v>29</v>
      </c>
      <c r="E26" s="570"/>
      <c r="F26" s="570"/>
      <c r="G26" s="570"/>
      <c r="H26" s="570"/>
      <c r="I26" s="570"/>
      <c r="J26" s="570"/>
      <c r="K26" s="570"/>
      <c r="M26" s="584" t="s">
        <v>3</v>
      </c>
      <c r="N26" s="584"/>
      <c r="O26" s="570" t="s">
        <v>29</v>
      </c>
      <c r="P26" s="570"/>
      <c r="Q26" s="570"/>
      <c r="R26" s="570"/>
      <c r="S26" s="570"/>
      <c r="T26" s="570"/>
      <c r="U26" s="570"/>
      <c r="V26" s="570"/>
    </row>
    <row r="27" spans="2:22" x14ac:dyDescent="0.25">
      <c r="D27" s="570" t="s">
        <v>30</v>
      </c>
      <c r="E27" s="570"/>
      <c r="F27" s="570"/>
      <c r="G27" s="570"/>
      <c r="H27" s="570"/>
      <c r="I27" s="570"/>
      <c r="J27" s="570"/>
      <c r="K27" s="570"/>
      <c r="M27" s="584"/>
      <c r="N27" s="584"/>
      <c r="O27" s="570" t="s">
        <v>30</v>
      </c>
      <c r="P27" s="570"/>
      <c r="Q27" s="570"/>
      <c r="R27" s="570"/>
      <c r="S27" s="570"/>
      <c r="T27" s="570"/>
      <c r="U27" s="570"/>
      <c r="V27" s="570"/>
    </row>
    <row r="28" spans="2:22" x14ac:dyDescent="0.25">
      <c r="D28" s="570" t="s">
        <v>31</v>
      </c>
      <c r="E28" s="570"/>
      <c r="F28" s="570"/>
      <c r="G28" s="570"/>
      <c r="H28" s="570"/>
      <c r="I28" s="570"/>
      <c r="J28" s="570"/>
      <c r="K28" s="570"/>
      <c r="O28" s="570" t="s">
        <v>31</v>
      </c>
      <c r="P28" s="570"/>
      <c r="Q28" s="570"/>
      <c r="R28" s="570"/>
      <c r="S28" s="570"/>
      <c r="T28" s="570"/>
      <c r="U28" s="570"/>
      <c r="V28" s="570"/>
    </row>
    <row r="29" spans="2:22" x14ac:dyDescent="0.25">
      <c r="D29" s="570" t="s">
        <v>6</v>
      </c>
      <c r="E29" s="570"/>
      <c r="F29" s="570"/>
      <c r="G29" s="570"/>
      <c r="H29" s="570"/>
      <c r="I29" s="570"/>
      <c r="J29" s="570"/>
      <c r="K29" s="570"/>
      <c r="O29" s="570" t="s">
        <v>6</v>
      </c>
      <c r="P29" s="570"/>
      <c r="Q29" s="570"/>
      <c r="R29" s="570"/>
      <c r="S29" s="570"/>
      <c r="T29" s="570"/>
      <c r="U29" s="570"/>
      <c r="V29" s="570"/>
    </row>
    <row r="30" spans="2:22" x14ac:dyDescent="0.25">
      <c r="D30" s="4"/>
      <c r="E30" s="4"/>
      <c r="F30" s="4"/>
      <c r="G30" s="4"/>
      <c r="H30" s="4"/>
      <c r="I30" s="4"/>
      <c r="J30" s="4"/>
      <c r="K30" s="4"/>
      <c r="T30" s="3" t="s">
        <v>7</v>
      </c>
      <c r="U30" s="3" t="s">
        <v>7</v>
      </c>
      <c r="V30" s="5"/>
    </row>
    <row r="31" spans="2:22" ht="15.6" x14ac:dyDescent="0.3">
      <c r="D31" s="585" t="s">
        <v>8</v>
      </c>
      <c r="E31" s="585"/>
      <c r="F31" s="585"/>
      <c r="G31" s="585"/>
      <c r="H31" s="574" t="s">
        <v>9</v>
      </c>
      <c r="I31" s="585"/>
      <c r="J31" s="585"/>
      <c r="K31" s="585"/>
      <c r="O31" s="36" t="s">
        <v>32</v>
      </c>
      <c r="P31" s="37"/>
      <c r="Q31" s="37"/>
      <c r="R31" s="38" t="s">
        <v>10</v>
      </c>
      <c r="S31" s="8" t="s">
        <v>11</v>
      </c>
      <c r="T31" s="3" t="s">
        <v>12</v>
      </c>
      <c r="U31" s="3" t="s">
        <v>13</v>
      </c>
      <c r="V31" s="3" t="s">
        <v>14</v>
      </c>
    </row>
    <row r="32" spans="2:22" ht="15.6" x14ac:dyDescent="0.3">
      <c r="B32" s="36" t="s">
        <v>32</v>
      </c>
      <c r="C32" s="37"/>
      <c r="D32" s="39"/>
      <c r="E32" s="4"/>
      <c r="F32" s="4"/>
      <c r="G32" s="40"/>
      <c r="H32" s="4"/>
      <c r="I32" s="4"/>
      <c r="J32" s="4"/>
      <c r="K32" s="40"/>
      <c r="O32" s="583" t="s">
        <v>33</v>
      </c>
      <c r="P32" s="583"/>
      <c r="Q32" s="583"/>
      <c r="R32" s="39"/>
      <c r="S32" s="41"/>
    </row>
    <row r="33" spans="2:22" x14ac:dyDescent="0.25">
      <c r="B33" s="1" t="s">
        <v>33</v>
      </c>
      <c r="D33" s="42"/>
      <c r="G33" s="41"/>
      <c r="K33" s="41"/>
      <c r="O33" s="583" t="s">
        <v>34</v>
      </c>
      <c r="P33" s="583"/>
      <c r="Q33" s="583"/>
      <c r="R33" s="43">
        <v>85</v>
      </c>
      <c r="S33" s="86">
        <v>100</v>
      </c>
      <c r="T33" s="45">
        <f>S33-R33</f>
        <v>15</v>
      </c>
      <c r="U33" s="25">
        <f>T33/R33</f>
        <v>0.17647058823529413</v>
      </c>
      <c r="V33" s="25">
        <f>(S33-R33)/R33</f>
        <v>0.17647058823529413</v>
      </c>
    </row>
    <row r="34" spans="2:22" x14ac:dyDescent="0.25">
      <c r="B34" s="1" t="s">
        <v>34</v>
      </c>
      <c r="D34" s="43">
        <v>85</v>
      </c>
      <c r="E34" s="46">
        <f>D34/$D$43</f>
        <v>0.1111111111111111</v>
      </c>
      <c r="F34" s="47"/>
      <c r="G34" s="48">
        <f>D34/$D$38</f>
        <v>0.13385826771653545</v>
      </c>
      <c r="H34" s="44">
        <v>100</v>
      </c>
      <c r="I34" s="46">
        <f>H34/$H$43</f>
        <v>0.11904761904761904</v>
      </c>
      <c r="J34" s="47"/>
      <c r="K34" s="48">
        <f>H34/$H$38</f>
        <v>0.14492753623188406</v>
      </c>
      <c r="O34" s="583" t="s">
        <v>35</v>
      </c>
      <c r="P34" s="583"/>
      <c r="Q34" s="583"/>
      <c r="R34" s="43">
        <v>90</v>
      </c>
      <c r="S34" s="86">
        <v>100</v>
      </c>
      <c r="T34" s="45">
        <f t="shared" ref="T34:T61" si="6">S34-R34</f>
        <v>10</v>
      </c>
      <c r="U34" s="25">
        <f t="shared" ref="U34:U61" si="7">T34/R34</f>
        <v>0.1111111111111111</v>
      </c>
      <c r="V34" s="25">
        <f>(S34-R34)/R34</f>
        <v>0.1111111111111111</v>
      </c>
    </row>
    <row r="35" spans="2:22" x14ac:dyDescent="0.25">
      <c r="B35" s="1" t="s">
        <v>35</v>
      </c>
      <c r="D35" s="43">
        <v>90</v>
      </c>
      <c r="E35" s="46">
        <f t="shared" ref="E35:E41" si="8">D35/$D$43</f>
        <v>0.11764705882352941</v>
      </c>
      <c r="F35" s="47"/>
      <c r="G35" s="48">
        <f t="shared" ref="G35:G37" si="9">D35/$D$38</f>
        <v>0.14173228346456693</v>
      </c>
      <c r="H35" s="44">
        <v>100</v>
      </c>
      <c r="I35" s="46">
        <f t="shared" ref="I35:I41" si="10">H35/$H$43</f>
        <v>0.11904761904761904</v>
      </c>
      <c r="J35" s="47"/>
      <c r="K35" s="48">
        <f t="shared" ref="K35:K37" si="11">H35/$H$38</f>
        <v>0.14492753623188406</v>
      </c>
      <c r="O35" s="583" t="s">
        <v>36</v>
      </c>
      <c r="P35" s="583"/>
      <c r="Q35" s="583"/>
      <c r="R35" s="49">
        <v>210</v>
      </c>
      <c r="S35" s="238">
        <v>230</v>
      </c>
      <c r="T35" s="45">
        <f t="shared" si="6"/>
        <v>20</v>
      </c>
      <c r="U35" s="25">
        <f t="shared" si="7"/>
        <v>9.5238095238095233E-2</v>
      </c>
      <c r="V35" s="25">
        <f t="shared" ref="V35:V61" si="12">(S35-R35)/R35</f>
        <v>9.5238095238095233E-2</v>
      </c>
    </row>
    <row r="36" spans="2:22" x14ac:dyDescent="0.25">
      <c r="B36" s="1" t="s">
        <v>36</v>
      </c>
      <c r="D36" s="49">
        <v>210</v>
      </c>
      <c r="E36" s="46">
        <f t="shared" si="8"/>
        <v>0.27450980392156865</v>
      </c>
      <c r="F36" s="51"/>
      <c r="G36" s="48">
        <f t="shared" si="9"/>
        <v>0.33070866141732286</v>
      </c>
      <c r="H36" s="50">
        <v>230</v>
      </c>
      <c r="I36" s="46">
        <f t="shared" si="10"/>
        <v>0.27380952380952384</v>
      </c>
      <c r="J36" s="51"/>
      <c r="K36" s="48">
        <f t="shared" si="11"/>
        <v>0.33333333333333331</v>
      </c>
      <c r="O36" s="583" t="s">
        <v>37</v>
      </c>
      <c r="P36" s="583"/>
      <c r="Q36" s="583"/>
      <c r="R36" s="52">
        <v>250</v>
      </c>
      <c r="S36" s="239">
        <v>260</v>
      </c>
      <c r="T36" s="45">
        <f t="shared" si="6"/>
        <v>10</v>
      </c>
      <c r="U36" s="25">
        <f t="shared" si="7"/>
        <v>0.04</v>
      </c>
      <c r="V36" s="25">
        <f t="shared" si="12"/>
        <v>0.04</v>
      </c>
    </row>
    <row r="37" spans="2:22" x14ac:dyDescent="0.25">
      <c r="B37" s="1" t="s">
        <v>37</v>
      </c>
      <c r="D37" s="52">
        <v>250</v>
      </c>
      <c r="E37" s="46">
        <f t="shared" si="8"/>
        <v>0.32679738562091504</v>
      </c>
      <c r="F37" s="54"/>
      <c r="G37" s="48">
        <f t="shared" si="9"/>
        <v>0.39370078740157483</v>
      </c>
      <c r="H37" s="53">
        <v>260</v>
      </c>
      <c r="I37" s="46">
        <f t="shared" si="10"/>
        <v>0.30952380952380953</v>
      </c>
      <c r="J37" s="54"/>
      <c r="K37" s="48">
        <f t="shared" si="11"/>
        <v>0.37681159420289856</v>
      </c>
      <c r="O37" s="586" t="s">
        <v>38</v>
      </c>
      <c r="P37" s="586"/>
      <c r="Q37" s="586"/>
      <c r="R37" s="56">
        <f>SUM(R33:R36)</f>
        <v>635</v>
      </c>
      <c r="S37" s="57">
        <f>SUM(S33:S36)</f>
        <v>690</v>
      </c>
      <c r="T37" s="45">
        <f t="shared" si="6"/>
        <v>55</v>
      </c>
      <c r="U37" s="25">
        <f t="shared" si="7"/>
        <v>8.6614173228346455E-2</v>
      </c>
      <c r="V37" s="25">
        <f t="shared" si="12"/>
        <v>8.6614173228346455E-2</v>
      </c>
    </row>
    <row r="38" spans="2:22" x14ac:dyDescent="0.25">
      <c r="B38" s="58" t="s">
        <v>38</v>
      </c>
      <c r="C38" s="58"/>
      <c r="D38" s="56">
        <f>SUM(D34:D37)</f>
        <v>635</v>
      </c>
      <c r="E38" s="46"/>
      <c r="F38" s="59">
        <f>SUM(E34:E37)</f>
        <v>0.83006535947712412</v>
      </c>
      <c r="G38" s="59">
        <f>SUM(G34:G37)</f>
        <v>1</v>
      </c>
      <c r="H38" s="60">
        <f>SUM(H34:H37)</f>
        <v>690</v>
      </c>
      <c r="I38" s="46"/>
      <c r="J38" s="59">
        <f>SUM(I34:I37)</f>
        <v>0.8214285714285714</v>
      </c>
      <c r="K38" s="61">
        <f>SUM(K34:K37)</f>
        <v>1</v>
      </c>
      <c r="O38" s="583" t="s">
        <v>39</v>
      </c>
      <c r="P38" s="583"/>
      <c r="Q38" s="583"/>
      <c r="R38" s="62"/>
      <c r="S38" s="63"/>
      <c r="T38" s="45"/>
      <c r="U38" s="25"/>
      <c r="V38" s="25"/>
    </row>
    <row r="39" spans="2:22" x14ac:dyDescent="0.25">
      <c r="B39" s="1" t="s">
        <v>39</v>
      </c>
      <c r="D39" s="62"/>
      <c r="E39" s="46"/>
      <c r="F39" s="65"/>
      <c r="G39" s="66"/>
      <c r="H39" s="67"/>
      <c r="I39" s="46"/>
      <c r="J39" s="65"/>
      <c r="K39" s="66"/>
      <c r="O39" s="583" t="s">
        <v>40</v>
      </c>
      <c r="P39" s="583"/>
      <c r="Q39" s="583"/>
      <c r="R39" s="68">
        <v>200</v>
      </c>
      <c r="S39" s="240">
        <v>230</v>
      </c>
      <c r="T39" s="45">
        <f t="shared" si="6"/>
        <v>30</v>
      </c>
      <c r="U39" s="25">
        <f t="shared" si="7"/>
        <v>0.15</v>
      </c>
      <c r="V39" s="25">
        <f t="shared" si="12"/>
        <v>0.15</v>
      </c>
    </row>
    <row r="40" spans="2:22" x14ac:dyDescent="0.25">
      <c r="B40" s="1" t="s">
        <v>40</v>
      </c>
      <c r="D40" s="68">
        <v>200</v>
      </c>
      <c r="E40" s="46">
        <f t="shared" si="8"/>
        <v>0.26143790849673204</v>
      </c>
      <c r="F40" s="46"/>
      <c r="G40" s="48">
        <f>D40/$D$42</f>
        <v>1.5384615384615385</v>
      </c>
      <c r="H40" s="45">
        <v>230</v>
      </c>
      <c r="I40" s="46">
        <f t="shared" si="10"/>
        <v>0.27380952380952384</v>
      </c>
      <c r="J40" s="46"/>
      <c r="K40" s="48">
        <f>H40/H42</f>
        <v>1.5333333333333334</v>
      </c>
      <c r="O40" s="587" t="s">
        <v>41</v>
      </c>
      <c r="P40" s="587"/>
      <c r="Q40" s="587"/>
      <c r="R40" s="69">
        <v>-70</v>
      </c>
      <c r="S40" s="241">
        <v>-80</v>
      </c>
      <c r="T40" s="45">
        <f t="shared" si="6"/>
        <v>-10</v>
      </c>
      <c r="U40" s="25">
        <f t="shared" si="7"/>
        <v>0.14285714285714285</v>
      </c>
      <c r="V40" s="25">
        <f t="shared" si="12"/>
        <v>0.14285714285714285</v>
      </c>
    </row>
    <row r="41" spans="2:22" x14ac:dyDescent="0.25">
      <c r="B41" s="71" t="s">
        <v>41</v>
      </c>
      <c r="C41" s="71"/>
      <c r="D41" s="69">
        <v>-70</v>
      </c>
      <c r="E41" s="46">
        <f t="shared" si="8"/>
        <v>-9.1503267973856203E-2</v>
      </c>
      <c r="F41" s="54"/>
      <c r="G41" s="48">
        <f>D41/$D$42</f>
        <v>-0.53846153846153844</v>
      </c>
      <c r="H41" s="70">
        <v>-80</v>
      </c>
      <c r="I41" s="46">
        <f t="shared" si="10"/>
        <v>-9.5238095238095233E-2</v>
      </c>
      <c r="J41" s="54"/>
      <c r="K41" s="55">
        <f>H41/H42</f>
        <v>-0.53333333333333333</v>
      </c>
      <c r="O41" s="578" t="s">
        <v>42</v>
      </c>
      <c r="P41" s="578"/>
      <c r="Q41" s="578"/>
      <c r="R41" s="72">
        <f>SUM(R39:R40)</f>
        <v>130</v>
      </c>
      <c r="S41" s="242">
        <f>SUM(S39:S40)</f>
        <v>150</v>
      </c>
      <c r="T41" s="45">
        <f t="shared" si="6"/>
        <v>20</v>
      </c>
      <c r="U41" s="25">
        <f t="shared" si="7"/>
        <v>0.15384615384615385</v>
      </c>
      <c r="V41" s="25">
        <f t="shared" si="12"/>
        <v>0.15384615384615385</v>
      </c>
    </row>
    <row r="42" spans="2:22" x14ac:dyDescent="0.25">
      <c r="B42" s="5" t="s">
        <v>42</v>
      </c>
      <c r="C42" s="5"/>
      <c r="D42" s="72">
        <f>SUM(D40:D41)</f>
        <v>130</v>
      </c>
      <c r="E42" s="73"/>
      <c r="F42" s="73">
        <f>E40+E41</f>
        <v>0.16993464052287582</v>
      </c>
      <c r="G42" s="74">
        <f>G40+G41</f>
        <v>1</v>
      </c>
      <c r="H42" s="72">
        <f>SUM(H40:H41)</f>
        <v>150</v>
      </c>
      <c r="I42" s="73"/>
      <c r="J42" s="73">
        <f>I40+I41</f>
        <v>0.1785714285714286</v>
      </c>
      <c r="K42" s="74">
        <f>K40+K41</f>
        <v>1</v>
      </c>
      <c r="O42" s="588" t="s">
        <v>43</v>
      </c>
      <c r="P42" s="588"/>
      <c r="Q42" s="588"/>
      <c r="R42" s="75">
        <f>+R37+R41</f>
        <v>765</v>
      </c>
      <c r="S42" s="76">
        <f>+S37+S41</f>
        <v>840</v>
      </c>
      <c r="T42" s="45">
        <f t="shared" si="6"/>
        <v>75</v>
      </c>
      <c r="U42" s="25">
        <f t="shared" si="7"/>
        <v>9.8039215686274508E-2</v>
      </c>
      <c r="V42" s="25">
        <f t="shared" si="12"/>
        <v>9.8039215686274508E-2</v>
      </c>
    </row>
    <row r="43" spans="2:22" x14ac:dyDescent="0.25">
      <c r="B43" s="77" t="s">
        <v>43</v>
      </c>
      <c r="C43" s="37"/>
      <c r="D43" s="75">
        <f>+D38+D42</f>
        <v>765</v>
      </c>
      <c r="E43" s="78">
        <f>F38+F42</f>
        <v>1</v>
      </c>
      <c r="F43" s="79"/>
      <c r="G43" s="80"/>
      <c r="H43" s="75">
        <f>+H38+H42</f>
        <v>840</v>
      </c>
      <c r="I43" s="78">
        <f>J38+J42</f>
        <v>1</v>
      </c>
      <c r="J43" s="79"/>
      <c r="K43" s="80"/>
      <c r="R43" s="42"/>
      <c r="S43" s="81"/>
      <c r="T43" s="45"/>
      <c r="U43" s="25"/>
      <c r="V43" s="25"/>
    </row>
    <row r="44" spans="2:22" ht="15.6" x14ac:dyDescent="0.3">
      <c r="D44" s="42"/>
      <c r="E44" s="82"/>
      <c r="G44" s="41"/>
      <c r="H44" s="42"/>
      <c r="K44" s="41"/>
      <c r="O44" s="589" t="s">
        <v>44</v>
      </c>
      <c r="P44" s="589"/>
      <c r="Q44" s="589"/>
      <c r="R44" s="6"/>
      <c r="S44" s="83"/>
      <c r="T44" s="45"/>
      <c r="U44" s="25"/>
      <c r="V44" s="25"/>
    </row>
    <row r="45" spans="2:22" ht="15.6" x14ac:dyDescent="0.3">
      <c r="B45" s="84" t="s">
        <v>44</v>
      </c>
      <c r="D45" s="6"/>
      <c r="E45" s="85"/>
      <c r="F45" s="85"/>
      <c r="G45" s="83"/>
      <c r="H45" s="85"/>
      <c r="I45" s="85"/>
      <c r="J45" s="85"/>
      <c r="K45" s="83"/>
      <c r="O45" s="583" t="s">
        <v>45</v>
      </c>
      <c r="P45" s="583"/>
      <c r="Q45" s="583"/>
      <c r="R45" s="42"/>
      <c r="S45" s="41"/>
      <c r="T45" s="45"/>
      <c r="U45" s="25"/>
      <c r="V45" s="25"/>
    </row>
    <row r="46" spans="2:22" x14ac:dyDescent="0.25">
      <c r="B46" s="1" t="s">
        <v>45</v>
      </c>
      <c r="D46" s="42"/>
      <c r="G46" s="41"/>
      <c r="K46" s="41"/>
      <c r="O46" s="583" t="s">
        <v>46</v>
      </c>
      <c r="P46" s="583"/>
      <c r="Q46" s="583"/>
      <c r="R46" s="43"/>
      <c r="S46" s="86"/>
      <c r="T46" s="45"/>
      <c r="U46" s="25"/>
      <c r="V46" s="25"/>
    </row>
    <row r="47" spans="2:22" x14ac:dyDescent="0.25">
      <c r="B47" s="1" t="s">
        <v>46</v>
      </c>
      <c r="D47" s="43"/>
      <c r="E47" s="46"/>
      <c r="F47" s="47"/>
      <c r="G47" s="48"/>
      <c r="H47" s="44"/>
      <c r="I47" s="46"/>
      <c r="J47" s="47"/>
      <c r="K47" s="48"/>
      <c r="O47" s="583" t="s">
        <v>47</v>
      </c>
      <c r="P47" s="583"/>
      <c r="Q47" s="583"/>
      <c r="R47" s="43">
        <v>200</v>
      </c>
      <c r="S47" s="86">
        <v>250</v>
      </c>
      <c r="T47" s="45">
        <f t="shared" si="6"/>
        <v>50</v>
      </c>
      <c r="U47" s="25">
        <f t="shared" si="7"/>
        <v>0.25</v>
      </c>
      <c r="V47" s="25">
        <f t="shared" si="12"/>
        <v>0.25</v>
      </c>
    </row>
    <row r="48" spans="2:22" x14ac:dyDescent="0.25">
      <c r="B48" s="1" t="s">
        <v>47</v>
      </c>
      <c r="D48" s="43">
        <v>200</v>
      </c>
      <c r="E48" s="46">
        <f>D48/$D$62</f>
        <v>0.26143790849673204</v>
      </c>
      <c r="F48" s="47"/>
      <c r="G48" s="48">
        <f>D48/$D$51</f>
        <v>0.4</v>
      </c>
      <c r="H48" s="44">
        <v>250</v>
      </c>
      <c r="I48" s="46">
        <f>H48/$H$62</f>
        <v>0.29761904761904762</v>
      </c>
      <c r="J48" s="47"/>
      <c r="K48" s="48">
        <f>H48/$H$51</f>
        <v>0.47169811320754718</v>
      </c>
      <c r="O48" s="583" t="s">
        <v>48</v>
      </c>
      <c r="P48" s="583"/>
      <c r="Q48" s="583"/>
      <c r="R48" s="43">
        <v>250</v>
      </c>
      <c r="S48" s="86">
        <v>230</v>
      </c>
      <c r="T48" s="45">
        <f t="shared" si="6"/>
        <v>-20</v>
      </c>
      <c r="U48" s="25">
        <f t="shared" si="7"/>
        <v>-0.08</v>
      </c>
      <c r="V48" s="25">
        <f t="shared" si="12"/>
        <v>-0.08</v>
      </c>
    </row>
    <row r="49" spans="2:22" x14ac:dyDescent="0.25">
      <c r="B49" s="1" t="s">
        <v>48</v>
      </c>
      <c r="D49" s="43">
        <v>250</v>
      </c>
      <c r="E49" s="46">
        <f t="shared" ref="E49:E50" si="13">D49/$D$62</f>
        <v>0.32679738562091504</v>
      </c>
      <c r="F49" s="47"/>
      <c r="G49" s="48">
        <f t="shared" ref="G49:G50" si="14">D49/$D$51</f>
        <v>0.5</v>
      </c>
      <c r="H49" s="44">
        <v>230</v>
      </c>
      <c r="I49" s="46">
        <f t="shared" ref="I49:I59" si="15">H49/$H$62</f>
        <v>0.27380952380952384</v>
      </c>
      <c r="J49" s="47"/>
      <c r="K49" s="48">
        <f t="shared" ref="K49:K50" si="16">H49/$H$51</f>
        <v>0.43396226415094341</v>
      </c>
      <c r="O49" s="583" t="s">
        <v>49</v>
      </c>
      <c r="P49" s="583"/>
      <c r="Q49" s="583"/>
      <c r="R49" s="52">
        <v>50</v>
      </c>
      <c r="S49" s="239">
        <v>50</v>
      </c>
      <c r="T49" s="45">
        <f t="shared" si="6"/>
        <v>0</v>
      </c>
      <c r="U49" s="25">
        <f t="shared" si="7"/>
        <v>0</v>
      </c>
      <c r="V49" s="25">
        <f t="shared" si="12"/>
        <v>0</v>
      </c>
    </row>
    <row r="50" spans="2:22" x14ac:dyDescent="0.25">
      <c r="B50" s="1" t="s">
        <v>49</v>
      </c>
      <c r="D50" s="52">
        <v>50</v>
      </c>
      <c r="E50" s="46">
        <f t="shared" si="13"/>
        <v>6.535947712418301E-2</v>
      </c>
      <c r="F50" s="87"/>
      <c r="G50" s="48">
        <f t="shared" si="14"/>
        <v>0.1</v>
      </c>
      <c r="H50" s="53">
        <v>50</v>
      </c>
      <c r="I50" s="46">
        <f t="shared" si="15"/>
        <v>5.9523809523809521E-2</v>
      </c>
      <c r="J50" s="87"/>
      <c r="K50" s="48">
        <f t="shared" si="16"/>
        <v>9.4339622641509441E-2</v>
      </c>
      <c r="O50" s="578" t="s">
        <v>50</v>
      </c>
      <c r="P50" s="578"/>
      <c r="Q50" s="578"/>
      <c r="R50" s="88">
        <f>SUM(R47:R49)</f>
        <v>500</v>
      </c>
      <c r="S50" s="89">
        <f>SUM(S47:S49)</f>
        <v>530</v>
      </c>
      <c r="T50" s="45">
        <f t="shared" si="6"/>
        <v>30</v>
      </c>
      <c r="U50" s="25">
        <f t="shared" si="7"/>
        <v>0.06</v>
      </c>
      <c r="V50" s="25">
        <f t="shared" si="12"/>
        <v>0.06</v>
      </c>
    </row>
    <row r="51" spans="2:22" x14ac:dyDescent="0.25">
      <c r="B51" s="5" t="s">
        <v>50</v>
      </c>
      <c r="C51" s="5"/>
      <c r="D51" s="88">
        <f>SUM(D47:D50)</f>
        <v>500</v>
      </c>
      <c r="E51" s="73"/>
      <c r="F51" s="90">
        <f>SUM(E48:E50)</f>
        <v>0.65359477124183007</v>
      </c>
      <c r="G51" s="90">
        <f>SUM(G48:G50)</f>
        <v>1</v>
      </c>
      <c r="H51" s="91">
        <f>SUM(H48:H50)</f>
        <v>530</v>
      </c>
      <c r="I51" s="46"/>
      <c r="J51" s="90">
        <f>SUM(I48:I50)</f>
        <v>0.63095238095238093</v>
      </c>
      <c r="K51" s="92">
        <f>SUM(K48:K50)</f>
        <v>1</v>
      </c>
      <c r="O51" s="583" t="s">
        <v>51</v>
      </c>
      <c r="P51" s="583"/>
      <c r="Q51" s="583"/>
      <c r="R51" s="93"/>
      <c r="S51" s="94"/>
      <c r="T51" s="45"/>
      <c r="U51" s="25"/>
      <c r="V51" s="25"/>
    </row>
    <row r="52" spans="2:22" x14ac:dyDescent="0.25">
      <c r="B52" s="1" t="s">
        <v>51</v>
      </c>
      <c r="D52" s="93"/>
      <c r="E52" s="64"/>
      <c r="F52" s="95"/>
      <c r="G52" s="95"/>
      <c r="H52" s="96"/>
      <c r="I52" s="46"/>
      <c r="J52" s="95"/>
      <c r="K52" s="97"/>
      <c r="O52" s="580" t="s">
        <v>52</v>
      </c>
      <c r="P52" s="580"/>
      <c r="Q52" s="580"/>
      <c r="R52" s="98">
        <v>45</v>
      </c>
      <c r="S52" s="99">
        <v>40</v>
      </c>
      <c r="T52" s="45">
        <f t="shared" si="6"/>
        <v>-5</v>
      </c>
      <c r="U52" s="25">
        <f t="shared" si="7"/>
        <v>-0.1111111111111111</v>
      </c>
      <c r="V52" s="25">
        <f t="shared" si="12"/>
        <v>-0.1111111111111111</v>
      </c>
    </row>
    <row r="53" spans="2:22" x14ac:dyDescent="0.25">
      <c r="B53" s="100" t="s">
        <v>52</v>
      </c>
      <c r="D53" s="98">
        <v>45</v>
      </c>
      <c r="E53" s="101">
        <f>D53/D62</f>
        <v>5.8823529411764705E-2</v>
      </c>
      <c r="F53" s="751">
        <f>E53</f>
        <v>5.8823529411764705E-2</v>
      </c>
      <c r="G53" s="101"/>
      <c r="H53" s="103">
        <v>40</v>
      </c>
      <c r="I53" s="46">
        <f t="shared" si="15"/>
        <v>4.7619047619047616E-2</v>
      </c>
      <c r="J53" s="102"/>
      <c r="K53" s="104"/>
      <c r="O53" s="591" t="s">
        <v>53</v>
      </c>
      <c r="P53" s="591"/>
      <c r="Q53" s="591"/>
      <c r="R53" s="105">
        <f>+R50+R52</f>
        <v>545</v>
      </c>
      <c r="S53" s="106">
        <f>+S50+S52</f>
        <v>570</v>
      </c>
      <c r="T53" s="45">
        <f t="shared" si="6"/>
        <v>25</v>
      </c>
      <c r="U53" s="25">
        <f t="shared" si="7"/>
        <v>4.5871559633027525E-2</v>
      </c>
      <c r="V53" s="25">
        <f t="shared" si="12"/>
        <v>4.5871559633027525E-2</v>
      </c>
    </row>
    <row r="54" spans="2:22" x14ac:dyDescent="0.25">
      <c r="B54" s="107" t="s">
        <v>53</v>
      </c>
      <c r="C54" s="108"/>
      <c r="D54" s="105">
        <f>+D51+D53</f>
        <v>545</v>
      </c>
      <c r="E54" s="109"/>
      <c r="F54" s="110">
        <f>F51+E53</f>
        <v>0.71241830065359479</v>
      </c>
      <c r="G54" s="109"/>
      <c r="H54" s="111">
        <f>SUM(H51:H53)</f>
        <v>570</v>
      </c>
      <c r="I54" s="46"/>
      <c r="J54" s="110">
        <f>J51+I53</f>
        <v>0.6785714285714286</v>
      </c>
      <c r="K54" s="112"/>
      <c r="O54" s="113"/>
      <c r="R54" s="114"/>
      <c r="S54" s="115"/>
      <c r="T54" s="45"/>
      <c r="U54" s="25"/>
      <c r="V54" s="25"/>
    </row>
    <row r="55" spans="2:22" ht="15.6" x14ac:dyDescent="0.25">
      <c r="B55" s="113"/>
      <c r="D55" s="116"/>
      <c r="H55" s="116"/>
      <c r="I55" s="46"/>
      <c r="K55" s="118"/>
      <c r="O55" s="592" t="s">
        <v>54</v>
      </c>
      <c r="P55" s="592"/>
      <c r="Q55" s="592"/>
      <c r="R55" s="119"/>
      <c r="S55" s="120"/>
      <c r="T55" s="45"/>
      <c r="U55" s="25"/>
      <c r="V55" s="25"/>
    </row>
    <row r="56" spans="2:22" ht="15.6" x14ac:dyDescent="0.25">
      <c r="B56" s="121" t="s">
        <v>54</v>
      </c>
      <c r="D56" s="119"/>
      <c r="E56" s="85"/>
      <c r="F56" s="85"/>
      <c r="G56" s="85"/>
      <c r="H56" s="122"/>
      <c r="I56" s="46"/>
      <c r="J56" s="85"/>
      <c r="K56" s="120"/>
      <c r="O56" s="593" t="s">
        <v>55</v>
      </c>
      <c r="P56" s="593"/>
      <c r="Q56" s="593"/>
      <c r="R56" s="114">
        <v>30</v>
      </c>
      <c r="S56" s="115">
        <v>30</v>
      </c>
      <c r="T56" s="45">
        <f t="shared" si="6"/>
        <v>0</v>
      </c>
      <c r="U56" s="25">
        <f t="shared" si="7"/>
        <v>0</v>
      </c>
      <c r="V56" s="25">
        <f t="shared" si="12"/>
        <v>0</v>
      </c>
    </row>
    <row r="57" spans="2:22" ht="35.25" customHeight="1" x14ac:dyDescent="0.25">
      <c r="B57" s="100" t="s">
        <v>55</v>
      </c>
      <c r="D57" s="114">
        <v>30</v>
      </c>
      <c r="E57" s="117">
        <f>D57/$D$62</f>
        <v>3.9215686274509803E-2</v>
      </c>
      <c r="G57" s="117">
        <f>D57/$D$60</f>
        <v>0.13636363636363635</v>
      </c>
      <c r="H57" s="116">
        <v>30</v>
      </c>
      <c r="I57" s="46">
        <f t="shared" si="15"/>
        <v>3.5714285714285712E-2</v>
      </c>
      <c r="K57" s="123">
        <f>H57/$H$60</f>
        <v>0.1111111111111111</v>
      </c>
      <c r="O57" s="594" t="s">
        <v>56</v>
      </c>
      <c r="P57" s="594"/>
      <c r="Q57" s="594"/>
      <c r="R57" s="114">
        <v>40</v>
      </c>
      <c r="S57" s="115">
        <v>40</v>
      </c>
      <c r="T57" s="45">
        <f>S57-R57</f>
        <v>0</v>
      </c>
      <c r="U57" s="25">
        <f t="shared" si="7"/>
        <v>0</v>
      </c>
      <c r="V57" s="25">
        <f t="shared" si="12"/>
        <v>0</v>
      </c>
    </row>
    <row r="58" spans="2:22" x14ac:dyDescent="0.25">
      <c r="B58" s="100" t="s">
        <v>56</v>
      </c>
      <c r="D58" s="114">
        <v>40</v>
      </c>
      <c r="E58" s="117">
        <f t="shared" ref="E58:E59" si="17">D58/$D$62</f>
        <v>5.2287581699346407E-2</v>
      </c>
      <c r="G58" s="117">
        <f t="shared" ref="G58:G59" si="18">D58/$D$60</f>
        <v>0.18181818181818182</v>
      </c>
      <c r="H58" s="116">
        <v>40</v>
      </c>
      <c r="I58" s="46">
        <f t="shared" si="15"/>
        <v>4.7619047619047616E-2</v>
      </c>
      <c r="K58" s="123">
        <f t="shared" ref="K58:K59" si="19">H58/$H$60</f>
        <v>0.14814814814814814</v>
      </c>
      <c r="O58" s="580" t="s">
        <v>57</v>
      </c>
      <c r="P58" s="580"/>
      <c r="Q58" s="580"/>
      <c r="R58" s="98">
        <v>150</v>
      </c>
      <c r="S58" s="99">
        <v>200</v>
      </c>
      <c r="T58" s="45">
        <f t="shared" si="6"/>
        <v>50</v>
      </c>
      <c r="U58" s="25">
        <f t="shared" si="7"/>
        <v>0.33333333333333331</v>
      </c>
      <c r="V58" s="25">
        <f t="shared" si="12"/>
        <v>0.33333333333333331</v>
      </c>
    </row>
    <row r="59" spans="2:22" x14ac:dyDescent="0.25">
      <c r="B59" s="100" t="s">
        <v>57</v>
      </c>
      <c r="D59" s="98">
        <v>150</v>
      </c>
      <c r="E59" s="117">
        <f t="shared" si="17"/>
        <v>0.19607843137254902</v>
      </c>
      <c r="F59" s="117"/>
      <c r="G59" s="117">
        <f t="shared" si="18"/>
        <v>0.68181818181818177</v>
      </c>
      <c r="H59" s="103">
        <v>200</v>
      </c>
      <c r="I59" s="46">
        <f t="shared" si="15"/>
        <v>0.23809523809523808</v>
      </c>
      <c r="J59" s="117"/>
      <c r="K59" s="123">
        <f t="shared" si="19"/>
        <v>0.7407407407407407</v>
      </c>
      <c r="O59" s="595" t="s">
        <v>58</v>
      </c>
      <c r="P59" s="595"/>
      <c r="Q59" s="595"/>
      <c r="R59" s="125">
        <f>SUM(R56:R58)</f>
        <v>220</v>
      </c>
      <c r="S59" s="243">
        <f>SUM(S56:S58)</f>
        <v>270</v>
      </c>
      <c r="T59" s="45">
        <f t="shared" si="6"/>
        <v>50</v>
      </c>
      <c r="U59" s="25">
        <f t="shared" si="7"/>
        <v>0.22727272727272727</v>
      </c>
      <c r="V59" s="25">
        <f t="shared" si="12"/>
        <v>0.22727272727272727</v>
      </c>
    </row>
    <row r="60" spans="2:22" x14ac:dyDescent="0.25">
      <c r="B60" s="124" t="s">
        <v>58</v>
      </c>
      <c r="C60" s="126"/>
      <c r="D60" s="125">
        <f>SUM(D57:D59)</f>
        <v>220</v>
      </c>
      <c r="E60" s="127"/>
      <c r="F60" s="127">
        <f>SUM(E57:E59)</f>
        <v>0.28758169934640521</v>
      </c>
      <c r="G60" s="128">
        <f>SUM(G57:G59)</f>
        <v>1</v>
      </c>
      <c r="H60" s="125">
        <f>SUM(H57:H59)</f>
        <v>270</v>
      </c>
      <c r="I60" s="127"/>
      <c r="J60" s="127">
        <f>SUM(I57:I59)</f>
        <v>0.3214285714285714</v>
      </c>
      <c r="K60" s="128">
        <f>SUM(K57:K59)</f>
        <v>1</v>
      </c>
      <c r="O60" s="596"/>
      <c r="P60" s="596"/>
      <c r="Q60" s="596"/>
      <c r="R60" s="129"/>
      <c r="S60" s="130"/>
      <c r="T60" s="45"/>
      <c r="U60" s="25"/>
      <c r="V60" s="25"/>
    </row>
    <row r="61" spans="2:22" x14ac:dyDescent="0.25">
      <c r="B61" s="113"/>
      <c r="C61" s="5"/>
      <c r="D61" s="131"/>
      <c r="E61" s="132"/>
      <c r="F61" s="132"/>
      <c r="G61" s="132"/>
      <c r="H61" s="131"/>
      <c r="I61" s="132"/>
      <c r="J61" s="132"/>
      <c r="K61" s="132"/>
      <c r="O61" s="590" t="s">
        <v>59</v>
      </c>
      <c r="P61" s="590"/>
      <c r="Q61" s="590"/>
      <c r="R61" s="133">
        <f>+R53+R59</f>
        <v>765</v>
      </c>
      <c r="S61" s="134">
        <f>+S53+S59</f>
        <v>840</v>
      </c>
      <c r="T61" s="45">
        <f t="shared" si="6"/>
        <v>75</v>
      </c>
      <c r="U61" s="25">
        <f t="shared" si="7"/>
        <v>9.8039215686274508E-2</v>
      </c>
      <c r="V61" s="25">
        <f t="shared" si="12"/>
        <v>9.8039215686274508E-2</v>
      </c>
    </row>
    <row r="62" spans="2:22" ht="14.4" thickBot="1" x14ac:dyDescent="0.3">
      <c r="B62" s="135" t="s">
        <v>59</v>
      </c>
      <c r="C62" s="37"/>
      <c r="D62" s="136">
        <f>+D54+D60</f>
        <v>765</v>
      </c>
      <c r="E62" s="137">
        <f>F54+F60</f>
        <v>1</v>
      </c>
      <c r="F62" s="138">
        <f>F54+F60</f>
        <v>1</v>
      </c>
      <c r="G62" s="139"/>
      <c r="H62" s="136">
        <f>+H54+H60</f>
        <v>840</v>
      </c>
      <c r="I62" s="137">
        <f>J54+J60</f>
        <v>1</v>
      </c>
      <c r="J62" s="138">
        <f>J54+J60</f>
        <v>1</v>
      </c>
      <c r="K62" s="139"/>
    </row>
    <row r="63" spans="2:22" ht="14.4" thickTop="1" x14ac:dyDescent="0.25"/>
    <row r="66" spans="2:18" ht="13.8" customHeight="1" x14ac:dyDescent="0.25">
      <c r="B66" s="560" t="s">
        <v>151</v>
      </c>
      <c r="C66" s="560"/>
      <c r="D66" s="560"/>
      <c r="E66" s="560"/>
      <c r="F66" s="560"/>
      <c r="G66" s="560"/>
      <c r="M66" s="560" t="s">
        <v>152</v>
      </c>
      <c r="N66" s="560"/>
      <c r="O66" s="560"/>
      <c r="P66" s="560"/>
      <c r="Q66" s="560"/>
      <c r="R66" s="560"/>
    </row>
    <row r="67" spans="2:18" x14ac:dyDescent="0.25">
      <c r="B67" s="560"/>
      <c r="C67" s="560"/>
      <c r="D67" s="560"/>
      <c r="E67" s="560"/>
      <c r="F67" s="560"/>
      <c r="G67" s="560"/>
      <c r="M67" s="560"/>
      <c r="N67" s="560"/>
      <c r="O67" s="560"/>
      <c r="P67" s="560"/>
      <c r="Q67" s="560"/>
      <c r="R67" s="560"/>
    </row>
    <row r="68" spans="2:18" x14ac:dyDescent="0.25">
      <c r="B68" s="237"/>
      <c r="C68" s="237"/>
      <c r="D68" s="237"/>
      <c r="E68" s="237"/>
      <c r="F68" s="237"/>
      <c r="G68" s="237"/>
      <c r="M68" s="560"/>
      <c r="N68" s="560"/>
      <c r="O68" s="560"/>
      <c r="P68" s="560"/>
      <c r="Q68" s="560"/>
      <c r="R68" s="560"/>
    </row>
    <row r="69" spans="2:18" x14ac:dyDescent="0.25">
      <c r="B69" s="237"/>
      <c r="C69" s="237"/>
      <c r="D69" s="237"/>
      <c r="E69" s="237"/>
      <c r="F69" s="237"/>
      <c r="G69" s="237"/>
      <c r="M69" s="237"/>
      <c r="N69" s="237"/>
      <c r="O69" s="237"/>
      <c r="P69" s="237"/>
      <c r="Q69" s="237"/>
      <c r="R69" s="237"/>
    </row>
    <row r="70" spans="2:18" x14ac:dyDescent="0.25">
      <c r="B70" s="236"/>
      <c r="C70" s="236"/>
      <c r="D70" s="236"/>
      <c r="E70" s="236"/>
      <c r="F70" s="236"/>
      <c r="G70" s="236"/>
      <c r="M70" s="236"/>
      <c r="N70" s="236"/>
      <c r="O70" s="236"/>
      <c r="P70" s="236"/>
      <c r="Q70" s="236"/>
      <c r="R70" s="236"/>
    </row>
    <row r="71" spans="2:18" ht="17.399999999999999" x14ac:dyDescent="0.3">
      <c r="B71" s="561" t="s">
        <v>153</v>
      </c>
      <c r="C71" s="561"/>
      <c r="D71" s="561"/>
      <c r="E71" s="561"/>
      <c r="F71" s="561"/>
      <c r="G71" s="561"/>
      <c r="M71" s="561" t="s">
        <v>154</v>
      </c>
      <c r="N71" s="561"/>
      <c r="O71" s="561"/>
      <c r="P71" s="561"/>
      <c r="Q71" s="561"/>
      <c r="R71" s="561"/>
    </row>
    <row r="72" spans="2:18" ht="13.8" customHeight="1" x14ac:dyDescent="0.25">
      <c r="B72" s="562"/>
      <c r="C72" s="563"/>
      <c r="D72" s="563"/>
      <c r="E72" s="563"/>
      <c r="F72" s="563"/>
      <c r="G72" s="564"/>
      <c r="M72" s="562"/>
      <c r="N72" s="563"/>
      <c r="O72" s="563"/>
      <c r="P72" s="563"/>
      <c r="Q72" s="563"/>
      <c r="R72" s="564"/>
    </row>
    <row r="73" spans="2:18" x14ac:dyDescent="0.25">
      <c r="B73" s="565"/>
      <c r="C73" s="566"/>
      <c r="D73" s="566"/>
      <c r="E73" s="566"/>
      <c r="F73" s="566"/>
      <c r="G73" s="567"/>
      <c r="M73" s="565"/>
      <c r="N73" s="566"/>
      <c r="O73" s="566"/>
      <c r="P73" s="566"/>
      <c r="Q73" s="566"/>
      <c r="R73" s="567"/>
    </row>
    <row r="74" spans="2:18" ht="13.8" customHeight="1" x14ac:dyDescent="0.25">
      <c r="B74" s="562"/>
      <c r="C74" s="563"/>
      <c r="D74" s="563"/>
      <c r="E74" s="563"/>
      <c r="F74" s="563"/>
      <c r="G74" s="564"/>
      <c r="M74" s="562"/>
      <c r="N74" s="563"/>
      <c r="O74" s="563"/>
      <c r="P74" s="563"/>
      <c r="Q74" s="563"/>
      <c r="R74" s="564"/>
    </row>
    <row r="75" spans="2:18" x14ac:dyDescent="0.25">
      <c r="B75" s="565"/>
      <c r="C75" s="566"/>
      <c r="D75" s="566"/>
      <c r="E75" s="566"/>
      <c r="F75" s="566"/>
      <c r="G75" s="567"/>
      <c r="M75" s="565"/>
      <c r="N75" s="566"/>
      <c r="O75" s="566"/>
      <c r="P75" s="566"/>
      <c r="Q75" s="566"/>
      <c r="R75" s="567"/>
    </row>
    <row r="76" spans="2:18" ht="13.8" customHeight="1" x14ac:dyDescent="0.25">
      <c r="B76" s="559"/>
      <c r="C76" s="559"/>
      <c r="D76" s="559"/>
      <c r="E76" s="559"/>
      <c r="F76" s="559"/>
      <c r="G76" s="559"/>
      <c r="M76" s="559"/>
      <c r="N76" s="559"/>
      <c r="O76" s="559"/>
      <c r="P76" s="559"/>
      <c r="Q76" s="559"/>
      <c r="R76" s="559"/>
    </row>
    <row r="77" spans="2:18" x14ac:dyDescent="0.25">
      <c r="B77" s="559"/>
      <c r="C77" s="559"/>
      <c r="D77" s="559"/>
      <c r="E77" s="559"/>
      <c r="F77" s="559"/>
      <c r="G77" s="559"/>
      <c r="M77" s="559"/>
      <c r="N77" s="559"/>
      <c r="O77" s="559"/>
      <c r="P77" s="559"/>
      <c r="Q77" s="559"/>
      <c r="R77" s="559"/>
    </row>
    <row r="78" spans="2:18" x14ac:dyDescent="0.25">
      <c r="B78" s="236"/>
      <c r="C78" s="236"/>
      <c r="D78" s="236"/>
      <c r="E78" s="236"/>
      <c r="F78" s="236"/>
      <c r="G78" s="236"/>
      <c r="M78" s="236"/>
      <c r="N78" s="236"/>
      <c r="O78" s="236"/>
      <c r="P78" s="236"/>
      <c r="Q78" s="236"/>
      <c r="R78" s="236"/>
    </row>
    <row r="79" spans="2:18" x14ac:dyDescent="0.25">
      <c r="B79" s="236"/>
      <c r="C79" s="236"/>
      <c r="D79" s="236"/>
      <c r="E79" s="236"/>
      <c r="F79" s="236"/>
      <c r="G79" s="236"/>
      <c r="M79" s="236"/>
      <c r="N79" s="236"/>
      <c r="O79" s="236"/>
      <c r="P79" s="236"/>
      <c r="Q79" s="236"/>
      <c r="R79" s="236"/>
    </row>
    <row r="80" spans="2:18" x14ac:dyDescent="0.25">
      <c r="B80" s="236"/>
      <c r="C80" s="236"/>
      <c r="D80" s="236"/>
      <c r="E80" s="236"/>
      <c r="F80" s="236"/>
      <c r="G80" s="236"/>
      <c r="M80" s="236"/>
      <c r="N80" s="236"/>
      <c r="O80" s="236"/>
      <c r="P80" s="236"/>
      <c r="Q80" s="236"/>
      <c r="R80" s="236"/>
    </row>
    <row r="81" spans="2:18" ht="17.399999999999999" x14ac:dyDescent="0.3">
      <c r="B81" s="561" t="s">
        <v>155</v>
      </c>
      <c r="C81" s="561"/>
      <c r="D81" s="561"/>
      <c r="E81" s="561"/>
      <c r="F81" s="561"/>
      <c r="G81" s="561"/>
      <c r="M81" s="561" t="s">
        <v>156</v>
      </c>
      <c r="N81" s="561"/>
      <c r="O81" s="561"/>
      <c r="P81" s="561"/>
      <c r="Q81" s="561"/>
      <c r="R81" s="561"/>
    </row>
    <row r="82" spans="2:18" ht="13.8" customHeight="1" x14ac:dyDescent="0.25">
      <c r="B82" s="562"/>
      <c r="C82" s="563"/>
      <c r="D82" s="563"/>
      <c r="E82" s="563"/>
      <c r="F82" s="563"/>
      <c r="G82" s="564"/>
      <c r="M82" s="559"/>
      <c r="N82" s="559"/>
      <c r="O82" s="559"/>
      <c r="P82" s="559"/>
      <c r="Q82" s="559"/>
      <c r="R82" s="559"/>
    </row>
    <row r="83" spans="2:18" ht="13.8" customHeight="1" x14ac:dyDescent="0.25">
      <c r="B83" s="565"/>
      <c r="C83" s="566"/>
      <c r="D83" s="566"/>
      <c r="E83" s="566"/>
      <c r="F83" s="566"/>
      <c r="G83" s="567"/>
      <c r="M83" s="559"/>
      <c r="N83" s="559"/>
      <c r="O83" s="559"/>
      <c r="P83" s="559"/>
      <c r="Q83" s="559"/>
      <c r="R83" s="559"/>
    </row>
    <row r="84" spans="2:18" ht="13.8" customHeight="1" x14ac:dyDescent="0.25">
      <c r="B84" s="559"/>
      <c r="C84" s="559"/>
      <c r="D84" s="559"/>
      <c r="E84" s="559"/>
      <c r="F84" s="559"/>
      <c r="G84" s="559"/>
      <c r="M84" s="559"/>
      <c r="N84" s="559"/>
      <c r="O84" s="559"/>
      <c r="P84" s="559"/>
      <c r="Q84" s="559"/>
      <c r="R84" s="559"/>
    </row>
    <row r="85" spans="2:18" x14ac:dyDescent="0.25">
      <c r="B85" s="559"/>
      <c r="C85" s="559"/>
      <c r="D85" s="559"/>
      <c r="E85" s="559"/>
      <c r="F85" s="559"/>
      <c r="G85" s="559"/>
      <c r="M85" s="559"/>
      <c r="N85" s="559"/>
      <c r="O85" s="559"/>
      <c r="P85" s="559"/>
      <c r="Q85" s="559"/>
      <c r="R85" s="559"/>
    </row>
    <row r="86" spans="2:18" x14ac:dyDescent="0.25">
      <c r="B86" s="559"/>
      <c r="C86" s="559"/>
      <c r="D86" s="559"/>
      <c r="E86" s="559"/>
      <c r="F86" s="559"/>
      <c r="G86" s="559"/>
      <c r="M86" s="559"/>
      <c r="N86" s="559"/>
      <c r="O86" s="559"/>
      <c r="P86" s="559"/>
      <c r="Q86" s="559"/>
      <c r="R86" s="559"/>
    </row>
    <row r="87" spans="2:18" x14ac:dyDescent="0.25">
      <c r="B87" s="559"/>
      <c r="C87" s="559"/>
      <c r="D87" s="559"/>
      <c r="E87" s="559"/>
      <c r="F87" s="559"/>
      <c r="G87" s="559"/>
      <c r="M87" s="559"/>
      <c r="N87" s="559"/>
      <c r="O87" s="559"/>
      <c r="P87" s="559"/>
      <c r="Q87" s="559"/>
      <c r="R87" s="559"/>
    </row>
  </sheetData>
  <mergeCells count="87">
    <mergeCell ref="O61:Q61"/>
    <mergeCell ref="O49:Q49"/>
    <mergeCell ref="O50:Q50"/>
    <mergeCell ref="O51:Q51"/>
    <mergeCell ref="O52:Q52"/>
    <mergeCell ref="O53:Q53"/>
    <mergeCell ref="O55:Q55"/>
    <mergeCell ref="O56:Q56"/>
    <mergeCell ref="O57:Q57"/>
    <mergeCell ref="O58:Q58"/>
    <mergeCell ref="O59:Q59"/>
    <mergeCell ref="O60:Q60"/>
    <mergeCell ref="O48:Q48"/>
    <mergeCell ref="O36:Q36"/>
    <mergeCell ref="O37:Q37"/>
    <mergeCell ref="O38:Q38"/>
    <mergeCell ref="O39:Q39"/>
    <mergeCell ref="O40:Q40"/>
    <mergeCell ref="O41:Q41"/>
    <mergeCell ref="O42:Q42"/>
    <mergeCell ref="O44:Q44"/>
    <mergeCell ref="O45:Q45"/>
    <mergeCell ref="O46:Q46"/>
    <mergeCell ref="O47:Q47"/>
    <mergeCell ref="J23:M23"/>
    <mergeCell ref="O35:Q35"/>
    <mergeCell ref="O26:V26"/>
    <mergeCell ref="D27:K27"/>
    <mergeCell ref="O27:V27"/>
    <mergeCell ref="D28:K28"/>
    <mergeCell ref="O28:V28"/>
    <mergeCell ref="D29:K29"/>
    <mergeCell ref="O29:V29"/>
    <mergeCell ref="D26:K26"/>
    <mergeCell ref="M26:N27"/>
    <mergeCell ref="D31:G31"/>
    <mergeCell ref="H31:K31"/>
    <mergeCell ref="O32:Q32"/>
    <mergeCell ref="O33:Q33"/>
    <mergeCell ref="O34:Q34"/>
    <mergeCell ref="J17:M17"/>
    <mergeCell ref="J19:M19"/>
    <mergeCell ref="J20:M20"/>
    <mergeCell ref="J21:M21"/>
    <mergeCell ref="J22:M22"/>
    <mergeCell ref="J12:M12"/>
    <mergeCell ref="J13:M13"/>
    <mergeCell ref="J14:M14"/>
    <mergeCell ref="J15:M15"/>
    <mergeCell ref="J16:M16"/>
    <mergeCell ref="B71:G71"/>
    <mergeCell ref="M71:R71"/>
    <mergeCell ref="B72:G73"/>
    <mergeCell ref="M72:R73"/>
    <mergeCell ref="B2:Q2"/>
    <mergeCell ref="B4:P4"/>
    <mergeCell ref="B7:H7"/>
    <mergeCell ref="J7:P7"/>
    <mergeCell ref="B8:H8"/>
    <mergeCell ref="J8:P8"/>
    <mergeCell ref="J18:M18"/>
    <mergeCell ref="B9:H9"/>
    <mergeCell ref="J9:P9"/>
    <mergeCell ref="C11:D11"/>
    <mergeCell ref="E11:F11"/>
    <mergeCell ref="J11:M11"/>
    <mergeCell ref="M74:R75"/>
    <mergeCell ref="B76:G76"/>
    <mergeCell ref="M76:R76"/>
    <mergeCell ref="B77:G77"/>
    <mergeCell ref="M77:R77"/>
    <mergeCell ref="B87:G87"/>
    <mergeCell ref="M87:R87"/>
    <mergeCell ref="B66:G67"/>
    <mergeCell ref="M66:R68"/>
    <mergeCell ref="B84:G84"/>
    <mergeCell ref="M84:R84"/>
    <mergeCell ref="B85:G85"/>
    <mergeCell ref="M85:R85"/>
    <mergeCell ref="B86:G86"/>
    <mergeCell ref="M86:R86"/>
    <mergeCell ref="B81:G81"/>
    <mergeCell ref="M81:R81"/>
    <mergeCell ref="B82:G83"/>
    <mergeCell ref="M82:R82"/>
    <mergeCell ref="M83:R83"/>
    <mergeCell ref="B74:G7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4AD1B-671F-43C9-8961-25279A6D7BF1}">
  <dimension ref="B2:P87"/>
  <sheetViews>
    <sheetView topLeftCell="A36" workbookViewId="0">
      <selection activeCell="P86" sqref="P86"/>
    </sheetView>
  </sheetViews>
  <sheetFormatPr baseColWidth="10" defaultColWidth="11.44140625" defaultRowHeight="13.8" x14ac:dyDescent="0.25"/>
  <cols>
    <col min="1" max="1" width="11.44140625" style="1"/>
    <col min="2" max="2" width="7.5546875" style="1" customWidth="1"/>
    <col min="3" max="3" width="36.109375" style="1" bestFit="1" customWidth="1"/>
    <col min="4" max="4" width="9.88671875" style="1" customWidth="1"/>
    <col min="5" max="5" width="12.33203125" style="1" customWidth="1"/>
    <col min="6" max="6" width="12" style="1" customWidth="1"/>
    <col min="7" max="7" width="12.6640625" style="1" customWidth="1"/>
    <col min="8" max="11" width="11.44140625" style="1"/>
    <col min="12" max="12" width="13.33203125" style="1" customWidth="1"/>
    <col min="13" max="14" width="12.6640625" style="1" customWidth="1"/>
    <col min="15" max="16384" width="11.44140625" style="1"/>
  </cols>
  <sheetData>
    <row r="2" spans="2:15" ht="17.399999999999999" customHeight="1" x14ac:dyDescent="0.35">
      <c r="C2" s="598" t="s">
        <v>150</v>
      </c>
      <c r="D2" s="598"/>
      <c r="E2" s="598"/>
      <c r="F2" s="598"/>
      <c r="G2" s="598"/>
      <c r="H2" s="598"/>
      <c r="I2" s="598"/>
      <c r="J2" s="598"/>
      <c r="K2" s="598"/>
      <c r="L2" s="598"/>
      <c r="M2" s="598"/>
      <c r="N2" s="598"/>
      <c r="O2" s="598"/>
    </row>
    <row r="3" spans="2:15" ht="17.399999999999999" customHeight="1" x14ac:dyDescent="0.3">
      <c r="C3" s="140"/>
      <c r="D3" s="140"/>
      <c r="E3" s="140"/>
      <c r="F3" s="140"/>
      <c r="G3" s="140"/>
      <c r="H3" s="140"/>
      <c r="I3" s="140"/>
      <c r="J3" s="140"/>
      <c r="K3" s="140"/>
      <c r="L3" s="140"/>
      <c r="M3" s="140"/>
    </row>
    <row r="4" spans="2:15" ht="14.25" customHeight="1" x14ac:dyDescent="0.25">
      <c r="B4" s="599"/>
      <c r="C4" s="600" t="s">
        <v>60</v>
      </c>
      <c r="D4" s="600"/>
      <c r="E4" s="600"/>
      <c r="F4" s="600"/>
      <c r="G4" s="600"/>
      <c r="H4" s="600"/>
      <c r="I4" s="600"/>
      <c r="J4" s="600"/>
      <c r="K4" s="600"/>
      <c r="L4" s="600"/>
      <c r="M4" s="600"/>
      <c r="N4" s="600"/>
    </row>
    <row r="5" spans="2:15" x14ac:dyDescent="0.25">
      <c r="B5" s="599"/>
      <c r="C5" s="600"/>
      <c r="D5" s="600"/>
      <c r="E5" s="600"/>
      <c r="F5" s="600"/>
      <c r="G5" s="600"/>
      <c r="H5" s="600"/>
      <c r="I5" s="600"/>
      <c r="J5" s="600"/>
      <c r="K5" s="600"/>
      <c r="L5" s="600"/>
      <c r="M5" s="600"/>
      <c r="N5" s="600"/>
    </row>
    <row r="6" spans="2:15" x14ac:dyDescent="0.25">
      <c r="B6" s="141"/>
      <c r="C6" s="600"/>
      <c r="D6" s="600"/>
      <c r="E6" s="600"/>
      <c r="F6" s="600"/>
      <c r="G6" s="600"/>
      <c r="H6" s="600"/>
      <c r="I6" s="600"/>
      <c r="J6" s="600"/>
      <c r="K6" s="600"/>
      <c r="L6" s="600"/>
      <c r="M6" s="600"/>
      <c r="N6" s="600"/>
    </row>
    <row r="7" spans="2:15" x14ac:dyDescent="0.25">
      <c r="C7" s="142"/>
      <c r="D7" s="142"/>
      <c r="E7" s="142"/>
      <c r="F7" s="142"/>
      <c r="G7" s="142"/>
      <c r="H7" s="142"/>
      <c r="I7" s="142"/>
      <c r="J7" s="142"/>
      <c r="K7" s="142"/>
      <c r="L7" s="142"/>
      <c r="M7" s="142"/>
    </row>
    <row r="8" spans="2:15" ht="14.25" customHeight="1" x14ac:dyDescent="0.25">
      <c r="B8" s="601" t="s">
        <v>61</v>
      </c>
      <c r="C8" s="602" t="s">
        <v>62</v>
      </c>
      <c r="D8" s="602"/>
      <c r="E8" s="602"/>
      <c r="F8" s="602"/>
      <c r="G8" s="602"/>
      <c r="H8" s="602"/>
      <c r="I8" s="602"/>
      <c r="J8" s="602"/>
      <c r="K8" s="602"/>
      <c r="L8" s="602"/>
      <c r="M8" s="602"/>
      <c r="N8" s="602"/>
    </row>
    <row r="9" spans="2:15" x14ac:dyDescent="0.25">
      <c r="B9" s="601"/>
      <c r="C9" s="602"/>
      <c r="D9" s="602"/>
      <c r="E9" s="602"/>
      <c r="F9" s="602"/>
      <c r="G9" s="602"/>
      <c r="H9" s="602"/>
      <c r="I9" s="602"/>
      <c r="J9" s="602"/>
      <c r="K9" s="602"/>
      <c r="L9" s="602"/>
      <c r="M9" s="602"/>
      <c r="N9" s="602"/>
    </row>
    <row r="10" spans="2:15" x14ac:dyDescent="0.25">
      <c r="B10" s="5"/>
      <c r="C10" s="145"/>
      <c r="D10" s="146"/>
      <c r="E10" s="146"/>
      <c r="F10" s="146"/>
      <c r="G10" s="146"/>
      <c r="H10" s="146"/>
      <c r="I10" s="146"/>
      <c r="J10" s="146"/>
      <c r="K10" s="146"/>
      <c r="L10" s="146"/>
      <c r="M10" s="146"/>
    </row>
    <row r="11" spans="2:15" ht="14.25" customHeight="1" x14ac:dyDescent="0.25">
      <c r="B11" s="601" t="s">
        <v>63</v>
      </c>
      <c r="C11" s="602" t="s">
        <v>64</v>
      </c>
      <c r="D11" s="602"/>
      <c r="E11" s="602"/>
      <c r="F11" s="602"/>
      <c r="G11" s="602"/>
      <c r="H11" s="602"/>
      <c r="I11" s="602"/>
      <c r="J11" s="602"/>
      <c r="K11" s="602"/>
      <c r="L11" s="602"/>
      <c r="M11" s="602"/>
      <c r="N11" s="602"/>
    </row>
    <row r="12" spans="2:15" x14ac:dyDescent="0.25">
      <c r="B12" s="601"/>
      <c r="C12" s="602"/>
      <c r="D12" s="602"/>
      <c r="E12" s="602"/>
      <c r="F12" s="602"/>
      <c r="G12" s="602"/>
      <c r="H12" s="602"/>
      <c r="I12" s="602"/>
      <c r="J12" s="602"/>
      <c r="K12" s="602"/>
      <c r="L12" s="602"/>
      <c r="M12" s="602"/>
      <c r="N12" s="602"/>
    </row>
    <row r="13" spans="2:15" x14ac:dyDescent="0.25">
      <c r="B13" s="143"/>
      <c r="C13" s="144"/>
      <c r="D13" s="144"/>
      <c r="E13" s="144"/>
      <c r="F13" s="144"/>
      <c r="G13" s="144"/>
      <c r="H13" s="144"/>
      <c r="I13" s="144"/>
      <c r="J13" s="144"/>
      <c r="K13" s="144"/>
      <c r="L13" s="144"/>
      <c r="M13" s="144"/>
    </row>
    <row r="14" spans="2:15" ht="14.25" customHeight="1" x14ac:dyDescent="0.25">
      <c r="B14" s="601" t="s">
        <v>65</v>
      </c>
      <c r="C14" s="602" t="s">
        <v>66</v>
      </c>
      <c r="D14" s="602"/>
      <c r="E14" s="602"/>
      <c r="F14" s="602"/>
      <c r="G14" s="602"/>
      <c r="H14" s="602"/>
      <c r="I14" s="602"/>
      <c r="J14" s="602"/>
      <c r="K14" s="602"/>
      <c r="L14" s="602"/>
      <c r="M14" s="602"/>
      <c r="N14" s="602"/>
    </row>
    <row r="15" spans="2:15" x14ac:dyDescent="0.25">
      <c r="B15" s="601"/>
      <c r="C15" s="602"/>
      <c r="D15" s="602"/>
      <c r="E15" s="602"/>
      <c r="F15" s="602"/>
      <c r="G15" s="602"/>
      <c r="H15" s="602"/>
      <c r="I15" s="602"/>
      <c r="J15" s="602"/>
      <c r="K15" s="602"/>
      <c r="L15" s="602"/>
      <c r="M15" s="602"/>
      <c r="N15" s="602"/>
    </row>
    <row r="16" spans="2:15" x14ac:dyDescent="0.25">
      <c r="B16" s="147"/>
      <c r="C16" s="148"/>
      <c r="D16" s="148"/>
      <c r="E16" s="148"/>
      <c r="F16" s="148"/>
      <c r="G16" s="148"/>
      <c r="H16" s="148"/>
      <c r="I16" s="148"/>
      <c r="J16" s="148"/>
      <c r="K16" s="148"/>
      <c r="L16" s="148"/>
      <c r="M16" s="148"/>
    </row>
    <row r="17" spans="3:14" ht="14.4" thickBot="1" x14ac:dyDescent="0.3"/>
    <row r="18" spans="3:14" ht="15.6" x14ac:dyDescent="0.3">
      <c r="C18" s="149" t="s">
        <v>67</v>
      </c>
      <c r="D18" s="150"/>
      <c r="E18" s="150"/>
      <c r="F18" s="150"/>
      <c r="G18" s="151"/>
      <c r="I18" s="149" t="s">
        <v>68</v>
      </c>
      <c r="J18" s="150"/>
      <c r="K18" s="150"/>
      <c r="L18" s="150"/>
      <c r="M18" s="150"/>
      <c r="N18" s="151"/>
    </row>
    <row r="19" spans="3:14" ht="15.6" x14ac:dyDescent="0.3">
      <c r="C19" s="152" t="s">
        <v>69</v>
      </c>
      <c r="G19" s="153"/>
      <c r="I19" s="152" t="s">
        <v>69</v>
      </c>
      <c r="N19" s="153"/>
    </row>
    <row r="20" spans="3:14" x14ac:dyDescent="0.25">
      <c r="C20" s="154" t="s">
        <v>70</v>
      </c>
      <c r="E20" s="5" t="s">
        <v>71</v>
      </c>
      <c r="F20" s="5" t="s">
        <v>72</v>
      </c>
      <c r="G20" s="155" t="s">
        <v>73</v>
      </c>
      <c r="I20" s="154"/>
      <c r="L20" s="5" t="s">
        <v>71</v>
      </c>
      <c r="M20" s="5" t="s">
        <v>72</v>
      </c>
      <c r="N20" s="155" t="s">
        <v>73</v>
      </c>
    </row>
    <row r="21" spans="3:14" x14ac:dyDescent="0.25">
      <c r="C21" s="156" t="s">
        <v>74</v>
      </c>
      <c r="D21" s="157"/>
      <c r="E21" s="157"/>
      <c r="F21" s="157"/>
      <c r="G21" s="158"/>
      <c r="I21" s="603" t="s">
        <v>15</v>
      </c>
      <c r="J21" s="604"/>
      <c r="K21" s="604"/>
      <c r="L21" s="4">
        <v>3000</v>
      </c>
      <c r="M21" s="4">
        <v>3000</v>
      </c>
      <c r="N21" s="159">
        <v>3000</v>
      </c>
    </row>
    <row r="22" spans="3:14" x14ac:dyDescent="0.25">
      <c r="C22" s="154" t="s">
        <v>75</v>
      </c>
      <c r="G22" s="153"/>
      <c r="I22" s="597" t="s">
        <v>16</v>
      </c>
      <c r="J22" s="580"/>
      <c r="K22" s="580"/>
      <c r="L22" s="160">
        <v>-1650</v>
      </c>
      <c r="M22" s="160">
        <v>-1650</v>
      </c>
      <c r="N22" s="161">
        <v>-1650</v>
      </c>
    </row>
    <row r="23" spans="3:14" x14ac:dyDescent="0.25">
      <c r="C23" s="154" t="s">
        <v>76</v>
      </c>
      <c r="E23" s="1">
        <v>200</v>
      </c>
      <c r="F23" s="1">
        <v>150</v>
      </c>
      <c r="G23" s="153">
        <v>100</v>
      </c>
      <c r="I23" s="607" t="s">
        <v>77</v>
      </c>
      <c r="J23" s="578"/>
      <c r="K23" s="578"/>
      <c r="L23" s="3">
        <f>SUM(L21:L22)</f>
        <v>1350</v>
      </c>
      <c r="M23" s="3">
        <f t="shared" ref="M23:N23" si="0">SUM(M21:M22)</f>
        <v>1350</v>
      </c>
      <c r="N23" s="162">
        <f t="shared" si="0"/>
        <v>1350</v>
      </c>
    </row>
    <row r="24" spans="3:14" x14ac:dyDescent="0.25">
      <c r="C24" s="154" t="s">
        <v>36</v>
      </c>
      <c r="E24" s="1">
        <v>500</v>
      </c>
      <c r="F24" s="1">
        <v>350</v>
      </c>
      <c r="G24" s="153">
        <v>300</v>
      </c>
      <c r="I24" s="597" t="s">
        <v>78</v>
      </c>
      <c r="J24" s="580"/>
      <c r="K24" s="580"/>
      <c r="L24" s="160">
        <v>-230</v>
      </c>
      <c r="M24" s="160">
        <v>-230</v>
      </c>
      <c r="N24" s="161">
        <v>-230</v>
      </c>
    </row>
    <row r="25" spans="3:14" x14ac:dyDescent="0.25">
      <c r="C25" s="154" t="s">
        <v>37</v>
      </c>
      <c r="E25" s="1">
        <v>700</v>
      </c>
      <c r="F25" s="1">
        <v>500</v>
      </c>
      <c r="G25" s="153">
        <v>400</v>
      </c>
      <c r="I25" s="608" t="s">
        <v>79</v>
      </c>
      <c r="J25" s="609"/>
      <c r="K25" s="609"/>
      <c r="L25" s="163">
        <v>-300</v>
      </c>
      <c r="M25" s="163">
        <v>-300</v>
      </c>
      <c r="N25" s="164">
        <v>-300</v>
      </c>
    </row>
    <row r="26" spans="3:14" x14ac:dyDescent="0.25">
      <c r="C26" s="165" t="s">
        <v>80</v>
      </c>
      <c r="D26" s="58"/>
      <c r="E26" s="58">
        <f>SUM(E23:E25)</f>
        <v>1400</v>
      </c>
      <c r="F26" s="58">
        <f>SUM(F23:F25)</f>
        <v>1000</v>
      </c>
      <c r="G26" s="166">
        <f>SUM(G23:G25)</f>
        <v>800</v>
      </c>
      <c r="I26" s="597" t="s">
        <v>81</v>
      </c>
      <c r="J26" s="580"/>
      <c r="K26" s="580"/>
      <c r="L26" s="160">
        <v>-310</v>
      </c>
      <c r="M26" s="160">
        <v>-310</v>
      </c>
      <c r="N26" s="161">
        <v>-310</v>
      </c>
    </row>
    <row r="27" spans="3:14" x14ac:dyDescent="0.25">
      <c r="C27" s="154" t="s">
        <v>39</v>
      </c>
      <c r="G27" s="153"/>
      <c r="I27" s="610" t="s">
        <v>82</v>
      </c>
      <c r="J27" s="611"/>
      <c r="K27" s="611"/>
      <c r="L27" s="612">
        <f>SUM(L23:L26)</f>
        <v>510</v>
      </c>
      <c r="M27" s="612">
        <f t="shared" ref="M27:N27" si="1">SUM(M23:M26)</f>
        <v>510</v>
      </c>
      <c r="N27" s="613">
        <f t="shared" si="1"/>
        <v>510</v>
      </c>
    </row>
    <row r="28" spans="3:14" x14ac:dyDescent="0.25">
      <c r="C28" s="154" t="s">
        <v>83</v>
      </c>
      <c r="E28" s="1">
        <v>700</v>
      </c>
      <c r="F28" s="1">
        <v>700</v>
      </c>
      <c r="G28" s="153">
        <v>700</v>
      </c>
      <c r="I28" s="610"/>
      <c r="J28" s="611"/>
      <c r="K28" s="611"/>
      <c r="L28" s="612"/>
      <c r="M28" s="612"/>
      <c r="N28" s="613"/>
    </row>
    <row r="29" spans="3:14" x14ac:dyDescent="0.25">
      <c r="C29" s="165" t="s">
        <v>42</v>
      </c>
      <c r="D29" s="58"/>
      <c r="E29" s="58">
        <f>+E28</f>
        <v>700</v>
      </c>
      <c r="F29" s="58">
        <f>+F28</f>
        <v>700</v>
      </c>
      <c r="G29" s="166">
        <f>+G28</f>
        <v>700</v>
      </c>
      <c r="I29" s="597" t="s">
        <v>84</v>
      </c>
      <c r="J29" s="580"/>
      <c r="K29" s="580"/>
      <c r="L29" s="160">
        <v>-80</v>
      </c>
      <c r="M29" s="160">
        <v>-70</v>
      </c>
      <c r="N29" s="161">
        <v>-60</v>
      </c>
    </row>
    <row r="30" spans="3:14" x14ac:dyDescent="0.25">
      <c r="C30" s="156" t="s">
        <v>43</v>
      </c>
      <c r="D30" s="167"/>
      <c r="E30" s="167">
        <f>+E26+E29</f>
        <v>2100</v>
      </c>
      <c r="F30" s="167">
        <f>+F26+F29</f>
        <v>1700</v>
      </c>
      <c r="G30" s="168">
        <f>+G26+G29</f>
        <v>1500</v>
      </c>
      <c r="I30" s="614" t="s">
        <v>24</v>
      </c>
      <c r="J30" s="572"/>
      <c r="K30" s="572"/>
      <c r="L30" s="4">
        <f>SUM(L27:L29)</f>
        <v>430</v>
      </c>
      <c r="M30" s="4">
        <f t="shared" ref="M30:N30" si="2">SUM(M27:M29)</f>
        <v>440</v>
      </c>
      <c r="N30" s="159">
        <f t="shared" si="2"/>
        <v>450</v>
      </c>
    </row>
    <row r="31" spans="3:14" x14ac:dyDescent="0.25">
      <c r="C31" s="154"/>
      <c r="G31" s="153"/>
      <c r="I31" s="597" t="s">
        <v>85</v>
      </c>
      <c r="J31" s="580"/>
      <c r="K31" s="580"/>
      <c r="L31" s="160">
        <f>-L30*0.3</f>
        <v>-129</v>
      </c>
      <c r="M31" s="160">
        <f>-M30*0.3</f>
        <v>-132</v>
      </c>
      <c r="N31" s="161">
        <f>-N30*0.3</f>
        <v>-135</v>
      </c>
    </row>
    <row r="32" spans="3:14" ht="14.4" thickBot="1" x14ac:dyDescent="0.3">
      <c r="C32" s="169" t="s">
        <v>86</v>
      </c>
      <c r="D32" s="37"/>
      <c r="E32" s="37"/>
      <c r="F32" s="37"/>
      <c r="G32" s="170"/>
      <c r="I32" s="605" t="s">
        <v>87</v>
      </c>
      <c r="J32" s="606"/>
      <c r="K32" s="606"/>
      <c r="L32" s="171">
        <f>SUM(L30:L31)</f>
        <v>301</v>
      </c>
      <c r="M32" s="171">
        <f t="shared" ref="M32:N32" si="3">SUM(M30:M31)</f>
        <v>308</v>
      </c>
      <c r="N32" s="172">
        <f t="shared" si="3"/>
        <v>315</v>
      </c>
    </row>
    <row r="33" spans="3:14" x14ac:dyDescent="0.25">
      <c r="C33" s="154" t="s">
        <v>88</v>
      </c>
      <c r="G33" s="153"/>
      <c r="L33" s="4"/>
      <c r="M33" s="4"/>
      <c r="N33" s="4"/>
    </row>
    <row r="34" spans="3:14" x14ac:dyDescent="0.25">
      <c r="C34" s="154" t="s">
        <v>89</v>
      </c>
      <c r="E34" s="1">
        <v>200</v>
      </c>
      <c r="F34" s="1">
        <v>200</v>
      </c>
      <c r="G34" s="153">
        <v>200</v>
      </c>
    </row>
    <row r="35" spans="3:14" x14ac:dyDescent="0.25">
      <c r="C35" s="154" t="s">
        <v>90</v>
      </c>
      <c r="E35" s="1">
        <v>150</v>
      </c>
      <c r="F35" s="1">
        <v>150</v>
      </c>
      <c r="G35" s="153">
        <v>150</v>
      </c>
    </row>
    <row r="36" spans="3:14" x14ac:dyDescent="0.25">
      <c r="C36" s="165" t="s">
        <v>91</v>
      </c>
      <c r="D36" s="58"/>
      <c r="E36" s="58">
        <f>SUM(E34:E35)</f>
        <v>350</v>
      </c>
      <c r="F36" s="58">
        <f>SUM(F34:F35)</f>
        <v>350</v>
      </c>
      <c r="G36" s="166">
        <f>SUM(G34:G35)</f>
        <v>350</v>
      </c>
      <c r="H36" s="58"/>
    </row>
    <row r="37" spans="3:14" x14ac:dyDescent="0.25">
      <c r="C37" s="154" t="s">
        <v>92</v>
      </c>
      <c r="D37" s="5"/>
      <c r="G37" s="153"/>
    </row>
    <row r="38" spans="3:14" x14ac:dyDescent="0.25">
      <c r="C38" s="154" t="s">
        <v>93</v>
      </c>
      <c r="E38" s="1">
        <v>350</v>
      </c>
      <c r="F38" s="1">
        <v>220</v>
      </c>
      <c r="G38" s="153">
        <v>200</v>
      </c>
    </row>
    <row r="39" spans="3:14" x14ac:dyDescent="0.25">
      <c r="C39" s="154" t="s">
        <v>94</v>
      </c>
      <c r="E39" s="1">
        <v>400</v>
      </c>
      <c r="F39" s="1">
        <v>230</v>
      </c>
      <c r="G39" s="153">
        <v>150</v>
      </c>
    </row>
    <row r="40" spans="3:14" x14ac:dyDescent="0.25">
      <c r="C40" s="173" t="s">
        <v>95</v>
      </c>
      <c r="D40" s="58"/>
      <c r="E40" s="58">
        <f>SUM(E38:E39)</f>
        <v>750</v>
      </c>
      <c r="F40" s="58">
        <f>SUM(F38:F39)</f>
        <v>450</v>
      </c>
      <c r="G40" s="166">
        <f>SUM(G38:G39)</f>
        <v>350</v>
      </c>
      <c r="H40" s="58"/>
    </row>
    <row r="41" spans="3:14" x14ac:dyDescent="0.25">
      <c r="C41" s="174" t="s">
        <v>96</v>
      </c>
      <c r="D41" s="77"/>
      <c r="E41" s="77">
        <f>+E36+E40</f>
        <v>1100</v>
      </c>
      <c r="F41" s="77">
        <f>+F36+F40</f>
        <v>800</v>
      </c>
      <c r="G41" s="175">
        <f>+G36+G40</f>
        <v>700</v>
      </c>
      <c r="H41" s="5"/>
    </row>
    <row r="42" spans="3:14" x14ac:dyDescent="0.25">
      <c r="C42" s="176"/>
      <c r="G42" s="153"/>
    </row>
    <row r="43" spans="3:14" x14ac:dyDescent="0.25">
      <c r="C43" s="177" t="s">
        <v>97</v>
      </c>
      <c r="D43" s="178"/>
      <c r="E43" s="178"/>
      <c r="F43" s="178"/>
      <c r="G43" s="179"/>
    </row>
    <row r="44" spans="3:14" x14ac:dyDescent="0.25">
      <c r="C44" s="180" t="s">
        <v>98</v>
      </c>
      <c r="E44" s="1">
        <v>700</v>
      </c>
      <c r="F44" s="1">
        <v>600</v>
      </c>
      <c r="G44" s="153">
        <v>500</v>
      </c>
    </row>
    <row r="45" spans="3:14" x14ac:dyDescent="0.25">
      <c r="C45" s="180" t="s">
        <v>99</v>
      </c>
      <c r="E45" s="1">
        <v>300</v>
      </c>
      <c r="F45" s="1">
        <v>300</v>
      </c>
      <c r="G45" s="153">
        <v>300</v>
      </c>
    </row>
    <row r="46" spans="3:14" x14ac:dyDescent="0.25">
      <c r="C46" s="181" t="s">
        <v>100</v>
      </c>
      <c r="D46" s="182"/>
      <c r="E46" s="182">
        <f>SUM(E44:E45)</f>
        <v>1000</v>
      </c>
      <c r="F46" s="182">
        <f>SUM(F44:F45)</f>
        <v>900</v>
      </c>
      <c r="G46" s="183">
        <f>SUM(G44:G45)</f>
        <v>800</v>
      </c>
      <c r="H46" s="5"/>
    </row>
    <row r="47" spans="3:14" x14ac:dyDescent="0.25">
      <c r="C47" s="176"/>
      <c r="D47" s="5"/>
      <c r="G47" s="153"/>
    </row>
    <row r="48" spans="3:14" ht="14.4" thickBot="1" x14ac:dyDescent="0.3">
      <c r="C48" s="184" t="s">
        <v>101</v>
      </c>
      <c r="D48" s="185"/>
      <c r="E48" s="185">
        <f>+E41+E46</f>
        <v>2100</v>
      </c>
      <c r="F48" s="185">
        <f>+F41+F46</f>
        <v>1700</v>
      </c>
      <c r="G48" s="186">
        <f>+G41+G46</f>
        <v>1500</v>
      </c>
      <c r="H48" s="5"/>
    </row>
    <row r="49" spans="2:16" s="187" customFormat="1" ht="14.4" x14ac:dyDescent="0.3"/>
    <row r="50" spans="2:16" s="187" customFormat="1" ht="14.4" x14ac:dyDescent="0.3"/>
    <row r="52" spans="2:16" x14ac:dyDescent="0.25">
      <c r="B52" s="615">
        <v>1</v>
      </c>
      <c r="C52" s="616" t="s">
        <v>102</v>
      </c>
      <c r="D52" s="616"/>
      <c r="E52" s="616"/>
      <c r="F52" s="616"/>
      <c r="G52" s="616"/>
      <c r="H52" s="616"/>
      <c r="I52" s="616"/>
      <c r="J52" s="616"/>
      <c r="K52" s="616"/>
      <c r="L52" s="616"/>
      <c r="M52" s="616"/>
      <c r="N52" s="616"/>
    </row>
    <row r="53" spans="2:16" x14ac:dyDescent="0.25">
      <c r="B53" s="615"/>
      <c r="C53" s="616"/>
      <c r="D53" s="616"/>
      <c r="E53" s="616"/>
      <c r="F53" s="616"/>
      <c r="G53" s="616"/>
      <c r="H53" s="616"/>
      <c r="I53" s="616"/>
      <c r="J53" s="616"/>
      <c r="K53" s="616"/>
      <c r="L53" s="616"/>
      <c r="M53" s="616"/>
      <c r="N53" s="616"/>
    </row>
    <row r="55" spans="2:16" ht="20.399999999999999" x14ac:dyDescent="0.35">
      <c r="C55" s="35" t="s">
        <v>28</v>
      </c>
    </row>
    <row r="56" spans="2:16" ht="14.4" thickBot="1" x14ac:dyDescent="0.3"/>
    <row r="57" spans="2:16" ht="15.6" x14ac:dyDescent="0.3">
      <c r="C57" s="188" t="s">
        <v>67</v>
      </c>
      <c r="E57" s="617" t="s">
        <v>71</v>
      </c>
      <c r="F57" s="618"/>
      <c r="G57" s="618"/>
      <c r="H57" s="619"/>
      <c r="I57" s="617" t="s">
        <v>72</v>
      </c>
      <c r="J57" s="618"/>
      <c r="K57" s="618"/>
      <c r="L57" s="618"/>
      <c r="M57" s="617" t="s">
        <v>73</v>
      </c>
      <c r="N57" s="618"/>
      <c r="O57" s="618"/>
      <c r="P57" s="619"/>
    </row>
    <row r="58" spans="2:16" ht="15.6" x14ac:dyDescent="0.3">
      <c r="C58" s="188" t="s">
        <v>69</v>
      </c>
      <c r="E58" s="620"/>
      <c r="F58" s="612"/>
      <c r="G58" s="612"/>
      <c r="H58" s="613"/>
      <c r="I58" s="620"/>
      <c r="J58" s="612"/>
      <c r="K58" s="612"/>
      <c r="L58" s="612"/>
      <c r="M58" s="620"/>
      <c r="N58" s="612"/>
      <c r="O58" s="612"/>
      <c r="P58" s="613"/>
    </row>
    <row r="59" spans="2:16" ht="14.4" thickBot="1" x14ac:dyDescent="0.3">
      <c r="C59" s="1" t="s">
        <v>70</v>
      </c>
      <c r="E59" s="621"/>
      <c r="F59" s="622"/>
      <c r="G59" s="622"/>
      <c r="H59" s="623"/>
      <c r="I59" s="621"/>
      <c r="J59" s="622"/>
      <c r="K59" s="622"/>
      <c r="L59" s="622"/>
      <c r="M59" s="621"/>
      <c r="N59" s="622"/>
      <c r="O59" s="622"/>
      <c r="P59" s="623"/>
    </row>
    <row r="60" spans="2:16" ht="14.4" thickTop="1" x14ac:dyDescent="0.25">
      <c r="C60" s="167" t="s">
        <v>74</v>
      </c>
      <c r="D60" s="157"/>
      <c r="E60" s="189"/>
      <c r="F60" s="157"/>
      <c r="G60" s="157"/>
      <c r="H60" s="158"/>
      <c r="I60" s="189"/>
      <c r="J60" s="157"/>
      <c r="K60" s="157"/>
      <c r="L60" s="157"/>
      <c r="M60" s="189"/>
      <c r="N60" s="157"/>
      <c r="O60" s="157"/>
      <c r="P60" s="158"/>
    </row>
    <row r="61" spans="2:16" x14ac:dyDescent="0.25">
      <c r="C61" s="1" t="s">
        <v>75</v>
      </c>
      <c r="E61" s="154"/>
      <c r="F61" s="117"/>
      <c r="H61" s="190"/>
      <c r="I61" s="154"/>
      <c r="J61" s="117"/>
      <c r="L61" s="117"/>
      <c r="M61" s="154"/>
      <c r="N61" s="117"/>
      <c r="P61" s="190"/>
    </row>
    <row r="62" spans="2:16" x14ac:dyDescent="0.25">
      <c r="C62" s="1" t="s">
        <v>76</v>
      </c>
      <c r="E62" s="154">
        <v>200</v>
      </c>
      <c r="F62" s="117">
        <f>E62/$E$69</f>
        <v>9.5238095238095233E-2</v>
      </c>
      <c r="H62" s="190">
        <f>E62/$E$65</f>
        <v>0.14285714285714285</v>
      </c>
      <c r="I62" s="1">
        <v>150</v>
      </c>
      <c r="J62" s="117">
        <f>I62/$I$69</f>
        <v>8.8235294117647065E-2</v>
      </c>
      <c r="L62" s="117">
        <f>I62/$I$65</f>
        <v>0.15</v>
      </c>
      <c r="M62" s="154">
        <v>100</v>
      </c>
      <c r="N62" s="117">
        <f>M62/$M$69</f>
        <v>6.6666666666666666E-2</v>
      </c>
      <c r="P62" s="190">
        <f>M62/$M$65</f>
        <v>0.125</v>
      </c>
    </row>
    <row r="63" spans="2:16" x14ac:dyDescent="0.25">
      <c r="C63" s="1" t="s">
        <v>36</v>
      </c>
      <c r="E63" s="154">
        <v>500</v>
      </c>
      <c r="F63" s="117">
        <f t="shared" ref="F63:F67" si="4">E63/$E$69</f>
        <v>0.23809523809523808</v>
      </c>
      <c r="H63" s="190">
        <f t="shared" ref="H63:H65" si="5">E63/$E$65</f>
        <v>0.35714285714285715</v>
      </c>
      <c r="I63" s="1">
        <v>350</v>
      </c>
      <c r="J63" s="117">
        <f t="shared" ref="J63:J68" si="6">I63/$I$69</f>
        <v>0.20588235294117646</v>
      </c>
      <c r="L63" s="117">
        <f t="shared" ref="L63:L64" si="7">I63/$I$65</f>
        <v>0.35</v>
      </c>
      <c r="M63" s="154">
        <v>300</v>
      </c>
      <c r="N63" s="117">
        <f t="shared" ref="N63:N68" si="8">M63/$M$69</f>
        <v>0.2</v>
      </c>
      <c r="P63" s="190">
        <f t="shared" ref="P63:P64" si="9">M63/$M$65</f>
        <v>0.375</v>
      </c>
    </row>
    <row r="64" spans="2:16" x14ac:dyDescent="0.25">
      <c r="C64" s="1" t="s">
        <v>37</v>
      </c>
      <c r="E64" s="154">
        <v>700</v>
      </c>
      <c r="F64" s="117">
        <f t="shared" si="4"/>
        <v>0.33333333333333331</v>
      </c>
      <c r="H64" s="190">
        <f t="shared" si="5"/>
        <v>0.5</v>
      </c>
      <c r="I64" s="1">
        <v>500</v>
      </c>
      <c r="J64" s="117">
        <f t="shared" si="6"/>
        <v>0.29411764705882354</v>
      </c>
      <c r="L64" s="117">
        <f t="shared" si="7"/>
        <v>0.5</v>
      </c>
      <c r="M64" s="192">
        <v>400</v>
      </c>
      <c r="N64" s="117">
        <f t="shared" si="8"/>
        <v>0.26666666666666666</v>
      </c>
      <c r="P64" s="190">
        <f t="shared" si="9"/>
        <v>0.5</v>
      </c>
    </row>
    <row r="65" spans="3:16" x14ac:dyDescent="0.25">
      <c r="C65" s="58" t="s">
        <v>80</v>
      </c>
      <c r="D65" s="58"/>
      <c r="E65" s="165">
        <f>SUM(E62:E64)</f>
        <v>1400</v>
      </c>
      <c r="F65" s="117"/>
      <c r="G65" s="193">
        <f>SUM(F62:F64)</f>
        <v>0.66666666666666663</v>
      </c>
      <c r="H65" s="190">
        <f>SUM(H62:H64)</f>
        <v>1</v>
      </c>
      <c r="I65" s="165">
        <f>SUM(I62:I64)</f>
        <v>1000</v>
      </c>
      <c r="J65" s="117"/>
      <c r="K65" s="193">
        <f>SUM(J62:J64)</f>
        <v>0.58823529411764708</v>
      </c>
      <c r="L65" s="195">
        <f>SUM(L62:L64)</f>
        <v>1</v>
      </c>
      <c r="M65" s="165">
        <f>SUM(M62:M64)</f>
        <v>800</v>
      </c>
      <c r="N65" s="117"/>
      <c r="O65" s="193">
        <f>SUM(N62:N64)</f>
        <v>0.53333333333333333</v>
      </c>
      <c r="P65" s="194">
        <f>SUM(P62:P64)</f>
        <v>1</v>
      </c>
    </row>
    <row r="66" spans="3:16" x14ac:dyDescent="0.25">
      <c r="C66" s="1" t="s">
        <v>39</v>
      </c>
      <c r="E66" s="154"/>
      <c r="F66" s="117"/>
      <c r="H66" s="190"/>
      <c r="I66" s="154"/>
      <c r="J66" s="117"/>
      <c r="L66" s="117"/>
      <c r="M66" s="154"/>
      <c r="N66" s="117"/>
      <c r="P66" s="190"/>
    </row>
    <row r="67" spans="3:16" x14ac:dyDescent="0.25">
      <c r="C67" s="1" t="s">
        <v>83</v>
      </c>
      <c r="E67" s="192">
        <v>700</v>
      </c>
      <c r="F67" s="117">
        <f t="shared" si="4"/>
        <v>0.33333333333333331</v>
      </c>
      <c r="H67" s="190">
        <f>E67/E68</f>
        <v>1</v>
      </c>
      <c r="I67" s="1">
        <v>700</v>
      </c>
      <c r="J67" s="117">
        <f t="shared" si="6"/>
        <v>0.41176470588235292</v>
      </c>
      <c r="L67" s="117"/>
      <c r="M67" s="154">
        <v>700</v>
      </c>
      <c r="N67" s="117">
        <f t="shared" si="8"/>
        <v>0.46666666666666667</v>
      </c>
      <c r="P67" s="190"/>
    </row>
    <row r="68" spans="3:16" x14ac:dyDescent="0.25">
      <c r="C68" s="58" t="s">
        <v>42</v>
      </c>
      <c r="D68" s="58"/>
      <c r="E68" s="196">
        <f>+E67</f>
        <v>700</v>
      </c>
      <c r="F68" s="117"/>
      <c r="G68" s="197">
        <f>F67</f>
        <v>0.33333333333333331</v>
      </c>
      <c r="H68" s="190">
        <f>H67</f>
        <v>1</v>
      </c>
      <c r="I68" s="196">
        <f>+I67</f>
        <v>700</v>
      </c>
      <c r="J68" s="117"/>
      <c r="K68" s="197">
        <f>J67</f>
        <v>0.41176470588235292</v>
      </c>
      <c r="L68" s="117">
        <f>I67/I68</f>
        <v>1</v>
      </c>
      <c r="M68" s="198">
        <f>+M67</f>
        <v>700</v>
      </c>
      <c r="N68" s="117"/>
      <c r="O68" s="197">
        <f>N67</f>
        <v>0.46666666666666667</v>
      </c>
      <c r="P68" s="190">
        <f>M67/M68</f>
        <v>1</v>
      </c>
    </row>
    <row r="69" spans="3:16" x14ac:dyDescent="0.25">
      <c r="C69" s="167" t="s">
        <v>43</v>
      </c>
      <c r="D69" s="167"/>
      <c r="E69" s="156">
        <f>+E65+E68</f>
        <v>2100</v>
      </c>
      <c r="F69" s="199">
        <f>SUM(F62:F67)</f>
        <v>1</v>
      </c>
      <c r="G69" s="200">
        <f>G65+G68</f>
        <v>1</v>
      </c>
      <c r="H69" s="201"/>
      <c r="I69" s="156">
        <f>+I65+I68</f>
        <v>1700</v>
      </c>
      <c r="J69" s="199">
        <f>SUM(J62:J67)</f>
        <v>1</v>
      </c>
      <c r="K69" s="200">
        <f>K65+K68</f>
        <v>1</v>
      </c>
      <c r="L69" s="199"/>
      <c r="M69" s="156">
        <f>+M65+M68</f>
        <v>1500</v>
      </c>
      <c r="N69" s="199">
        <f>SUM(N62:N68)</f>
        <v>1</v>
      </c>
      <c r="O69" s="200">
        <f>O65+O68</f>
        <v>1</v>
      </c>
      <c r="P69" s="201"/>
    </row>
    <row r="70" spans="3:16" x14ac:dyDescent="0.25">
      <c r="E70" s="154"/>
      <c r="F70" s="117"/>
      <c r="H70" s="190"/>
      <c r="I70" s="154"/>
      <c r="J70" s="117"/>
      <c r="L70" s="117"/>
      <c r="M70" s="154"/>
      <c r="N70" s="117"/>
      <c r="P70" s="190"/>
    </row>
    <row r="71" spans="3:16" x14ac:dyDescent="0.25">
      <c r="C71" s="77" t="s">
        <v>86</v>
      </c>
      <c r="D71" s="37"/>
      <c r="E71" s="202"/>
      <c r="F71" s="203"/>
      <c r="G71" s="37"/>
      <c r="H71" s="204"/>
      <c r="I71" s="202"/>
      <c r="J71" s="203"/>
      <c r="K71" s="37"/>
      <c r="L71" s="203"/>
      <c r="M71" s="202"/>
      <c r="N71" s="203"/>
      <c r="O71" s="37"/>
      <c r="P71" s="204"/>
    </row>
    <row r="72" spans="3:16" x14ac:dyDescent="0.25">
      <c r="C72" s="1" t="s">
        <v>88</v>
      </c>
      <c r="E72" s="154"/>
      <c r="F72" s="117"/>
      <c r="H72" s="190"/>
      <c r="I72" s="154"/>
      <c r="J72" s="117"/>
      <c r="L72" s="117"/>
      <c r="M72" s="154"/>
      <c r="N72" s="117"/>
      <c r="P72" s="190"/>
    </row>
    <row r="73" spans="3:16" x14ac:dyDescent="0.25">
      <c r="C73" s="1" t="s">
        <v>89</v>
      </c>
      <c r="E73" s="154">
        <v>200</v>
      </c>
      <c r="F73" s="117">
        <f>E73/$E$87</f>
        <v>9.5238095238095233E-2</v>
      </c>
      <c r="H73" s="190">
        <f>E73/E75</f>
        <v>0.5714285714285714</v>
      </c>
      <c r="I73" s="1">
        <v>200</v>
      </c>
      <c r="J73" s="117">
        <f>I73/$I$87</f>
        <v>0.11764705882352941</v>
      </c>
      <c r="L73" s="117">
        <f>I73/I75</f>
        <v>0.5714285714285714</v>
      </c>
      <c r="M73" s="154">
        <v>200</v>
      </c>
      <c r="N73" s="117">
        <f>M73/$M$87</f>
        <v>0.13333333333333333</v>
      </c>
      <c r="P73" s="190">
        <f>M73/M75</f>
        <v>0.5714285714285714</v>
      </c>
    </row>
    <row r="74" spans="3:16" x14ac:dyDescent="0.25">
      <c r="C74" s="1" t="s">
        <v>90</v>
      </c>
      <c r="E74" s="154">
        <v>150</v>
      </c>
      <c r="F74" s="117">
        <f t="shared" ref="F74:F85" si="10">E74/$E$87</f>
        <v>7.1428571428571425E-2</v>
      </c>
      <c r="H74" s="191">
        <f>E74/E75</f>
        <v>0.42857142857142855</v>
      </c>
      <c r="I74" s="1">
        <v>150</v>
      </c>
      <c r="J74" s="117">
        <f t="shared" ref="J74:J85" si="11">I74/$I$87</f>
        <v>8.8235294117647065E-2</v>
      </c>
      <c r="L74" s="101">
        <f>I74/I75</f>
        <v>0.42857142857142855</v>
      </c>
      <c r="M74" s="192">
        <v>150</v>
      </c>
      <c r="N74" s="117">
        <f t="shared" ref="N74:N85" si="12">M74/$M$87</f>
        <v>0.1</v>
      </c>
      <c r="P74" s="191">
        <f>M74/M75</f>
        <v>0.42857142857142855</v>
      </c>
    </row>
    <row r="75" spans="3:16" x14ac:dyDescent="0.25">
      <c r="C75" s="58" t="s">
        <v>91</v>
      </c>
      <c r="D75" s="58"/>
      <c r="E75" s="165">
        <f>SUM(E73:E74)</f>
        <v>350</v>
      </c>
      <c r="F75" s="117"/>
      <c r="G75" s="193">
        <f>F73+F74</f>
        <v>0.16666666666666666</v>
      </c>
      <c r="H75" s="194">
        <f>SUM(H73:H74)</f>
        <v>1</v>
      </c>
      <c r="I75" s="165">
        <f>SUM(I73:I74)</f>
        <v>350</v>
      </c>
      <c r="J75" s="117"/>
      <c r="K75" s="193">
        <f>J73+J74</f>
        <v>0.20588235294117646</v>
      </c>
      <c r="L75" s="195">
        <f>L73+L74</f>
        <v>1</v>
      </c>
      <c r="M75" s="165">
        <f>SUM(M73:M74)</f>
        <v>350</v>
      </c>
      <c r="N75" s="117"/>
      <c r="O75" s="193">
        <f>N73+N74</f>
        <v>0.23333333333333334</v>
      </c>
      <c r="P75" s="194">
        <f>P73+P74</f>
        <v>1</v>
      </c>
    </row>
    <row r="76" spans="3:16" x14ac:dyDescent="0.25">
      <c r="C76" s="1" t="s">
        <v>92</v>
      </c>
      <c r="D76" s="5"/>
      <c r="E76" s="154"/>
      <c r="F76" s="117"/>
      <c r="H76" s="190"/>
      <c r="I76" s="154"/>
      <c r="J76" s="117"/>
      <c r="L76" s="117"/>
      <c r="M76" s="154"/>
      <c r="N76" s="117"/>
      <c r="P76" s="190"/>
    </row>
    <row r="77" spans="3:16" x14ac:dyDescent="0.25">
      <c r="C77" s="1" t="s">
        <v>93</v>
      </c>
      <c r="E77" s="154">
        <v>350</v>
      </c>
      <c r="F77" s="117">
        <f t="shared" si="10"/>
        <v>0.16666666666666666</v>
      </c>
      <c r="H77" s="190">
        <f>E77/E79</f>
        <v>0.46666666666666667</v>
      </c>
      <c r="I77" s="1">
        <v>220</v>
      </c>
      <c r="J77" s="117">
        <f t="shared" si="11"/>
        <v>0.12941176470588237</v>
      </c>
      <c r="L77" s="117">
        <f>I77/I79</f>
        <v>0.48888888888888887</v>
      </c>
      <c r="M77" s="154">
        <v>200</v>
      </c>
      <c r="N77" s="117">
        <f t="shared" si="12"/>
        <v>0.13333333333333333</v>
      </c>
      <c r="P77" s="190">
        <f>M77/M79</f>
        <v>0.5714285714285714</v>
      </c>
    </row>
    <row r="78" spans="3:16" x14ac:dyDescent="0.25">
      <c r="C78" s="1" t="s">
        <v>94</v>
      </c>
      <c r="E78" s="154">
        <v>400</v>
      </c>
      <c r="F78" s="117">
        <f t="shared" si="10"/>
        <v>0.19047619047619047</v>
      </c>
      <c r="H78" s="191">
        <f>E78/E79</f>
        <v>0.53333333333333333</v>
      </c>
      <c r="I78" s="1">
        <v>230</v>
      </c>
      <c r="J78" s="117">
        <f t="shared" si="11"/>
        <v>0.13529411764705881</v>
      </c>
      <c r="L78" s="101">
        <f>I78/I79</f>
        <v>0.51111111111111107</v>
      </c>
      <c r="M78" s="154">
        <v>150</v>
      </c>
      <c r="N78" s="117">
        <f t="shared" si="12"/>
        <v>0.1</v>
      </c>
      <c r="P78" s="191">
        <f>M78/M79</f>
        <v>0.42857142857142855</v>
      </c>
    </row>
    <row r="79" spans="3:16" x14ac:dyDescent="0.25">
      <c r="C79" s="205" t="s">
        <v>95</v>
      </c>
      <c r="D79" s="58"/>
      <c r="E79" s="196">
        <f>SUM(E77:E78)</f>
        <v>750</v>
      </c>
      <c r="F79" s="117"/>
      <c r="G79" s="193">
        <f>F77+F78</f>
        <v>0.3571428571428571</v>
      </c>
      <c r="H79" s="194">
        <f>SUM(H77:H78)</f>
        <v>1</v>
      </c>
      <c r="I79" s="196">
        <f>SUM(I77:I78)</f>
        <v>450</v>
      </c>
      <c r="J79" s="117"/>
      <c r="K79" s="193">
        <f>J77+J78</f>
        <v>0.26470588235294118</v>
      </c>
      <c r="L79" s="195">
        <f>L77+L78</f>
        <v>1</v>
      </c>
      <c r="M79" s="198">
        <f>SUM(M77:M78)</f>
        <v>350</v>
      </c>
      <c r="N79" s="117"/>
      <c r="O79" s="193">
        <f>N77+N78</f>
        <v>0.23333333333333334</v>
      </c>
      <c r="P79" s="194">
        <f>P77+P78</f>
        <v>1</v>
      </c>
    </row>
    <row r="80" spans="3:16" x14ac:dyDescent="0.25">
      <c r="C80" s="135" t="s">
        <v>96</v>
      </c>
      <c r="D80" s="77"/>
      <c r="E80" s="169">
        <f>+E75+E79</f>
        <v>1100</v>
      </c>
      <c r="F80" s="117"/>
      <c r="G80" s="78">
        <f>G75+G79</f>
        <v>0.52380952380952372</v>
      </c>
      <c r="H80" s="204"/>
      <c r="I80" s="169">
        <f>+I75+I79</f>
        <v>800</v>
      </c>
      <c r="J80" s="117"/>
      <c r="K80" s="78"/>
      <c r="L80" s="203"/>
      <c r="M80" s="169">
        <f>+M75+M79</f>
        <v>700</v>
      </c>
      <c r="N80" s="117"/>
      <c r="O80" s="78">
        <f>O75+O79</f>
        <v>0.46666666666666667</v>
      </c>
      <c r="P80" s="204"/>
    </row>
    <row r="81" spans="3:16" x14ac:dyDescent="0.25">
      <c r="C81" s="113"/>
      <c r="E81" s="154"/>
      <c r="F81" s="117"/>
      <c r="H81" s="190"/>
      <c r="I81" s="154"/>
      <c r="J81" s="117"/>
      <c r="L81" s="117"/>
      <c r="M81" s="154"/>
      <c r="N81" s="117"/>
      <c r="P81" s="190"/>
    </row>
    <row r="82" spans="3:16" x14ac:dyDescent="0.25">
      <c r="C82" s="206" t="s">
        <v>97</v>
      </c>
      <c r="D82" s="178"/>
      <c r="E82" s="207"/>
      <c r="F82" s="117"/>
      <c r="G82" s="178"/>
      <c r="H82" s="209"/>
      <c r="I82" s="207"/>
      <c r="J82" s="117"/>
      <c r="K82" s="178"/>
      <c r="L82" s="208"/>
      <c r="M82" s="207"/>
      <c r="N82" s="117"/>
      <c r="O82" s="178"/>
      <c r="P82" s="209"/>
    </row>
    <row r="83" spans="3:16" x14ac:dyDescent="0.25">
      <c r="C83" s="100" t="s">
        <v>98</v>
      </c>
      <c r="E83" s="154">
        <v>700</v>
      </c>
      <c r="F83" s="117">
        <f t="shared" si="10"/>
        <v>0.33333333333333331</v>
      </c>
      <c r="H83" s="190">
        <f>E83/E85</f>
        <v>0.7</v>
      </c>
      <c r="I83" s="192">
        <v>600</v>
      </c>
      <c r="J83" s="117">
        <f t="shared" si="11"/>
        <v>0.35294117647058826</v>
      </c>
      <c r="L83" s="117">
        <f>I83/I85</f>
        <v>0.66666666666666663</v>
      </c>
      <c r="M83" s="154">
        <v>500</v>
      </c>
      <c r="N83" s="117">
        <f t="shared" si="12"/>
        <v>0.33333333333333331</v>
      </c>
      <c r="P83" s="190">
        <f>M83/M85</f>
        <v>0.625</v>
      </c>
    </row>
    <row r="84" spans="3:16" x14ac:dyDescent="0.25">
      <c r="C84" s="100" t="s">
        <v>99</v>
      </c>
      <c r="E84" s="154">
        <v>300</v>
      </c>
      <c r="F84" s="117">
        <f t="shared" si="10"/>
        <v>0.14285714285714285</v>
      </c>
      <c r="H84" s="191">
        <f>E84/E85</f>
        <v>0.3</v>
      </c>
      <c r="I84" s="1">
        <v>300</v>
      </c>
      <c r="J84" s="117">
        <f t="shared" si="11"/>
        <v>0.17647058823529413</v>
      </c>
      <c r="L84" s="101">
        <f>I84/I85</f>
        <v>0.33333333333333331</v>
      </c>
      <c r="M84" s="192">
        <v>300</v>
      </c>
      <c r="N84" s="117">
        <f t="shared" si="12"/>
        <v>0.2</v>
      </c>
      <c r="P84" s="191">
        <f>M84/M85</f>
        <v>0.375</v>
      </c>
    </row>
    <row r="85" spans="3:16" x14ac:dyDescent="0.25">
      <c r="C85" s="210" t="s">
        <v>100</v>
      </c>
      <c r="D85" s="182"/>
      <c r="E85" s="211">
        <f>SUM(E83:E84)</f>
        <v>1000</v>
      </c>
      <c r="F85" s="117"/>
      <c r="G85" s="212">
        <f>F83+F84</f>
        <v>0.47619047619047616</v>
      </c>
      <c r="H85" s="213">
        <f>H83+H84</f>
        <v>1</v>
      </c>
      <c r="I85" s="211">
        <f>SUM(I83:I84)</f>
        <v>900</v>
      </c>
      <c r="J85" s="117"/>
      <c r="K85" s="212">
        <f>J83+J84</f>
        <v>0.52941176470588236</v>
      </c>
      <c r="L85" s="214">
        <f>L83+L84</f>
        <v>1</v>
      </c>
      <c r="M85" s="211">
        <f>SUM(M83:M84)</f>
        <v>800</v>
      </c>
      <c r="N85" s="117"/>
      <c r="O85" s="212">
        <f>N83+N84</f>
        <v>0.53333333333333333</v>
      </c>
      <c r="P85" s="213">
        <f>P83+P84</f>
        <v>1</v>
      </c>
    </row>
    <row r="86" spans="3:16" x14ac:dyDescent="0.25">
      <c r="C86" s="113"/>
      <c r="D86" s="5"/>
      <c r="E86" s="154"/>
      <c r="F86" s="117"/>
      <c r="H86" s="190"/>
      <c r="I86" s="154"/>
      <c r="J86" s="117"/>
      <c r="L86" s="117"/>
      <c r="M86" s="154"/>
      <c r="N86" s="117"/>
      <c r="P86" s="190"/>
    </row>
    <row r="87" spans="3:16" ht="14.4" thickBot="1" x14ac:dyDescent="0.3">
      <c r="C87" s="107" t="s">
        <v>101</v>
      </c>
      <c r="D87" s="108"/>
      <c r="E87" s="215">
        <f>+E80+E85</f>
        <v>2100</v>
      </c>
      <c r="F87" s="216">
        <f>SUM(F73:F84)</f>
        <v>0.99999999999999978</v>
      </c>
      <c r="G87" s="217">
        <f>G80+G85</f>
        <v>0.99999999999999989</v>
      </c>
      <c r="H87" s="218"/>
      <c r="I87" s="215">
        <f>+I80+I85</f>
        <v>1700</v>
      </c>
      <c r="J87" s="216">
        <f>SUM(J73:J85)</f>
        <v>1</v>
      </c>
      <c r="K87" s="217">
        <f>SUM(K75:K85)</f>
        <v>1</v>
      </c>
      <c r="L87" s="216"/>
      <c r="M87" s="215">
        <f>+M80+M85</f>
        <v>1500</v>
      </c>
      <c r="N87" s="216">
        <f>SUM(N73:N85)</f>
        <v>1</v>
      </c>
      <c r="O87" s="217">
        <f>O80+O85</f>
        <v>1</v>
      </c>
      <c r="P87" s="218"/>
    </row>
  </sheetData>
  <mergeCells count="28">
    <mergeCell ref="B52:B53"/>
    <mergeCell ref="C52:N53"/>
    <mergeCell ref="E57:H59"/>
    <mergeCell ref="I57:L59"/>
    <mergeCell ref="M57:P59"/>
    <mergeCell ref="M27:M28"/>
    <mergeCell ref="N27:N28"/>
    <mergeCell ref="I29:K29"/>
    <mergeCell ref="I30:K30"/>
    <mergeCell ref="I31:K31"/>
    <mergeCell ref="L27:L28"/>
    <mergeCell ref="I32:K32"/>
    <mergeCell ref="I23:K23"/>
    <mergeCell ref="I24:K24"/>
    <mergeCell ref="I25:K25"/>
    <mergeCell ref="I26:K26"/>
    <mergeCell ref="I27:K28"/>
    <mergeCell ref="I22:K22"/>
    <mergeCell ref="C2:O2"/>
    <mergeCell ref="B4:B5"/>
    <mergeCell ref="C4:N6"/>
    <mergeCell ref="B8:B9"/>
    <mergeCell ref="C8:N9"/>
    <mergeCell ref="B11:B12"/>
    <mergeCell ref="C11:N12"/>
    <mergeCell ref="B14:B15"/>
    <mergeCell ref="C14:N15"/>
    <mergeCell ref="I21:K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D040B-E576-4DB6-A8DE-ED6ABCCB8AD1}">
  <dimension ref="B2:V102"/>
  <sheetViews>
    <sheetView topLeftCell="A66" zoomScale="70" zoomScaleNormal="70" workbookViewId="0">
      <selection activeCell="V88" sqref="V88"/>
    </sheetView>
  </sheetViews>
  <sheetFormatPr baseColWidth="10" defaultColWidth="9.109375" defaultRowHeight="13.8" x14ac:dyDescent="0.25"/>
  <cols>
    <col min="1" max="1" width="9.109375" style="244"/>
    <col min="2" max="2" width="37.88671875" style="244" customWidth="1"/>
    <col min="3" max="3" width="9.88671875" style="244" bestFit="1" customWidth="1"/>
    <col min="4" max="4" width="13.44140625" style="244" customWidth="1"/>
    <col min="5" max="5" width="10.6640625" style="244" customWidth="1"/>
    <col min="6" max="6" width="9.109375" style="244"/>
    <col min="7" max="8" width="10.33203125" style="244" bestFit="1" customWidth="1"/>
    <col min="9" max="9" width="9.109375" style="244"/>
    <col min="10" max="10" width="11.77734375" style="244" customWidth="1"/>
    <col min="11" max="11" width="10.77734375" style="244" customWidth="1"/>
    <col min="12" max="13" width="9.109375" style="244"/>
    <col min="14" max="14" width="11.33203125" style="244" customWidth="1"/>
    <col min="15" max="15" width="15.109375" style="244" customWidth="1"/>
    <col min="16" max="16" width="11.88671875" style="244" customWidth="1"/>
    <col min="17" max="17" width="12" style="244" customWidth="1"/>
    <col min="18" max="18" width="13.33203125" style="244" customWidth="1"/>
    <col min="19" max="19" width="13" style="244" customWidth="1"/>
    <col min="20" max="20" width="11.33203125" style="244" customWidth="1"/>
    <col min="21" max="21" width="13.109375" style="244" customWidth="1"/>
    <col min="22" max="16384" width="9.109375" style="244"/>
  </cols>
  <sheetData>
    <row r="2" spans="2:19" ht="17.399999999999999" customHeight="1" x14ac:dyDescent="0.35">
      <c r="B2" s="625" t="s">
        <v>157</v>
      </c>
      <c r="C2" s="625"/>
      <c r="D2" s="625"/>
      <c r="E2" s="625"/>
      <c r="F2" s="625"/>
      <c r="G2" s="625"/>
      <c r="H2" s="625"/>
      <c r="I2" s="625"/>
      <c r="J2" s="625"/>
      <c r="K2" s="625"/>
      <c r="L2" s="625"/>
      <c r="M2" s="625"/>
      <c r="N2" s="625"/>
      <c r="O2" s="625"/>
      <c r="P2" s="625"/>
      <c r="Q2" s="625"/>
      <c r="R2" s="625"/>
      <c r="S2" s="625"/>
    </row>
    <row r="3" spans="2:19" x14ac:dyDescent="0.25">
      <c r="B3" s="626"/>
      <c r="C3" s="626"/>
      <c r="D3" s="626"/>
      <c r="E3" s="626"/>
      <c r="F3" s="626"/>
      <c r="G3" s="626"/>
      <c r="H3" s="626"/>
    </row>
    <row r="4" spans="2:19" x14ac:dyDescent="0.25">
      <c r="B4" s="626"/>
      <c r="C4" s="626"/>
      <c r="D4" s="626"/>
      <c r="E4" s="626"/>
      <c r="F4" s="626"/>
      <c r="G4" s="626"/>
      <c r="H4" s="626"/>
    </row>
    <row r="5" spans="2:19" x14ac:dyDescent="0.25">
      <c r="B5" s="246"/>
      <c r="C5" s="246"/>
      <c r="D5" s="246"/>
      <c r="E5" s="246"/>
      <c r="F5" s="246"/>
      <c r="G5" s="246"/>
      <c r="H5" s="246"/>
      <c r="Q5" s="247"/>
      <c r="R5" s="247"/>
      <c r="S5" s="248"/>
    </row>
    <row r="6" spans="2:19" x14ac:dyDescent="0.25">
      <c r="B6" s="626" t="s">
        <v>158</v>
      </c>
      <c r="C6" s="626"/>
      <c r="D6" s="626"/>
      <c r="E6" s="249"/>
      <c r="F6" s="249"/>
      <c r="G6" s="626" t="s">
        <v>29</v>
      </c>
      <c r="H6" s="626"/>
      <c r="I6" s="626"/>
      <c r="J6" s="626"/>
      <c r="K6" s="626"/>
      <c r="Q6" s="247"/>
      <c r="R6" s="247"/>
      <c r="S6" s="248"/>
    </row>
    <row r="7" spans="2:19" x14ac:dyDescent="0.25">
      <c r="B7" s="626" t="s">
        <v>5</v>
      </c>
      <c r="C7" s="626"/>
      <c r="D7" s="626"/>
      <c r="E7" s="249"/>
      <c r="F7" s="249"/>
      <c r="G7" s="626" t="s">
        <v>159</v>
      </c>
      <c r="H7" s="626"/>
      <c r="I7" s="626"/>
      <c r="J7" s="626"/>
      <c r="K7" s="626"/>
      <c r="Q7" s="250"/>
      <c r="R7" s="251"/>
      <c r="S7" s="248"/>
    </row>
    <row r="8" spans="2:19" x14ac:dyDescent="0.25">
      <c r="B8" s="626" t="s">
        <v>6</v>
      </c>
      <c r="C8" s="626"/>
      <c r="D8" s="626"/>
      <c r="E8" s="249"/>
      <c r="F8" s="249"/>
      <c r="G8" s="626" t="s">
        <v>31</v>
      </c>
      <c r="H8" s="626"/>
      <c r="I8" s="626"/>
      <c r="J8" s="626"/>
      <c r="K8" s="626"/>
      <c r="Q8" s="252"/>
      <c r="R8" s="253"/>
      <c r="S8" s="248"/>
    </row>
    <row r="9" spans="2:19" x14ac:dyDescent="0.25">
      <c r="B9" s="245"/>
      <c r="C9" s="245"/>
      <c r="D9" s="245"/>
      <c r="E9" s="245"/>
      <c r="F9" s="245"/>
      <c r="G9" s="626" t="s">
        <v>6</v>
      </c>
      <c r="H9" s="626"/>
      <c r="I9" s="626"/>
      <c r="J9" s="626"/>
      <c r="K9" s="626"/>
      <c r="Q9" s="252"/>
      <c r="R9" s="253"/>
      <c r="S9" s="248"/>
    </row>
    <row r="10" spans="2:19" x14ac:dyDescent="0.25">
      <c r="B10" s="254"/>
      <c r="C10" s="255" t="s">
        <v>160</v>
      </c>
      <c r="D10" s="256" t="s">
        <v>10</v>
      </c>
      <c r="H10" s="257"/>
      <c r="Q10" s="250"/>
      <c r="R10" s="251"/>
      <c r="S10" s="248"/>
    </row>
    <row r="11" spans="2:19" ht="15.6" x14ac:dyDescent="0.3">
      <c r="B11" s="258" t="s">
        <v>15</v>
      </c>
      <c r="C11" s="259">
        <v>2500</v>
      </c>
      <c r="D11" s="260">
        <v>3000</v>
      </c>
      <c r="E11" s="249"/>
      <c r="G11" s="261" t="s">
        <v>32</v>
      </c>
      <c r="H11" s="262"/>
      <c r="I11" s="262"/>
      <c r="J11" s="263" t="s">
        <v>160</v>
      </c>
      <c r="K11" s="256" t="s">
        <v>10</v>
      </c>
      <c r="Q11" s="252"/>
      <c r="R11" s="253"/>
      <c r="S11" s="248"/>
    </row>
    <row r="12" spans="2:19" x14ac:dyDescent="0.25">
      <c r="B12" s="264" t="s">
        <v>16</v>
      </c>
      <c r="C12" s="265">
        <v>1600</v>
      </c>
      <c r="D12" s="266">
        <v>1900</v>
      </c>
      <c r="E12" s="267"/>
      <c r="G12" s="624" t="s">
        <v>33</v>
      </c>
      <c r="H12" s="624"/>
      <c r="I12" s="624"/>
      <c r="J12" s="268"/>
      <c r="K12" s="269"/>
      <c r="Q12" s="252"/>
      <c r="R12" s="253"/>
      <c r="S12" s="248"/>
    </row>
    <row r="13" spans="2:19" x14ac:dyDescent="0.25">
      <c r="B13" s="264" t="s">
        <v>17</v>
      </c>
      <c r="C13" s="270">
        <f>+C11-C12</f>
        <v>900</v>
      </c>
      <c r="D13" s="271">
        <f>+D11-D12</f>
        <v>1100</v>
      </c>
      <c r="E13" s="267"/>
      <c r="G13" s="624" t="s">
        <v>34</v>
      </c>
      <c r="H13" s="624"/>
      <c r="I13" s="624"/>
      <c r="J13" s="272">
        <v>80</v>
      </c>
      <c r="K13" s="273">
        <v>110</v>
      </c>
      <c r="Q13" s="257"/>
      <c r="R13" s="274"/>
    </row>
    <row r="14" spans="2:19" x14ac:dyDescent="0.25">
      <c r="B14" s="264" t="s">
        <v>18</v>
      </c>
      <c r="C14" s="265">
        <v>145</v>
      </c>
      <c r="D14" s="266">
        <v>165</v>
      </c>
      <c r="E14" s="267"/>
      <c r="G14" s="624" t="s">
        <v>35</v>
      </c>
      <c r="H14" s="624"/>
      <c r="I14" s="624"/>
      <c r="J14" s="272">
        <v>75</v>
      </c>
      <c r="K14" s="273">
        <v>90</v>
      </c>
      <c r="Q14" s="275"/>
      <c r="R14" s="276"/>
    </row>
    <row r="15" spans="2:19" x14ac:dyDescent="0.25">
      <c r="B15" s="264" t="s">
        <v>19</v>
      </c>
      <c r="C15" s="265">
        <v>250</v>
      </c>
      <c r="D15" s="266">
        <v>160</v>
      </c>
      <c r="E15" s="267"/>
      <c r="G15" s="624" t="s">
        <v>36</v>
      </c>
      <c r="H15" s="624"/>
      <c r="I15" s="624"/>
      <c r="J15" s="277">
        <v>200</v>
      </c>
      <c r="K15" s="278">
        <v>235</v>
      </c>
      <c r="Q15" s="257"/>
      <c r="R15" s="274"/>
    </row>
    <row r="16" spans="2:19" x14ac:dyDescent="0.25">
      <c r="B16" s="264" t="s">
        <v>20</v>
      </c>
      <c r="C16" s="265">
        <v>20</v>
      </c>
      <c r="D16" s="266">
        <v>30</v>
      </c>
      <c r="E16" s="267"/>
      <c r="G16" s="624" t="s">
        <v>37</v>
      </c>
      <c r="H16" s="624"/>
      <c r="I16" s="624"/>
      <c r="J16" s="279">
        <v>280</v>
      </c>
      <c r="K16" s="280">
        <v>270</v>
      </c>
      <c r="Q16" s="281"/>
      <c r="R16" s="282"/>
    </row>
    <row r="17" spans="2:22" x14ac:dyDescent="0.25">
      <c r="B17" s="264" t="s">
        <v>21</v>
      </c>
      <c r="C17" s="283">
        <f>+C14+C15+C16</f>
        <v>415</v>
      </c>
      <c r="D17" s="284">
        <f>+D14+D15+D16</f>
        <v>355</v>
      </c>
      <c r="E17" s="267"/>
      <c r="G17" s="627" t="s">
        <v>38</v>
      </c>
      <c r="H17" s="627"/>
      <c r="I17" s="627"/>
      <c r="J17" s="285">
        <f>SUM(J13:J16)</f>
        <v>635</v>
      </c>
      <c r="K17" s="286">
        <f>SUM(K13:K16)</f>
        <v>705</v>
      </c>
      <c r="Q17" s="287"/>
      <c r="R17" s="288"/>
    </row>
    <row r="18" spans="2:22" x14ac:dyDescent="0.25">
      <c r="B18" s="264" t="s">
        <v>22</v>
      </c>
      <c r="C18" s="265">
        <f>+C13-C17</f>
        <v>485</v>
      </c>
      <c r="D18" s="266">
        <f>+D13-D17</f>
        <v>745</v>
      </c>
      <c r="E18" s="267"/>
      <c r="G18" s="624" t="s">
        <v>39</v>
      </c>
      <c r="H18" s="624"/>
      <c r="I18" s="624"/>
      <c r="J18" s="289"/>
      <c r="K18" s="290"/>
      <c r="Q18" s="281"/>
      <c r="R18" s="282"/>
    </row>
    <row r="19" spans="2:22" x14ac:dyDescent="0.25">
      <c r="B19" s="264" t="s">
        <v>23</v>
      </c>
      <c r="C19" s="265">
        <v>40</v>
      </c>
      <c r="D19" s="266">
        <v>50</v>
      </c>
      <c r="E19" s="267"/>
      <c r="G19" s="624" t="s">
        <v>161</v>
      </c>
      <c r="H19" s="624"/>
      <c r="I19" s="624"/>
      <c r="J19" s="291">
        <v>200</v>
      </c>
      <c r="K19" s="292">
        <v>260</v>
      </c>
      <c r="Q19" s="287"/>
      <c r="R19" s="288"/>
    </row>
    <row r="20" spans="2:22" x14ac:dyDescent="0.25">
      <c r="B20" s="264" t="s">
        <v>24</v>
      </c>
      <c r="C20" s="270">
        <f>+C18-C19</f>
        <v>445</v>
      </c>
      <c r="D20" s="293">
        <f>+D18-D19</f>
        <v>695</v>
      </c>
      <c r="E20" s="267"/>
      <c r="G20" s="628" t="s">
        <v>41</v>
      </c>
      <c r="H20" s="628"/>
      <c r="I20" s="628"/>
      <c r="J20" s="294">
        <v>-80</v>
      </c>
      <c r="K20" s="295">
        <v>-95</v>
      </c>
    </row>
    <row r="21" spans="2:22" x14ac:dyDescent="0.25">
      <c r="B21" s="264" t="s">
        <v>25</v>
      </c>
      <c r="C21" s="265">
        <f>+C20*30%</f>
        <v>133.5</v>
      </c>
      <c r="D21" s="266">
        <f>+D20*30%</f>
        <v>208.5</v>
      </c>
      <c r="E21" s="267"/>
      <c r="G21" s="629" t="s">
        <v>42</v>
      </c>
      <c r="H21" s="629"/>
      <c r="I21" s="629"/>
      <c r="J21" s="296">
        <f>SUM(J19:J20)</f>
        <v>120</v>
      </c>
      <c r="K21" s="297">
        <f>SUM(K19:K20)</f>
        <v>165</v>
      </c>
    </row>
    <row r="22" spans="2:22" x14ac:dyDescent="0.25">
      <c r="B22" s="298" t="s">
        <v>27</v>
      </c>
      <c r="C22" s="283">
        <f>+C20-C21</f>
        <v>311.5</v>
      </c>
      <c r="D22" s="284">
        <f>+D20-D21</f>
        <v>486.5</v>
      </c>
      <c r="E22" s="267"/>
      <c r="G22" s="630" t="s">
        <v>43</v>
      </c>
      <c r="H22" s="630"/>
      <c r="I22" s="630"/>
      <c r="J22" s="299">
        <f>+J17+J21</f>
        <v>755</v>
      </c>
      <c r="K22" s="299">
        <f>+K17+K21</f>
        <v>870</v>
      </c>
    </row>
    <row r="23" spans="2:22" x14ac:dyDescent="0.25">
      <c r="D23" s="300"/>
      <c r="F23" s="300"/>
      <c r="J23" s="301"/>
      <c r="K23" s="302"/>
    </row>
    <row r="24" spans="2:22" ht="15.6" x14ac:dyDescent="0.3">
      <c r="D24" s="300"/>
      <c r="F24" s="300"/>
      <c r="G24" s="631" t="s">
        <v>44</v>
      </c>
      <c r="H24" s="631"/>
      <c r="I24" s="631"/>
      <c r="J24" s="254"/>
      <c r="K24" s="303"/>
    </row>
    <row r="25" spans="2:22" x14ac:dyDescent="0.25">
      <c r="G25" s="624" t="s">
        <v>45</v>
      </c>
      <c r="H25" s="624"/>
      <c r="I25" s="624"/>
      <c r="J25" s="301"/>
      <c r="K25" s="269"/>
    </row>
    <row r="26" spans="2:22" ht="17.399999999999999" x14ac:dyDescent="0.3">
      <c r="G26" s="624" t="s">
        <v>46</v>
      </c>
      <c r="H26" s="624"/>
      <c r="I26" s="624"/>
      <c r="J26" s="272"/>
      <c r="K26" s="273"/>
      <c r="M26" s="304"/>
      <c r="N26" s="304"/>
      <c r="O26" s="249"/>
      <c r="P26" s="249"/>
      <c r="Q26" s="249"/>
      <c r="R26" s="249"/>
      <c r="S26" s="249"/>
      <c r="T26" s="249"/>
      <c r="U26" s="249"/>
      <c r="V26" s="249"/>
    </row>
    <row r="27" spans="2:22" ht="13.8" customHeight="1" x14ac:dyDescent="0.3">
      <c r="G27" s="624" t="s">
        <v>47</v>
      </c>
      <c r="H27" s="624"/>
      <c r="I27" s="624"/>
      <c r="J27" s="272">
        <v>170</v>
      </c>
      <c r="K27" s="273">
        <v>200</v>
      </c>
      <c r="M27" s="304"/>
      <c r="N27" s="304"/>
      <c r="O27" s="249"/>
      <c r="P27" s="249"/>
      <c r="Q27" s="249"/>
      <c r="R27" s="249"/>
      <c r="S27" s="249"/>
      <c r="T27" s="249"/>
      <c r="U27" s="249"/>
      <c r="V27" s="249"/>
    </row>
    <row r="28" spans="2:22" x14ac:dyDescent="0.25">
      <c r="G28" s="624" t="s">
        <v>48</v>
      </c>
      <c r="H28" s="624"/>
      <c r="I28" s="624"/>
      <c r="J28" s="272">
        <v>200</v>
      </c>
      <c r="K28" s="273">
        <v>240</v>
      </c>
      <c r="O28" s="249"/>
      <c r="P28" s="249"/>
      <c r="Q28" s="249"/>
      <c r="R28" s="249"/>
      <c r="S28" s="249"/>
      <c r="T28" s="249"/>
      <c r="U28" s="249"/>
      <c r="V28" s="249"/>
    </row>
    <row r="29" spans="2:22" x14ac:dyDescent="0.25">
      <c r="G29" s="624" t="s">
        <v>49</v>
      </c>
      <c r="H29" s="624"/>
      <c r="I29" s="624"/>
      <c r="J29" s="279">
        <v>45</v>
      </c>
      <c r="K29" s="280">
        <v>55</v>
      </c>
      <c r="O29" s="249"/>
      <c r="P29" s="249"/>
      <c r="Q29" s="249"/>
      <c r="R29" s="249"/>
      <c r="S29" s="249"/>
      <c r="T29" s="249"/>
      <c r="U29" s="249"/>
      <c r="V29" s="249"/>
    </row>
    <row r="30" spans="2:22" x14ac:dyDescent="0.25">
      <c r="G30" s="629" t="s">
        <v>50</v>
      </c>
      <c r="H30" s="629"/>
      <c r="I30" s="629"/>
      <c r="J30" s="285">
        <f>SUM(J27:J29)</f>
        <v>415</v>
      </c>
      <c r="K30" s="305">
        <f>SUM(K27:K29)</f>
        <v>495</v>
      </c>
      <c r="T30" s="245"/>
      <c r="U30" s="245"/>
      <c r="V30" s="249"/>
    </row>
    <row r="31" spans="2:22" ht="15.6" x14ac:dyDescent="0.3">
      <c r="G31" s="624" t="s">
        <v>51</v>
      </c>
      <c r="H31" s="624"/>
      <c r="I31" s="624"/>
      <c r="J31" s="306"/>
      <c r="K31" s="307"/>
      <c r="O31" s="308"/>
      <c r="R31" s="245"/>
      <c r="S31" s="245"/>
      <c r="T31" s="245"/>
      <c r="U31" s="245"/>
      <c r="V31" s="245"/>
    </row>
    <row r="32" spans="2:22" x14ac:dyDescent="0.25">
      <c r="G32" s="633" t="s">
        <v>52</v>
      </c>
      <c r="H32" s="633"/>
      <c r="I32" s="633"/>
      <c r="J32" s="309">
        <v>50</v>
      </c>
      <c r="K32" s="310">
        <v>45</v>
      </c>
      <c r="R32" s="246"/>
    </row>
    <row r="33" spans="2:22" x14ac:dyDescent="0.25">
      <c r="G33" s="311" t="s">
        <v>162</v>
      </c>
      <c r="J33" s="291">
        <f>+J32</f>
        <v>50</v>
      </c>
      <c r="K33" s="292">
        <f>+K32</f>
        <v>45</v>
      </c>
      <c r="R33" s="312"/>
      <c r="S33" s="312"/>
      <c r="T33" s="313"/>
      <c r="U33" s="314"/>
      <c r="V33" s="314"/>
    </row>
    <row r="34" spans="2:22" x14ac:dyDescent="0.25">
      <c r="G34" s="634" t="s">
        <v>53</v>
      </c>
      <c r="H34" s="634"/>
      <c r="I34" s="634"/>
      <c r="J34" s="315">
        <f>+J30+J33</f>
        <v>465</v>
      </c>
      <c r="K34" s="316">
        <f>+K30+K33</f>
        <v>540</v>
      </c>
      <c r="R34" s="312"/>
      <c r="S34" s="312"/>
      <c r="T34" s="313"/>
      <c r="U34" s="314"/>
      <c r="V34" s="314"/>
    </row>
    <row r="35" spans="2:22" x14ac:dyDescent="0.25">
      <c r="G35" s="311"/>
      <c r="J35" s="317"/>
      <c r="K35" s="318"/>
      <c r="R35" s="319"/>
      <c r="S35" s="319"/>
      <c r="T35" s="313"/>
      <c r="U35" s="314"/>
      <c r="V35" s="314"/>
    </row>
    <row r="36" spans="2:22" ht="15.6" x14ac:dyDescent="0.25">
      <c r="G36" s="635" t="s">
        <v>54</v>
      </c>
      <c r="H36" s="635"/>
      <c r="I36" s="635"/>
      <c r="J36" s="320"/>
      <c r="K36" s="321"/>
      <c r="M36" s="322"/>
      <c r="R36" s="312"/>
      <c r="S36" s="312"/>
      <c r="T36" s="313"/>
      <c r="U36" s="314"/>
      <c r="V36" s="314"/>
    </row>
    <row r="37" spans="2:22" x14ac:dyDescent="0.25">
      <c r="G37" s="636" t="s">
        <v>55</v>
      </c>
      <c r="H37" s="636"/>
      <c r="I37" s="636"/>
      <c r="J37" s="317">
        <v>40</v>
      </c>
      <c r="K37" s="318">
        <v>40</v>
      </c>
      <c r="O37" s="323"/>
      <c r="P37" s="323"/>
      <c r="Q37" s="323"/>
      <c r="R37" s="324"/>
      <c r="S37" s="325"/>
      <c r="T37" s="326"/>
      <c r="U37" s="327"/>
      <c r="V37" s="327"/>
    </row>
    <row r="38" spans="2:22" x14ac:dyDescent="0.25">
      <c r="G38" s="637" t="s">
        <v>56</v>
      </c>
      <c r="H38" s="637"/>
      <c r="I38" s="637"/>
      <c r="J38" s="317">
        <v>50</v>
      </c>
      <c r="K38" s="318">
        <v>50</v>
      </c>
      <c r="R38" s="312"/>
      <c r="S38" s="312"/>
      <c r="T38" s="313"/>
      <c r="U38" s="314"/>
      <c r="V38" s="282"/>
    </row>
    <row r="39" spans="2:22" x14ac:dyDescent="0.25">
      <c r="G39" s="633" t="s">
        <v>57</v>
      </c>
      <c r="H39" s="633"/>
      <c r="I39" s="633"/>
      <c r="J39" s="309">
        <v>200</v>
      </c>
      <c r="K39" s="310">
        <v>240</v>
      </c>
      <c r="R39" s="313"/>
      <c r="S39" s="313"/>
      <c r="T39" s="313"/>
      <c r="U39" s="314"/>
      <c r="V39" s="314"/>
    </row>
    <row r="40" spans="2:22" x14ac:dyDescent="0.25">
      <c r="G40" s="638" t="s">
        <v>58</v>
      </c>
      <c r="H40" s="638"/>
      <c r="I40" s="638"/>
      <c r="J40" s="328">
        <f>SUM(J37:J39)</f>
        <v>290</v>
      </c>
      <c r="K40" s="329">
        <f>SUM(K37:K39)</f>
        <v>330</v>
      </c>
      <c r="O40" s="330"/>
      <c r="P40" s="330"/>
      <c r="Q40" s="330"/>
      <c r="R40" s="331"/>
      <c r="S40" s="331"/>
      <c r="T40" s="331"/>
      <c r="U40" s="314"/>
      <c r="V40" s="314"/>
    </row>
    <row r="41" spans="2:22" x14ac:dyDescent="0.25">
      <c r="G41" s="632"/>
      <c r="H41" s="632"/>
      <c r="I41" s="632"/>
      <c r="J41" s="332"/>
      <c r="K41" s="333"/>
      <c r="O41" s="249"/>
      <c r="P41" s="249"/>
      <c r="Q41" s="249"/>
      <c r="R41" s="326"/>
      <c r="S41" s="326"/>
      <c r="T41" s="313"/>
      <c r="U41" s="314"/>
      <c r="V41" s="314"/>
    </row>
    <row r="42" spans="2:22" x14ac:dyDescent="0.25">
      <c r="G42" s="639" t="s">
        <v>59</v>
      </c>
      <c r="H42" s="639"/>
      <c r="I42" s="639"/>
      <c r="J42" s="334">
        <f>+J34+J40</f>
        <v>755</v>
      </c>
      <c r="K42" s="335">
        <f>+K34+K40</f>
        <v>870</v>
      </c>
      <c r="O42" s="249"/>
      <c r="P42" s="249"/>
      <c r="Q42" s="249"/>
      <c r="R42" s="326"/>
      <c r="S42" s="326"/>
      <c r="T42" s="313"/>
      <c r="U42" s="314"/>
      <c r="V42" s="314"/>
    </row>
    <row r="43" spans="2:22" x14ac:dyDescent="0.25">
      <c r="G43" s="336"/>
      <c r="H43" s="326"/>
      <c r="I43" s="337"/>
      <c r="J43" s="338"/>
      <c r="K43" s="336"/>
      <c r="T43" s="313"/>
      <c r="U43" s="314"/>
      <c r="V43" s="282"/>
    </row>
    <row r="44" spans="2:22" x14ac:dyDescent="0.25">
      <c r="G44" s="282"/>
      <c r="H44" s="312"/>
      <c r="I44" s="282"/>
      <c r="K44" s="282"/>
      <c r="O44" s="267"/>
      <c r="P44" s="267"/>
      <c r="Q44" s="267"/>
      <c r="R44" s="312"/>
      <c r="S44" s="312"/>
      <c r="T44" s="313"/>
      <c r="U44" s="314"/>
      <c r="V44" s="314"/>
    </row>
    <row r="45" spans="2:22" x14ac:dyDescent="0.25">
      <c r="G45" s="282"/>
      <c r="H45" s="312"/>
      <c r="I45" s="282"/>
      <c r="J45" s="282"/>
      <c r="K45" s="282"/>
      <c r="O45" s="311"/>
      <c r="P45" s="311"/>
      <c r="Q45" s="311"/>
      <c r="R45" s="324"/>
      <c r="S45" s="324"/>
      <c r="T45" s="313"/>
      <c r="U45" s="314"/>
      <c r="V45" s="314"/>
    </row>
    <row r="46" spans="2:22" x14ac:dyDescent="0.25">
      <c r="B46" s="311"/>
      <c r="C46" s="249"/>
      <c r="D46" s="324"/>
      <c r="E46" s="288"/>
      <c r="F46" s="288"/>
      <c r="G46" s="288"/>
      <c r="H46" s="324"/>
      <c r="I46" s="288"/>
      <c r="J46" s="288"/>
      <c r="K46" s="288"/>
      <c r="O46" s="311"/>
      <c r="P46" s="311"/>
      <c r="Q46" s="311"/>
      <c r="R46" s="324"/>
      <c r="S46" s="324"/>
      <c r="T46" s="326"/>
      <c r="U46" s="327"/>
      <c r="V46" s="327"/>
    </row>
    <row r="47" spans="2:22" x14ac:dyDescent="0.25">
      <c r="B47" s="311"/>
      <c r="D47" s="324"/>
      <c r="E47" s="327"/>
      <c r="F47" s="339"/>
      <c r="G47" s="340"/>
      <c r="H47" s="324"/>
      <c r="I47" s="327"/>
      <c r="J47" s="339"/>
      <c r="K47" s="340"/>
    </row>
    <row r="50" spans="2:19" ht="14.4" thickBot="1" x14ac:dyDescent="0.3"/>
    <row r="51" spans="2:19" ht="30.6" thickBot="1" x14ac:dyDescent="0.55000000000000004">
      <c r="B51" s="640" t="s">
        <v>163</v>
      </c>
      <c r="C51" s="641"/>
      <c r="D51" s="641"/>
      <c r="E51" s="641"/>
      <c r="F51" s="641"/>
      <c r="G51" s="641"/>
      <c r="H51" s="641"/>
      <c r="I51" s="641"/>
      <c r="J51" s="641"/>
      <c r="K51" s="641"/>
      <c r="L51" s="641"/>
      <c r="M51" s="641"/>
      <c r="N51" s="641"/>
      <c r="O51" s="641"/>
      <c r="P51" s="641"/>
      <c r="Q51" s="641"/>
      <c r="R51" s="641"/>
      <c r="S51" s="642"/>
    </row>
    <row r="52" spans="2:19" ht="30" customHeight="1" x14ac:dyDescent="0.25">
      <c r="B52" s="643" t="s">
        <v>164</v>
      </c>
      <c r="C52" s="643"/>
      <c r="D52" s="643"/>
      <c r="E52" s="643"/>
      <c r="F52" s="643"/>
      <c r="G52" s="643"/>
      <c r="H52" s="643"/>
      <c r="I52" s="643"/>
      <c r="J52" s="643"/>
      <c r="K52" s="643"/>
      <c r="L52" s="644" t="s">
        <v>165</v>
      </c>
      <c r="M52" s="644"/>
      <c r="N52" s="644"/>
      <c r="O52" s="645" t="s">
        <v>166</v>
      </c>
      <c r="P52" s="644" t="s">
        <v>8</v>
      </c>
      <c r="Q52" s="644"/>
      <c r="R52" s="644"/>
      <c r="S52" s="645" t="s">
        <v>167</v>
      </c>
    </row>
    <row r="53" spans="2:19" ht="17.399999999999999" x14ac:dyDescent="0.3">
      <c r="B53" s="647" t="s">
        <v>168</v>
      </c>
      <c r="C53" s="648"/>
      <c r="D53" s="648"/>
      <c r="E53" s="648"/>
      <c r="F53" s="648"/>
      <c r="G53" s="648"/>
      <c r="H53" s="648"/>
      <c r="I53" s="648"/>
      <c r="J53" s="648"/>
      <c r="K53" s="649"/>
      <c r="L53" s="643"/>
      <c r="M53" s="643"/>
      <c r="N53" s="643"/>
      <c r="O53" s="646"/>
      <c r="P53" s="643"/>
      <c r="Q53" s="643"/>
      <c r="R53" s="643"/>
      <c r="S53" s="646"/>
    </row>
    <row r="54" spans="2:19" x14ac:dyDescent="0.25">
      <c r="B54" s="254"/>
      <c r="C54" s="341"/>
      <c r="D54" s="341"/>
      <c r="E54" s="341"/>
      <c r="F54" s="341"/>
      <c r="G54" s="341"/>
      <c r="H54" s="341"/>
      <c r="I54" s="341"/>
      <c r="J54" s="341"/>
      <c r="K54" s="341"/>
      <c r="L54" s="341"/>
      <c r="M54" s="341"/>
      <c r="N54" s="341"/>
      <c r="O54" s="342"/>
      <c r="P54" s="341"/>
      <c r="Q54" s="341"/>
      <c r="R54" s="341"/>
      <c r="S54" s="343"/>
    </row>
    <row r="55" spans="2:19" x14ac:dyDescent="0.25">
      <c r="B55" s="344" t="s">
        <v>169</v>
      </c>
      <c r="O55" s="345"/>
      <c r="S55" s="346"/>
    </row>
    <row r="56" spans="2:19" ht="15" customHeight="1" x14ac:dyDescent="0.25">
      <c r="B56" s="653" t="s">
        <v>170</v>
      </c>
      <c r="C56" s="654"/>
      <c r="D56" s="654"/>
      <c r="E56" s="654"/>
      <c r="G56" s="655" t="s">
        <v>171</v>
      </c>
      <c r="H56" s="655"/>
      <c r="I56" s="655"/>
      <c r="J56" s="244" t="s">
        <v>172</v>
      </c>
      <c r="L56" s="347">
        <f>J17</f>
        <v>635</v>
      </c>
      <c r="M56" s="246" t="s">
        <v>173</v>
      </c>
      <c r="N56" s="348">
        <f>L56/L57</f>
        <v>1.5301204819277108</v>
      </c>
      <c r="O56" s="345">
        <v>1.6</v>
      </c>
      <c r="P56" s="347">
        <f>K17</f>
        <v>705</v>
      </c>
      <c r="Q56" s="246" t="s">
        <v>173</v>
      </c>
      <c r="R56" s="348">
        <f>P56/P57</f>
        <v>1.4242424242424243</v>
      </c>
      <c r="S56" s="346">
        <v>1.5</v>
      </c>
    </row>
    <row r="57" spans="2:19" x14ac:dyDescent="0.25">
      <c r="B57" s="653"/>
      <c r="C57" s="654"/>
      <c r="D57" s="654"/>
      <c r="E57" s="654"/>
      <c r="H57" s="246" t="s">
        <v>174</v>
      </c>
      <c r="I57" s="246"/>
      <c r="L57" s="349">
        <f>J30</f>
        <v>415</v>
      </c>
      <c r="M57" s="246"/>
      <c r="N57" s="246"/>
      <c r="O57" s="345"/>
      <c r="P57" s="349">
        <f>K30</f>
        <v>495</v>
      </c>
      <c r="Q57" s="246"/>
      <c r="R57" s="752"/>
      <c r="S57" s="346"/>
    </row>
    <row r="58" spans="2:19" x14ac:dyDescent="0.25">
      <c r="B58" s="653"/>
      <c r="C58" s="654"/>
      <c r="D58" s="654"/>
      <c r="E58" s="654"/>
      <c r="L58" s="246"/>
      <c r="M58" s="246"/>
      <c r="N58" s="246"/>
      <c r="O58" s="345"/>
      <c r="P58" s="246"/>
      <c r="Q58" s="246"/>
      <c r="R58" s="752"/>
      <c r="S58" s="346"/>
    </row>
    <row r="59" spans="2:19" x14ac:dyDescent="0.25">
      <c r="B59" s="301"/>
      <c r="L59" s="246"/>
      <c r="M59" s="246"/>
      <c r="N59" s="246"/>
      <c r="O59" s="345"/>
      <c r="P59" s="246"/>
      <c r="Q59" s="246"/>
      <c r="R59" s="752"/>
      <c r="S59" s="346"/>
    </row>
    <row r="60" spans="2:19" x14ac:dyDescent="0.25">
      <c r="B60" s="344" t="s">
        <v>175</v>
      </c>
      <c r="L60" s="246"/>
      <c r="M60" s="246"/>
      <c r="N60" s="246"/>
      <c r="O60" s="345"/>
      <c r="P60" s="246"/>
      <c r="Q60" s="246"/>
      <c r="R60" s="752"/>
      <c r="S60" s="346"/>
    </row>
    <row r="61" spans="2:19" x14ac:dyDescent="0.25">
      <c r="B61" s="656" t="s">
        <v>176</v>
      </c>
      <c r="C61" s="657"/>
      <c r="D61" s="657"/>
      <c r="E61" s="657"/>
      <c r="G61" s="655" t="s">
        <v>177</v>
      </c>
      <c r="H61" s="655"/>
      <c r="I61" s="655"/>
      <c r="J61" s="244" t="s">
        <v>172</v>
      </c>
      <c r="L61" s="347">
        <f>J17-J16</f>
        <v>355</v>
      </c>
      <c r="M61" s="246" t="s">
        <v>173</v>
      </c>
      <c r="N61" s="348">
        <f>L61/L62</f>
        <v>0.85542168674698793</v>
      </c>
      <c r="O61" s="350">
        <v>1.1000000000000001</v>
      </c>
      <c r="P61" s="347">
        <f>J17-J16</f>
        <v>355</v>
      </c>
      <c r="Q61" s="246" t="s">
        <v>173</v>
      </c>
      <c r="R61" s="348">
        <f t="shared" ref="R57:R100" si="0">P61/P62</f>
        <v>0.71717171717171713</v>
      </c>
      <c r="S61" s="351">
        <v>1</v>
      </c>
    </row>
    <row r="62" spans="2:19" x14ac:dyDescent="0.25">
      <c r="B62" s="656"/>
      <c r="C62" s="657"/>
      <c r="D62" s="657"/>
      <c r="E62" s="657"/>
      <c r="G62" s="658" t="s">
        <v>174</v>
      </c>
      <c r="H62" s="658"/>
      <c r="I62" s="658"/>
      <c r="L62" s="349">
        <f>J30</f>
        <v>415</v>
      </c>
      <c r="M62" s="246"/>
      <c r="N62" s="246"/>
      <c r="O62" s="345"/>
      <c r="P62" s="349">
        <f>K30</f>
        <v>495</v>
      </c>
      <c r="Q62" s="246"/>
      <c r="R62" s="752"/>
      <c r="S62" s="346"/>
    </row>
    <row r="63" spans="2:19" x14ac:dyDescent="0.25">
      <c r="B63" s="656"/>
      <c r="C63" s="657"/>
      <c r="D63" s="657"/>
      <c r="E63" s="657"/>
      <c r="O63" s="345"/>
      <c r="R63" s="752"/>
      <c r="S63" s="346"/>
    </row>
    <row r="64" spans="2:19" x14ac:dyDescent="0.25">
      <c r="B64" s="301"/>
      <c r="O64" s="345"/>
      <c r="R64" s="752"/>
      <c r="S64" s="346"/>
    </row>
    <row r="65" spans="2:19" ht="29.25" customHeight="1" x14ac:dyDescent="0.25">
      <c r="B65" s="352" t="s">
        <v>178</v>
      </c>
      <c r="G65" s="659" t="s">
        <v>179</v>
      </c>
      <c r="H65" s="659"/>
      <c r="I65" s="659"/>
      <c r="J65" s="244" t="s">
        <v>172</v>
      </c>
      <c r="L65" s="353">
        <f>C12</f>
        <v>1600</v>
      </c>
      <c r="M65" s="246" t="s">
        <v>173</v>
      </c>
      <c r="N65" s="348">
        <f>L65/L66</f>
        <v>5.7142857142857144</v>
      </c>
      <c r="O65" s="345">
        <v>9</v>
      </c>
      <c r="P65" s="353">
        <f>D12</f>
        <v>1900</v>
      </c>
      <c r="Q65" s="246" t="s">
        <v>173</v>
      </c>
      <c r="R65" s="348">
        <f t="shared" si="0"/>
        <v>6.7857142857142856</v>
      </c>
      <c r="S65" s="346">
        <v>10</v>
      </c>
    </row>
    <row r="66" spans="2:19" x14ac:dyDescent="0.25">
      <c r="B66" s="301" t="s">
        <v>180</v>
      </c>
      <c r="G66" s="658" t="s">
        <v>181</v>
      </c>
      <c r="H66" s="658"/>
      <c r="I66" s="658"/>
      <c r="L66" s="313">
        <f>J16</f>
        <v>280</v>
      </c>
      <c r="O66" s="345"/>
      <c r="P66" s="313">
        <f>J16</f>
        <v>280</v>
      </c>
      <c r="R66" s="752"/>
      <c r="S66" s="269"/>
    </row>
    <row r="67" spans="2:19" x14ac:dyDescent="0.25">
      <c r="B67" s="301"/>
      <c r="O67" s="345"/>
      <c r="R67" s="752"/>
      <c r="S67" s="269"/>
    </row>
    <row r="68" spans="2:19" ht="39" customHeight="1" x14ac:dyDescent="0.25">
      <c r="B68" s="344" t="s">
        <v>182</v>
      </c>
      <c r="G68" s="659" t="s">
        <v>36</v>
      </c>
      <c r="H68" s="659"/>
      <c r="I68" s="659"/>
      <c r="J68" s="246" t="s">
        <v>183</v>
      </c>
      <c r="L68" s="354">
        <f>J15</f>
        <v>200</v>
      </c>
      <c r="M68" s="246" t="s">
        <v>173</v>
      </c>
      <c r="N68" s="355">
        <f>L68/L69</f>
        <v>29.2</v>
      </c>
      <c r="O68" s="345">
        <v>32</v>
      </c>
      <c r="P68" s="354">
        <f>K15</f>
        <v>235</v>
      </c>
      <c r="Q68" s="246" t="s">
        <v>173</v>
      </c>
      <c r="R68" s="348">
        <f t="shared" si="0"/>
        <v>28.591666666666665</v>
      </c>
      <c r="S68" s="346">
        <v>30</v>
      </c>
    </row>
    <row r="69" spans="2:19" x14ac:dyDescent="0.25">
      <c r="B69" s="650" t="s">
        <v>184</v>
      </c>
      <c r="C69" s="651"/>
      <c r="D69" s="651"/>
      <c r="E69" s="651"/>
      <c r="G69" s="658" t="s">
        <v>185</v>
      </c>
      <c r="H69" s="658"/>
      <c r="I69" s="658"/>
      <c r="L69" s="358">
        <f>C11/365</f>
        <v>6.8493150684931505</v>
      </c>
      <c r="O69" s="345"/>
      <c r="P69" s="358">
        <f>D11/365</f>
        <v>8.2191780821917817</v>
      </c>
      <c r="R69" s="752"/>
      <c r="S69" s="269"/>
    </row>
    <row r="70" spans="2:19" x14ac:dyDescent="0.25">
      <c r="B70" s="650"/>
      <c r="C70" s="651"/>
      <c r="D70" s="651"/>
      <c r="E70" s="651"/>
      <c r="O70" s="345"/>
      <c r="R70" s="752"/>
      <c r="S70" s="269"/>
    </row>
    <row r="71" spans="2:19" x14ac:dyDescent="0.25">
      <c r="B71" s="356"/>
      <c r="C71" s="357"/>
      <c r="D71" s="357"/>
      <c r="E71" s="357"/>
      <c r="O71" s="345"/>
      <c r="R71" s="752"/>
      <c r="S71" s="269"/>
    </row>
    <row r="72" spans="2:19" ht="39" customHeight="1" x14ac:dyDescent="0.25">
      <c r="B72" s="344" t="s">
        <v>186</v>
      </c>
      <c r="G72" s="659" t="s">
        <v>47</v>
      </c>
      <c r="H72" s="659"/>
      <c r="I72" s="659"/>
      <c r="J72" s="246" t="s">
        <v>183</v>
      </c>
      <c r="L72" s="354">
        <f>J27</f>
        <v>170</v>
      </c>
      <c r="M72" s="246" t="s">
        <v>173</v>
      </c>
      <c r="N72" s="355">
        <f>L72/L73</f>
        <v>24.82</v>
      </c>
      <c r="O72" s="345">
        <v>30</v>
      </c>
      <c r="P72" s="354">
        <f>K27</f>
        <v>200</v>
      </c>
      <c r="Q72" s="246" t="s">
        <v>173</v>
      </c>
      <c r="R72" s="348">
        <f t="shared" si="0"/>
        <v>24.333333333333332</v>
      </c>
      <c r="S72" s="346">
        <v>35</v>
      </c>
    </row>
    <row r="73" spans="2:19" x14ac:dyDescent="0.25">
      <c r="B73" s="650" t="s">
        <v>187</v>
      </c>
      <c r="C73" s="651"/>
      <c r="D73" s="651"/>
      <c r="E73" s="651"/>
      <c r="G73" s="652" t="s">
        <v>185</v>
      </c>
      <c r="H73" s="652"/>
      <c r="I73" s="652"/>
      <c r="L73" s="358">
        <f>L69</f>
        <v>6.8493150684931505</v>
      </c>
      <c r="O73" s="345"/>
      <c r="P73" s="358">
        <f>P69</f>
        <v>8.2191780821917817</v>
      </c>
      <c r="R73" s="752"/>
      <c r="S73" s="269"/>
    </row>
    <row r="74" spans="2:19" x14ac:dyDescent="0.25">
      <c r="B74" s="650"/>
      <c r="C74" s="651"/>
      <c r="D74" s="651"/>
      <c r="E74" s="651"/>
      <c r="O74" s="345"/>
      <c r="R74" s="752"/>
      <c r="S74" s="269"/>
    </row>
    <row r="75" spans="2:19" x14ac:dyDescent="0.25">
      <c r="B75" s="301"/>
      <c r="O75" s="345"/>
      <c r="R75" s="752"/>
      <c r="S75" s="269"/>
    </row>
    <row r="76" spans="2:19" x14ac:dyDescent="0.25">
      <c r="B76" s="344" t="s">
        <v>188</v>
      </c>
      <c r="G76" s="655" t="s">
        <v>189</v>
      </c>
      <c r="H76" s="655"/>
      <c r="I76" s="655"/>
      <c r="J76" s="244" t="s">
        <v>172</v>
      </c>
      <c r="L76" s="353">
        <f>C11</f>
        <v>2500</v>
      </c>
      <c r="M76" s="246" t="s">
        <v>173</v>
      </c>
      <c r="N76" s="355">
        <f>L76/L77</f>
        <v>3.3112582781456954</v>
      </c>
      <c r="O76" s="345">
        <v>3.5</v>
      </c>
      <c r="P76" s="353">
        <f>D11</f>
        <v>3000</v>
      </c>
      <c r="Q76" s="246" t="s">
        <v>173</v>
      </c>
      <c r="R76" s="348">
        <f t="shared" si="0"/>
        <v>3.4482758620689653</v>
      </c>
      <c r="S76" s="346">
        <v>3.5</v>
      </c>
    </row>
    <row r="77" spans="2:19" x14ac:dyDescent="0.25">
      <c r="B77" s="650" t="s">
        <v>190</v>
      </c>
      <c r="C77" s="651"/>
      <c r="D77" s="651"/>
      <c r="E77" s="651"/>
      <c r="G77" s="658" t="s">
        <v>191</v>
      </c>
      <c r="H77" s="658"/>
      <c r="I77" s="658"/>
      <c r="L77" s="313">
        <f>J22</f>
        <v>755</v>
      </c>
      <c r="P77" s="313">
        <f>K22</f>
        <v>870</v>
      </c>
      <c r="R77" s="752"/>
      <c r="S77" s="269"/>
    </row>
    <row r="78" spans="2:19" x14ac:dyDescent="0.25">
      <c r="B78" s="660"/>
      <c r="C78" s="661"/>
      <c r="D78" s="661"/>
      <c r="E78" s="661"/>
      <c r="F78" s="359"/>
      <c r="G78" s="359"/>
      <c r="H78" s="359"/>
      <c r="I78" s="359"/>
      <c r="J78" s="359"/>
      <c r="K78" s="359"/>
      <c r="L78" s="359"/>
      <c r="M78" s="359"/>
      <c r="N78" s="359"/>
      <c r="O78" s="359"/>
      <c r="P78" s="359"/>
      <c r="Q78" s="359"/>
      <c r="R78" s="752"/>
      <c r="S78" s="360"/>
    </row>
    <row r="79" spans="2:19" x14ac:dyDescent="0.25">
      <c r="R79" s="752"/>
    </row>
    <row r="80" spans="2:19" ht="17.399999999999999" x14ac:dyDescent="0.3">
      <c r="B80" s="662" t="s">
        <v>192</v>
      </c>
      <c r="C80" s="663"/>
      <c r="D80" s="663"/>
      <c r="E80" s="663"/>
      <c r="F80" s="663"/>
      <c r="G80" s="663"/>
      <c r="H80" s="663"/>
      <c r="I80" s="663"/>
      <c r="J80" s="663"/>
      <c r="K80" s="663"/>
      <c r="L80" s="341"/>
      <c r="M80" s="341"/>
      <c r="N80" s="341"/>
      <c r="O80" s="341"/>
      <c r="P80" s="341"/>
      <c r="Q80" s="341"/>
      <c r="R80" s="752"/>
      <c r="S80" s="303"/>
    </row>
    <row r="81" spans="2:19" x14ac:dyDescent="0.25">
      <c r="B81" s="301"/>
      <c r="R81" s="752"/>
      <c r="S81" s="269"/>
    </row>
    <row r="82" spans="2:19" x14ac:dyDescent="0.25">
      <c r="B82" s="344" t="s">
        <v>193</v>
      </c>
      <c r="R82" s="752"/>
      <c r="S82" s="269"/>
    </row>
    <row r="83" spans="2:19" ht="14.25" customHeight="1" x14ac:dyDescent="0.25">
      <c r="B83" s="650" t="s">
        <v>194</v>
      </c>
      <c r="C83" s="651"/>
      <c r="D83" s="651"/>
      <c r="E83" s="651"/>
      <c r="G83" s="655" t="s">
        <v>195</v>
      </c>
      <c r="H83" s="655"/>
      <c r="I83" s="655"/>
      <c r="J83" s="244" t="s">
        <v>196</v>
      </c>
      <c r="L83" s="354">
        <f>J34</f>
        <v>465</v>
      </c>
      <c r="M83" s="246" t="s">
        <v>173</v>
      </c>
      <c r="N83" s="361">
        <f>L83/L84</f>
        <v>0.61589403973509937</v>
      </c>
      <c r="O83" s="362">
        <v>0.55000000000000004</v>
      </c>
      <c r="P83" s="354">
        <f>K34</f>
        <v>540</v>
      </c>
      <c r="Q83" s="246" t="s">
        <v>173</v>
      </c>
      <c r="R83" s="753">
        <f t="shared" si="0"/>
        <v>0.62068965517241381</v>
      </c>
      <c r="S83" s="363">
        <v>0.52</v>
      </c>
    </row>
    <row r="84" spans="2:19" x14ac:dyDescent="0.25">
      <c r="B84" s="660"/>
      <c r="C84" s="661"/>
      <c r="D84" s="661"/>
      <c r="E84" s="661"/>
      <c r="F84" s="359"/>
      <c r="G84" s="664" t="s">
        <v>191</v>
      </c>
      <c r="H84" s="664"/>
      <c r="I84" s="664"/>
      <c r="J84" s="359"/>
      <c r="K84" s="359"/>
      <c r="L84" s="354">
        <f>J22</f>
        <v>755</v>
      </c>
      <c r="M84" s="359"/>
      <c r="N84" s="359"/>
      <c r="O84" s="364"/>
      <c r="P84" s="354">
        <f>K22</f>
        <v>870</v>
      </c>
      <c r="Q84" s="359"/>
      <c r="R84" s="754"/>
      <c r="S84" s="360"/>
    </row>
    <row r="85" spans="2:19" x14ac:dyDescent="0.25">
      <c r="O85" s="345"/>
      <c r="R85" s="754"/>
    </row>
    <row r="86" spans="2:19" ht="17.399999999999999" x14ac:dyDescent="0.3">
      <c r="B86" s="365" t="s">
        <v>197</v>
      </c>
      <c r="C86" s="341"/>
      <c r="D86" s="341"/>
      <c r="E86" s="341"/>
      <c r="F86" s="341"/>
      <c r="G86" s="341"/>
      <c r="H86" s="341"/>
      <c r="I86" s="341"/>
      <c r="J86" s="341"/>
      <c r="K86" s="341"/>
      <c r="L86" s="341"/>
      <c r="M86" s="341"/>
      <c r="N86" s="341"/>
      <c r="O86" s="342"/>
      <c r="P86" s="341"/>
      <c r="Q86" s="341"/>
      <c r="R86" s="754"/>
      <c r="S86" s="303"/>
    </row>
    <row r="87" spans="2:19" x14ac:dyDescent="0.25">
      <c r="B87" s="301"/>
      <c r="O87" s="345"/>
      <c r="R87" s="754"/>
      <c r="S87" s="269"/>
    </row>
    <row r="88" spans="2:19" x14ac:dyDescent="0.25">
      <c r="B88" s="344" t="s">
        <v>198</v>
      </c>
      <c r="G88" s="655" t="s">
        <v>199</v>
      </c>
      <c r="H88" s="655"/>
      <c r="I88" s="655"/>
      <c r="J88" s="244" t="s">
        <v>196</v>
      </c>
      <c r="L88" s="353">
        <f>C18</f>
        <v>485</v>
      </c>
      <c r="M88" s="246" t="s">
        <v>173</v>
      </c>
      <c r="N88" s="366">
        <f>L88/L89</f>
        <v>0.19400000000000001</v>
      </c>
      <c r="O88" s="367">
        <v>0.25</v>
      </c>
      <c r="P88" s="353">
        <f>D18</f>
        <v>745</v>
      </c>
      <c r="Q88" s="246" t="s">
        <v>173</v>
      </c>
      <c r="R88" s="753">
        <f t="shared" si="0"/>
        <v>0.24833333333333332</v>
      </c>
      <c r="S88" s="368">
        <v>0.3</v>
      </c>
    </row>
    <row r="89" spans="2:19" x14ac:dyDescent="0.25">
      <c r="B89" s="650" t="s">
        <v>200</v>
      </c>
      <c r="C89" s="651"/>
      <c r="D89" s="651"/>
      <c r="E89" s="651"/>
      <c r="G89" s="652" t="s">
        <v>189</v>
      </c>
      <c r="H89" s="652"/>
      <c r="I89" s="652"/>
      <c r="L89" s="358">
        <f>C11</f>
        <v>2500</v>
      </c>
      <c r="O89" s="345"/>
      <c r="P89" s="358">
        <f>D11</f>
        <v>3000</v>
      </c>
      <c r="R89" s="754"/>
      <c r="S89" s="269"/>
    </row>
    <row r="90" spans="2:19" x14ac:dyDescent="0.25">
      <c r="B90" s="650"/>
      <c r="C90" s="651"/>
      <c r="D90" s="651"/>
      <c r="E90" s="651"/>
      <c r="O90" s="345"/>
      <c r="R90" s="754"/>
      <c r="S90" s="269"/>
    </row>
    <row r="91" spans="2:19" x14ac:dyDescent="0.25">
      <c r="B91" s="301"/>
      <c r="O91" s="345"/>
      <c r="R91" s="754"/>
      <c r="S91" s="269"/>
    </row>
    <row r="92" spans="2:19" x14ac:dyDescent="0.25">
      <c r="B92" s="344" t="s">
        <v>201</v>
      </c>
      <c r="G92" s="655" t="s">
        <v>202</v>
      </c>
      <c r="H92" s="655"/>
      <c r="I92" s="655"/>
      <c r="J92" s="244" t="s">
        <v>196</v>
      </c>
      <c r="L92" s="353">
        <f>C22</f>
        <v>311.5</v>
      </c>
      <c r="M92" s="246" t="s">
        <v>173</v>
      </c>
      <c r="N92" s="369">
        <f>L92/L93</f>
        <v>0.1246</v>
      </c>
      <c r="O92" s="367">
        <v>0.1</v>
      </c>
      <c r="P92" s="353">
        <f>D22</f>
        <v>486.5</v>
      </c>
      <c r="Q92" s="246" t="s">
        <v>173</v>
      </c>
      <c r="R92" s="753">
        <f t="shared" si="0"/>
        <v>0.16216666666666665</v>
      </c>
      <c r="S92" s="368">
        <v>0.15</v>
      </c>
    </row>
    <row r="93" spans="2:19" x14ac:dyDescent="0.25">
      <c r="B93" s="650" t="s">
        <v>203</v>
      </c>
      <c r="C93" s="651"/>
      <c r="D93" s="651"/>
      <c r="E93" s="651"/>
      <c r="G93" s="652" t="s">
        <v>189</v>
      </c>
      <c r="H93" s="652"/>
      <c r="I93" s="652"/>
      <c r="L93" s="358">
        <f>C11</f>
        <v>2500</v>
      </c>
      <c r="O93" s="345"/>
      <c r="P93" s="358">
        <f>P89</f>
        <v>3000</v>
      </c>
      <c r="R93" s="754"/>
      <c r="S93" s="269"/>
    </row>
    <row r="94" spans="2:19" x14ac:dyDescent="0.25">
      <c r="B94" s="650"/>
      <c r="C94" s="651"/>
      <c r="D94" s="651"/>
      <c r="E94" s="651"/>
      <c r="O94" s="345"/>
      <c r="R94" s="754"/>
      <c r="S94" s="269"/>
    </row>
    <row r="95" spans="2:19" x14ac:dyDescent="0.25">
      <c r="B95" s="301"/>
      <c r="O95" s="345"/>
      <c r="R95" s="754"/>
      <c r="S95" s="269"/>
    </row>
    <row r="96" spans="2:19" x14ac:dyDescent="0.25">
      <c r="B96" s="344" t="s">
        <v>204</v>
      </c>
      <c r="G96" s="655" t="s">
        <v>202</v>
      </c>
      <c r="H96" s="655"/>
      <c r="I96" s="655"/>
      <c r="J96" s="244" t="s">
        <v>196</v>
      </c>
      <c r="L96" s="353">
        <f>C22</f>
        <v>311.5</v>
      </c>
      <c r="M96" s="246" t="s">
        <v>173</v>
      </c>
      <c r="N96" s="370">
        <f>L96/L97</f>
        <v>0.41258278145695365</v>
      </c>
      <c r="O96" s="371">
        <v>0.4</v>
      </c>
      <c r="P96" s="353">
        <f>P92</f>
        <v>486.5</v>
      </c>
      <c r="Q96" s="246" t="s">
        <v>173</v>
      </c>
      <c r="R96" s="753">
        <f t="shared" si="0"/>
        <v>0.55919540229885056</v>
      </c>
      <c r="S96" s="372">
        <v>0.5</v>
      </c>
    </row>
    <row r="97" spans="2:19" x14ac:dyDescent="0.25">
      <c r="B97" s="650" t="s">
        <v>205</v>
      </c>
      <c r="C97" s="651"/>
      <c r="D97" s="651"/>
      <c r="E97" s="651"/>
      <c r="G97" s="652" t="s">
        <v>206</v>
      </c>
      <c r="H97" s="652"/>
      <c r="I97" s="652"/>
      <c r="L97" s="313">
        <f>J22</f>
        <v>755</v>
      </c>
      <c r="O97" s="345"/>
      <c r="P97" s="313">
        <f>P84</f>
        <v>870</v>
      </c>
      <c r="R97" s="754"/>
      <c r="S97" s="269"/>
    </row>
    <row r="98" spans="2:19" x14ac:dyDescent="0.25">
      <c r="B98" s="650"/>
      <c r="C98" s="651"/>
      <c r="D98" s="651"/>
      <c r="E98" s="651"/>
      <c r="O98" s="345"/>
      <c r="R98" s="754"/>
      <c r="S98" s="269"/>
    </row>
    <row r="99" spans="2:19" x14ac:dyDescent="0.25">
      <c r="B99" s="301"/>
      <c r="O99" s="345"/>
      <c r="R99" s="754"/>
      <c r="S99" s="269"/>
    </row>
    <row r="100" spans="2:19" x14ac:dyDescent="0.25">
      <c r="B100" s="344" t="s">
        <v>207</v>
      </c>
      <c r="G100" s="655" t="s">
        <v>202</v>
      </c>
      <c r="H100" s="655"/>
      <c r="I100" s="655"/>
      <c r="J100" s="244" t="s">
        <v>196</v>
      </c>
      <c r="L100" s="353">
        <f>C22</f>
        <v>311.5</v>
      </c>
      <c r="M100" s="246" t="s">
        <v>173</v>
      </c>
      <c r="N100" s="370">
        <f>L100/L101</f>
        <v>1.0741379310344827</v>
      </c>
      <c r="O100" s="371">
        <v>0.8</v>
      </c>
      <c r="P100" s="353">
        <f>P96</f>
        <v>486.5</v>
      </c>
      <c r="Q100" s="246" t="s">
        <v>173</v>
      </c>
      <c r="R100" s="753">
        <f t="shared" si="0"/>
        <v>1.4742424242424241</v>
      </c>
      <c r="S100" s="372">
        <v>0.9</v>
      </c>
    </row>
    <row r="101" spans="2:19" x14ac:dyDescent="0.25">
      <c r="B101" s="650" t="s">
        <v>208</v>
      </c>
      <c r="C101" s="651"/>
      <c r="D101" s="651"/>
      <c r="E101" s="651"/>
      <c r="F101" s="651"/>
      <c r="G101" s="652" t="s">
        <v>209</v>
      </c>
      <c r="H101" s="652"/>
      <c r="I101" s="652"/>
      <c r="L101" s="313">
        <f>J40</f>
        <v>290</v>
      </c>
      <c r="O101" s="345"/>
      <c r="P101" s="313">
        <f>K40</f>
        <v>330</v>
      </c>
      <c r="S101" s="269"/>
    </row>
    <row r="102" spans="2:19" x14ac:dyDescent="0.25">
      <c r="B102" s="660"/>
      <c r="C102" s="661"/>
      <c r="D102" s="661"/>
      <c r="E102" s="661"/>
      <c r="F102" s="661"/>
      <c r="G102" s="359"/>
      <c r="H102" s="359"/>
      <c r="I102" s="359"/>
      <c r="J102" s="359"/>
      <c r="K102" s="359"/>
      <c r="L102" s="359"/>
      <c r="M102" s="359"/>
      <c r="N102" s="359"/>
      <c r="O102" s="359"/>
      <c r="P102" s="359"/>
      <c r="Q102" s="359"/>
      <c r="R102" s="359"/>
      <c r="S102" s="360"/>
    </row>
  </sheetData>
  <mergeCells count="77">
    <mergeCell ref="G96:I96"/>
    <mergeCell ref="B97:E98"/>
    <mergeCell ref="G97:I97"/>
    <mergeCell ref="G100:I100"/>
    <mergeCell ref="B101:F102"/>
    <mergeCell ref="G101:I101"/>
    <mergeCell ref="G88:I88"/>
    <mergeCell ref="B89:E90"/>
    <mergeCell ref="G89:I89"/>
    <mergeCell ref="G92:I92"/>
    <mergeCell ref="B93:E94"/>
    <mergeCell ref="G93:I93"/>
    <mergeCell ref="G76:I76"/>
    <mergeCell ref="B77:E78"/>
    <mergeCell ref="G77:I77"/>
    <mergeCell ref="B80:K80"/>
    <mergeCell ref="B83:E84"/>
    <mergeCell ref="G83:I83"/>
    <mergeCell ref="G84:I84"/>
    <mergeCell ref="B73:E74"/>
    <mergeCell ref="G73:I73"/>
    <mergeCell ref="B56:E58"/>
    <mergeCell ref="G56:I56"/>
    <mergeCell ref="B61:E63"/>
    <mergeCell ref="G61:I61"/>
    <mergeCell ref="G62:I62"/>
    <mergeCell ref="G65:I65"/>
    <mergeCell ref="G66:I66"/>
    <mergeCell ref="G68:I68"/>
    <mergeCell ref="B69:E70"/>
    <mergeCell ref="G69:I69"/>
    <mergeCell ref="G72:I72"/>
    <mergeCell ref="G42:I42"/>
    <mergeCell ref="B51:S51"/>
    <mergeCell ref="B52:K52"/>
    <mergeCell ref="L52:N53"/>
    <mergeCell ref="O52:O53"/>
    <mergeCell ref="P52:R53"/>
    <mergeCell ref="S52:S53"/>
    <mergeCell ref="B53:K53"/>
    <mergeCell ref="G41:I41"/>
    <mergeCell ref="G28:I28"/>
    <mergeCell ref="G29:I29"/>
    <mergeCell ref="G30:I30"/>
    <mergeCell ref="G31:I31"/>
    <mergeCell ref="G32:I32"/>
    <mergeCell ref="G34:I34"/>
    <mergeCell ref="G36:I36"/>
    <mergeCell ref="G37:I37"/>
    <mergeCell ref="G38:I38"/>
    <mergeCell ref="G39:I39"/>
    <mergeCell ref="G40:I40"/>
    <mergeCell ref="G27:I27"/>
    <mergeCell ref="G15:I15"/>
    <mergeCell ref="G16:I16"/>
    <mergeCell ref="G17:I17"/>
    <mergeCell ref="G18:I18"/>
    <mergeCell ref="G19:I19"/>
    <mergeCell ref="G20:I20"/>
    <mergeCell ref="G21:I21"/>
    <mergeCell ref="G22:I22"/>
    <mergeCell ref="G24:I24"/>
    <mergeCell ref="G25:I25"/>
    <mergeCell ref="G26:I26"/>
    <mergeCell ref="G14:I14"/>
    <mergeCell ref="B2:S2"/>
    <mergeCell ref="B3:H3"/>
    <mergeCell ref="B4:H4"/>
    <mergeCell ref="B6:D6"/>
    <mergeCell ref="G6:K6"/>
    <mergeCell ref="B7:D7"/>
    <mergeCell ref="G7:K7"/>
    <mergeCell ref="B8:D8"/>
    <mergeCell ref="G8:K8"/>
    <mergeCell ref="G9:K9"/>
    <mergeCell ref="G12:I12"/>
    <mergeCell ref="G13:I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4957-D811-4AC9-B4A8-2459333DC803}">
  <sheetPr>
    <pageSetUpPr fitToPage="1"/>
  </sheetPr>
  <dimension ref="B2:N54"/>
  <sheetViews>
    <sheetView workbookViewId="0">
      <selection activeCell="I29" sqref="I29:K29"/>
    </sheetView>
  </sheetViews>
  <sheetFormatPr baseColWidth="10" defaultColWidth="11.44140625" defaultRowHeight="13.8" x14ac:dyDescent="0.25"/>
  <cols>
    <col min="1" max="1" width="11.44140625" style="236"/>
    <col min="2" max="2" width="3.88671875" style="236" customWidth="1"/>
    <col min="3" max="6" width="11.44140625" style="236"/>
    <col min="7" max="7" width="14.109375" style="236" customWidth="1"/>
    <col min="8" max="8" width="16.5546875" style="236" customWidth="1"/>
    <col min="9" max="9" width="19.5546875" style="236" customWidth="1"/>
    <col min="10" max="10" width="11.44140625" style="236"/>
    <col min="11" max="11" width="18.44140625" style="236" customWidth="1"/>
    <col min="12" max="16384" width="11.44140625" style="236"/>
  </cols>
  <sheetData>
    <row r="2" spans="2:14" ht="14.25" customHeight="1" x14ac:dyDescent="0.25">
      <c r="B2" s="666">
        <v>2</v>
      </c>
      <c r="C2" s="560" t="s">
        <v>210</v>
      </c>
      <c r="D2" s="560"/>
      <c r="E2" s="560"/>
      <c r="F2" s="560"/>
      <c r="G2" s="560"/>
      <c r="H2" s="560"/>
      <c r="I2" s="560"/>
      <c r="J2" s="560"/>
      <c r="K2" s="560"/>
      <c r="L2" s="373"/>
      <c r="M2" s="373"/>
      <c r="N2" s="373"/>
    </row>
    <row r="3" spans="2:14" x14ac:dyDescent="0.25">
      <c r="B3" s="666"/>
      <c r="C3" s="560"/>
      <c r="D3" s="560"/>
      <c r="E3" s="560"/>
      <c r="F3" s="560"/>
      <c r="G3" s="560"/>
      <c r="H3" s="560"/>
      <c r="I3" s="560"/>
      <c r="J3" s="560"/>
      <c r="K3" s="560"/>
      <c r="L3" s="373"/>
      <c r="M3" s="373"/>
      <c r="N3" s="373"/>
    </row>
    <row r="4" spans="2:14" x14ac:dyDescent="0.25">
      <c r="B4" s="666"/>
      <c r="C4" s="560"/>
      <c r="D4" s="560"/>
      <c r="E4" s="560"/>
      <c r="F4" s="560"/>
      <c r="G4" s="560"/>
      <c r="H4" s="560"/>
      <c r="I4" s="560"/>
      <c r="J4" s="560"/>
      <c r="K4" s="560"/>
      <c r="L4" s="373"/>
      <c r="M4" s="373"/>
      <c r="N4" s="373"/>
    </row>
    <row r="5" spans="2:14" x14ac:dyDescent="0.25">
      <c r="B5" s="666"/>
      <c r="C5" s="560"/>
      <c r="D5" s="560"/>
      <c r="E5" s="560"/>
      <c r="F5" s="560"/>
      <c r="G5" s="560"/>
      <c r="H5" s="560"/>
      <c r="I5" s="560"/>
      <c r="J5" s="560"/>
      <c r="K5" s="560"/>
      <c r="L5" s="373"/>
      <c r="M5" s="373"/>
      <c r="N5" s="373"/>
    </row>
    <row r="6" spans="2:14" x14ac:dyDescent="0.25">
      <c r="B6" s="374"/>
      <c r="C6" s="375"/>
      <c r="D6" s="375"/>
      <c r="E6" s="375"/>
      <c r="F6" s="375"/>
      <c r="G6" s="375"/>
      <c r="H6" s="375"/>
      <c r="I6" s="375"/>
      <c r="J6" s="375"/>
      <c r="K6" s="375"/>
      <c r="L6" s="375"/>
      <c r="M6" s="375"/>
      <c r="N6" s="375"/>
    </row>
    <row r="7" spans="2:14" ht="15" customHeight="1" x14ac:dyDescent="0.25">
      <c r="C7" s="667" t="s">
        <v>211</v>
      </c>
      <c r="D7" s="667"/>
      <c r="E7" s="667"/>
      <c r="F7" s="667" t="s">
        <v>165</v>
      </c>
      <c r="G7" s="667" t="s">
        <v>8</v>
      </c>
      <c r="H7" s="668" t="s">
        <v>212</v>
      </c>
      <c r="I7" s="668" t="s">
        <v>213</v>
      </c>
    </row>
    <row r="8" spans="2:14" ht="27" customHeight="1" x14ac:dyDescent="0.25">
      <c r="C8" s="667"/>
      <c r="D8" s="667"/>
      <c r="E8" s="667"/>
      <c r="F8" s="667"/>
      <c r="G8" s="667"/>
      <c r="H8" s="668"/>
      <c r="I8" s="668"/>
    </row>
    <row r="9" spans="2:14" x14ac:dyDescent="0.25">
      <c r="C9" s="665" t="s">
        <v>214</v>
      </c>
      <c r="D9" s="665"/>
      <c r="E9" s="665"/>
      <c r="F9" s="376" t="s">
        <v>215</v>
      </c>
      <c r="G9" s="376" t="s">
        <v>216</v>
      </c>
      <c r="H9" s="376" t="s">
        <v>217</v>
      </c>
      <c r="I9" s="376" t="s">
        <v>218</v>
      </c>
    </row>
    <row r="10" spans="2:14" x14ac:dyDescent="0.25">
      <c r="C10" s="665" t="s">
        <v>219</v>
      </c>
      <c r="D10" s="665"/>
      <c r="E10" s="665"/>
      <c r="F10" s="377">
        <v>0.57999999999999996</v>
      </c>
      <c r="G10" s="377">
        <v>0.52</v>
      </c>
      <c r="H10" s="377">
        <v>0.5</v>
      </c>
      <c r="I10" s="377">
        <v>0.53</v>
      </c>
    </row>
    <row r="11" spans="2:14" x14ac:dyDescent="0.25">
      <c r="C11" s="665" t="s">
        <v>201</v>
      </c>
      <c r="D11" s="665"/>
      <c r="E11" s="665"/>
      <c r="F11" s="377">
        <v>0.1</v>
      </c>
      <c r="G11" s="377">
        <v>0.08</v>
      </c>
      <c r="H11" s="377">
        <v>0.12</v>
      </c>
      <c r="I11" s="377">
        <v>0.14000000000000001</v>
      </c>
    </row>
    <row r="12" spans="2:14" x14ac:dyDescent="0.25">
      <c r="C12" s="665" t="s">
        <v>220</v>
      </c>
      <c r="D12" s="665"/>
      <c r="E12" s="665"/>
      <c r="F12" s="376" t="s">
        <v>221</v>
      </c>
      <c r="G12" s="376" t="s">
        <v>222</v>
      </c>
      <c r="H12" s="376" t="s">
        <v>223</v>
      </c>
      <c r="I12" s="376" t="s">
        <v>223</v>
      </c>
    </row>
    <row r="13" spans="2:14" x14ac:dyDescent="0.25">
      <c r="C13" s="665" t="s">
        <v>224</v>
      </c>
      <c r="D13" s="665"/>
      <c r="E13" s="665"/>
      <c r="F13" s="378">
        <v>0.63349999999999995</v>
      </c>
      <c r="G13" s="378">
        <v>0.53449999999999998</v>
      </c>
      <c r="H13" s="377">
        <v>0.5</v>
      </c>
      <c r="I13" s="377">
        <v>0.45</v>
      </c>
    </row>
    <row r="14" spans="2:14" x14ac:dyDescent="0.25">
      <c r="C14" s="665" t="s">
        <v>225</v>
      </c>
      <c r="D14" s="665"/>
      <c r="E14" s="665"/>
      <c r="F14" s="376" t="s">
        <v>226</v>
      </c>
      <c r="G14" s="376" t="s">
        <v>227</v>
      </c>
      <c r="H14" s="376" t="s">
        <v>228</v>
      </c>
      <c r="I14" s="376" t="s">
        <v>229</v>
      </c>
    </row>
    <row r="15" spans="2:14" x14ac:dyDescent="0.25">
      <c r="C15" s="665" t="s">
        <v>230</v>
      </c>
      <c r="D15" s="665"/>
      <c r="E15" s="665"/>
      <c r="F15" s="377">
        <v>0.09</v>
      </c>
      <c r="G15" s="377">
        <v>0.11</v>
      </c>
      <c r="H15" s="377">
        <v>0.15</v>
      </c>
      <c r="I15" s="377">
        <v>0.18</v>
      </c>
    </row>
    <row r="16" spans="2:14" x14ac:dyDescent="0.25">
      <c r="C16" s="665" t="s">
        <v>231</v>
      </c>
      <c r="D16" s="665"/>
      <c r="E16" s="665"/>
      <c r="F16" s="376" t="s">
        <v>232</v>
      </c>
      <c r="G16" s="376" t="s">
        <v>233</v>
      </c>
      <c r="H16" s="376" t="s">
        <v>234</v>
      </c>
      <c r="I16" s="376" t="s">
        <v>235</v>
      </c>
    </row>
    <row r="17" spans="2:11" x14ac:dyDescent="0.25">
      <c r="C17" s="665" t="s">
        <v>236</v>
      </c>
      <c r="D17" s="665"/>
      <c r="E17" s="665"/>
      <c r="F17" s="376" t="s">
        <v>237</v>
      </c>
      <c r="G17" s="376" t="s">
        <v>238</v>
      </c>
      <c r="H17" s="376" t="s">
        <v>239</v>
      </c>
      <c r="I17" s="376" t="s">
        <v>240</v>
      </c>
    </row>
    <row r="18" spans="2:11" x14ac:dyDescent="0.25">
      <c r="C18" s="665" t="s">
        <v>241</v>
      </c>
      <c r="D18" s="665"/>
      <c r="E18" s="665"/>
      <c r="F18" s="377">
        <v>0.41</v>
      </c>
      <c r="G18" s="377">
        <v>0.43</v>
      </c>
      <c r="H18" s="377">
        <v>0.5</v>
      </c>
      <c r="I18" s="377">
        <v>0.5</v>
      </c>
    </row>
    <row r="19" spans="2:11" x14ac:dyDescent="0.25">
      <c r="C19" s="665" t="s">
        <v>242</v>
      </c>
      <c r="D19" s="665"/>
      <c r="E19" s="665"/>
      <c r="F19" s="376" t="s">
        <v>243</v>
      </c>
      <c r="G19" s="376" t="s">
        <v>244</v>
      </c>
      <c r="H19" s="376" t="s">
        <v>226</v>
      </c>
      <c r="I19" s="376" t="s">
        <v>226</v>
      </c>
    </row>
    <row r="20" spans="2:11" x14ac:dyDescent="0.25">
      <c r="C20" s="665" t="s">
        <v>245</v>
      </c>
      <c r="D20" s="665"/>
      <c r="E20" s="665"/>
      <c r="F20" s="377">
        <v>0.03</v>
      </c>
      <c r="G20" s="378">
        <v>3.1E-2</v>
      </c>
      <c r="H20" s="377">
        <v>0.04</v>
      </c>
      <c r="I20" s="377">
        <v>0.05</v>
      </c>
    </row>
    <row r="23" spans="2:11" x14ac:dyDescent="0.25">
      <c r="B23" s="672" t="s">
        <v>246</v>
      </c>
      <c r="C23" s="673" t="s">
        <v>247</v>
      </c>
      <c r="D23" s="673"/>
      <c r="E23" s="673"/>
      <c r="F23" s="673"/>
      <c r="G23" s="673"/>
      <c r="H23" s="673"/>
      <c r="I23" s="673"/>
      <c r="J23" s="673"/>
      <c r="K23" s="673"/>
    </row>
    <row r="24" spans="2:11" x14ac:dyDescent="0.25">
      <c r="B24" s="672"/>
      <c r="C24" s="673"/>
      <c r="D24" s="673"/>
      <c r="E24" s="673"/>
      <c r="F24" s="673"/>
      <c r="G24" s="673"/>
      <c r="H24" s="673"/>
      <c r="I24" s="673"/>
      <c r="J24" s="673"/>
      <c r="K24" s="673"/>
    </row>
    <row r="26" spans="2:11" x14ac:dyDescent="0.25">
      <c r="C26" s="674" t="s">
        <v>211</v>
      </c>
      <c r="D26" s="674"/>
      <c r="E26" s="674"/>
      <c r="F26" s="674" t="s">
        <v>248</v>
      </c>
      <c r="G26" s="674"/>
      <c r="H26" s="674"/>
      <c r="I26" s="674" t="s">
        <v>249</v>
      </c>
      <c r="J26" s="674"/>
      <c r="K26" s="674"/>
    </row>
    <row r="27" spans="2:11" x14ac:dyDescent="0.25">
      <c r="C27" s="674"/>
      <c r="D27" s="674"/>
      <c r="E27" s="674"/>
      <c r="F27" s="674"/>
      <c r="G27" s="674"/>
      <c r="H27" s="674"/>
      <c r="I27" s="674"/>
      <c r="J27" s="674"/>
      <c r="K27" s="674"/>
    </row>
    <row r="28" spans="2:11" ht="74.25" customHeight="1" x14ac:dyDescent="0.25">
      <c r="C28" s="669" t="s">
        <v>214</v>
      </c>
      <c r="D28" s="669"/>
      <c r="E28" s="669"/>
      <c r="F28" s="670"/>
      <c r="G28" s="670"/>
      <c r="H28" s="670"/>
      <c r="I28" s="671"/>
      <c r="J28" s="671"/>
      <c r="K28" s="671"/>
    </row>
    <row r="29" spans="2:11" ht="109.2" customHeight="1" x14ac:dyDescent="0.25">
      <c r="C29" s="669" t="s">
        <v>219</v>
      </c>
      <c r="D29" s="669"/>
      <c r="E29" s="669"/>
      <c r="F29" s="671"/>
      <c r="G29" s="671"/>
      <c r="H29" s="671"/>
      <c r="I29" s="671"/>
      <c r="J29" s="671"/>
      <c r="K29" s="671"/>
    </row>
    <row r="30" spans="2:11" ht="75.75" customHeight="1" x14ac:dyDescent="0.25">
      <c r="C30" s="669" t="s">
        <v>201</v>
      </c>
      <c r="D30" s="669"/>
      <c r="E30" s="669"/>
      <c r="F30" s="675"/>
      <c r="G30" s="675"/>
      <c r="H30" s="675"/>
      <c r="I30" s="676"/>
      <c r="J30" s="676"/>
      <c r="K30" s="676"/>
    </row>
    <row r="31" spans="2:11" ht="41.25" customHeight="1" x14ac:dyDescent="0.25">
      <c r="C31" s="669" t="s">
        <v>220</v>
      </c>
      <c r="D31" s="669"/>
      <c r="E31" s="669"/>
      <c r="F31" s="677"/>
      <c r="G31" s="677"/>
      <c r="H31" s="677"/>
      <c r="I31" s="671"/>
      <c r="J31" s="671"/>
      <c r="K31" s="671"/>
    </row>
    <row r="32" spans="2:11" ht="74.25" customHeight="1" x14ac:dyDescent="0.25">
      <c r="C32" s="669" t="s">
        <v>224</v>
      </c>
      <c r="D32" s="669"/>
      <c r="E32" s="669"/>
      <c r="F32" s="676"/>
      <c r="G32" s="676"/>
      <c r="H32" s="676"/>
      <c r="I32" s="676"/>
      <c r="J32" s="676"/>
      <c r="K32" s="676"/>
    </row>
    <row r="33" spans="2:11" ht="48.75" customHeight="1" x14ac:dyDescent="0.25">
      <c r="C33" s="669" t="s">
        <v>225</v>
      </c>
      <c r="D33" s="669"/>
      <c r="E33" s="669"/>
      <c r="F33" s="676"/>
      <c r="G33" s="676"/>
      <c r="H33" s="676"/>
      <c r="I33" s="676"/>
      <c r="J33" s="676"/>
      <c r="K33" s="676"/>
    </row>
    <row r="34" spans="2:11" ht="63.75" customHeight="1" x14ac:dyDescent="0.25">
      <c r="C34" s="669" t="s">
        <v>230</v>
      </c>
      <c r="D34" s="669"/>
      <c r="E34" s="669"/>
      <c r="F34" s="671"/>
      <c r="G34" s="671"/>
      <c r="H34" s="671"/>
      <c r="I34" s="671"/>
      <c r="J34" s="671"/>
      <c r="K34" s="671"/>
    </row>
    <row r="35" spans="2:11" ht="87.75" customHeight="1" x14ac:dyDescent="0.25">
      <c r="C35" s="669" t="s">
        <v>231</v>
      </c>
      <c r="D35" s="669"/>
      <c r="E35" s="669"/>
      <c r="F35" s="670"/>
      <c r="G35" s="670"/>
      <c r="H35" s="670"/>
      <c r="I35" s="671"/>
      <c r="J35" s="671"/>
      <c r="K35" s="671"/>
    </row>
    <row r="36" spans="2:11" ht="72" customHeight="1" x14ac:dyDescent="0.25">
      <c r="C36" s="669" t="s">
        <v>236</v>
      </c>
      <c r="D36" s="669"/>
      <c r="E36" s="669"/>
      <c r="F36" s="671"/>
      <c r="G36" s="671"/>
      <c r="H36" s="671"/>
      <c r="I36" s="677"/>
      <c r="J36" s="677"/>
      <c r="K36" s="677"/>
    </row>
    <row r="37" spans="2:11" ht="57" customHeight="1" x14ac:dyDescent="0.25">
      <c r="C37" s="669" t="s">
        <v>241</v>
      </c>
      <c r="D37" s="669"/>
      <c r="E37" s="669"/>
      <c r="F37" s="671"/>
      <c r="G37" s="671"/>
      <c r="H37" s="671"/>
      <c r="I37" s="676"/>
      <c r="J37" s="676"/>
      <c r="K37" s="676"/>
    </row>
    <row r="38" spans="2:11" ht="48" customHeight="1" x14ac:dyDescent="0.25">
      <c r="C38" s="669" t="s">
        <v>242</v>
      </c>
      <c r="D38" s="669"/>
      <c r="E38" s="669"/>
      <c r="F38" s="677"/>
      <c r="G38" s="677"/>
      <c r="H38" s="677"/>
      <c r="I38" s="676"/>
      <c r="J38" s="676"/>
      <c r="K38" s="676"/>
    </row>
    <row r="39" spans="2:11" ht="45" customHeight="1" x14ac:dyDescent="0.25">
      <c r="C39" s="669" t="s">
        <v>245</v>
      </c>
      <c r="D39" s="669"/>
      <c r="E39" s="669"/>
      <c r="F39" s="671"/>
      <c r="G39" s="671"/>
      <c r="H39" s="671"/>
      <c r="I39" s="677"/>
      <c r="J39" s="677"/>
      <c r="K39" s="677"/>
    </row>
    <row r="43" spans="2:11" x14ac:dyDescent="0.25">
      <c r="B43" s="379" t="s">
        <v>246</v>
      </c>
    </row>
    <row r="44" spans="2:11" x14ac:dyDescent="0.25">
      <c r="C44" s="379" t="s">
        <v>250</v>
      </c>
      <c r="D44" s="379"/>
      <c r="E44" s="379"/>
      <c r="F44" s="379"/>
      <c r="G44" s="379"/>
      <c r="H44" s="379"/>
      <c r="I44" s="379"/>
    </row>
    <row r="46" spans="2:11" x14ac:dyDescent="0.25">
      <c r="C46" s="679" t="s">
        <v>251</v>
      </c>
      <c r="D46" s="679"/>
      <c r="E46" s="679"/>
      <c r="F46" s="679"/>
      <c r="G46" s="679"/>
      <c r="H46" s="679"/>
      <c r="I46" s="679"/>
      <c r="J46" s="679"/>
      <c r="K46" s="679"/>
    </row>
    <row r="47" spans="2:11" x14ac:dyDescent="0.25">
      <c r="C47" s="679"/>
      <c r="D47" s="679"/>
      <c r="E47" s="679"/>
      <c r="F47" s="679"/>
      <c r="G47" s="679"/>
      <c r="H47" s="679"/>
      <c r="I47" s="679"/>
      <c r="J47" s="679"/>
      <c r="K47" s="679"/>
    </row>
    <row r="48" spans="2:11" ht="36" customHeight="1" x14ac:dyDescent="0.25">
      <c r="C48" s="679"/>
      <c r="D48" s="679"/>
      <c r="E48" s="679"/>
      <c r="F48" s="679"/>
      <c r="G48" s="679"/>
      <c r="H48" s="679"/>
      <c r="I48" s="679"/>
      <c r="J48" s="679"/>
      <c r="K48" s="679"/>
    </row>
    <row r="49" spans="2:11" ht="36" customHeight="1" x14ac:dyDescent="0.25">
      <c r="C49" s="679" t="s">
        <v>252</v>
      </c>
      <c r="D49" s="679"/>
      <c r="E49" s="679"/>
      <c r="F49" s="679"/>
      <c r="G49" s="679"/>
      <c r="H49" s="679"/>
      <c r="I49" s="679"/>
      <c r="J49" s="679"/>
      <c r="K49" s="679"/>
    </row>
    <row r="50" spans="2:11" x14ac:dyDescent="0.25">
      <c r="B50" s="379" t="s">
        <v>246</v>
      </c>
    </row>
    <row r="51" spans="2:11" x14ac:dyDescent="0.25">
      <c r="C51" s="379" t="s">
        <v>253</v>
      </c>
    </row>
    <row r="53" spans="2:11" x14ac:dyDescent="0.25">
      <c r="C53" s="678" t="s">
        <v>254</v>
      </c>
      <c r="D53" s="678"/>
      <c r="E53" s="678"/>
      <c r="F53" s="678"/>
      <c r="G53" s="678"/>
      <c r="H53" s="678"/>
      <c r="I53" s="678"/>
      <c r="J53" s="678"/>
      <c r="K53" s="678"/>
    </row>
    <row r="54" spans="2:11" x14ac:dyDescent="0.25">
      <c r="C54" s="678"/>
      <c r="D54" s="678"/>
      <c r="E54" s="678"/>
      <c r="F54" s="678"/>
      <c r="G54" s="678"/>
      <c r="H54" s="678"/>
      <c r="I54" s="678"/>
      <c r="J54" s="678"/>
      <c r="K54" s="678"/>
    </row>
  </sheetData>
  <mergeCells count="63">
    <mergeCell ref="C53:K54"/>
    <mergeCell ref="C37:E37"/>
    <mergeCell ref="F37:H37"/>
    <mergeCell ref="I37:K37"/>
    <mergeCell ref="C38:E38"/>
    <mergeCell ref="F38:H38"/>
    <mergeCell ref="I38:K38"/>
    <mergeCell ref="C39:E39"/>
    <mergeCell ref="F39:H39"/>
    <mergeCell ref="I39:K39"/>
    <mergeCell ref="C46:K48"/>
    <mergeCell ref="C49:K49"/>
    <mergeCell ref="C35:E35"/>
    <mergeCell ref="F35:H35"/>
    <mergeCell ref="I35:K35"/>
    <mergeCell ref="C36:E36"/>
    <mergeCell ref="F36:H36"/>
    <mergeCell ref="I36:K36"/>
    <mergeCell ref="C33:E33"/>
    <mergeCell ref="F33:H33"/>
    <mergeCell ref="I33:K33"/>
    <mergeCell ref="C34:E34"/>
    <mergeCell ref="F34:H34"/>
    <mergeCell ref="I34:K34"/>
    <mergeCell ref="C31:E31"/>
    <mergeCell ref="F31:H31"/>
    <mergeCell ref="I31:K31"/>
    <mergeCell ref="C32:E32"/>
    <mergeCell ref="F32:H32"/>
    <mergeCell ref="I32:K32"/>
    <mergeCell ref="C29:E29"/>
    <mergeCell ref="F29:H29"/>
    <mergeCell ref="I29:K29"/>
    <mergeCell ref="C30:E30"/>
    <mergeCell ref="F30:H30"/>
    <mergeCell ref="I30:K30"/>
    <mergeCell ref="B23:B24"/>
    <mergeCell ref="C23:K24"/>
    <mergeCell ref="C26:E27"/>
    <mergeCell ref="F26:H27"/>
    <mergeCell ref="I26:K27"/>
    <mergeCell ref="C28:E28"/>
    <mergeCell ref="F28:H28"/>
    <mergeCell ref="I28:K28"/>
    <mergeCell ref="C15:E15"/>
    <mergeCell ref="C16:E16"/>
    <mergeCell ref="C17:E17"/>
    <mergeCell ref="C18:E18"/>
    <mergeCell ref="C19:E19"/>
    <mergeCell ref="C20:E20"/>
    <mergeCell ref="C14:E14"/>
    <mergeCell ref="B2:B5"/>
    <mergeCell ref="C2:K5"/>
    <mergeCell ref="C7:E8"/>
    <mergeCell ref="F7:F8"/>
    <mergeCell ref="G7:G8"/>
    <mergeCell ref="H7:H8"/>
    <mergeCell ref="I7:I8"/>
    <mergeCell ref="C9:E9"/>
    <mergeCell ref="C10:E10"/>
    <mergeCell ref="C11:E11"/>
    <mergeCell ref="C12:E12"/>
    <mergeCell ref="C13:E13"/>
  </mergeCells>
  <pageMargins left="0.7" right="0.7" top="0.75" bottom="0.75" header="0.3" footer="0.3"/>
  <pageSetup scale="8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5228-3B5C-490E-B5D4-E6EDB477A78F}">
  <dimension ref="B2:T199"/>
  <sheetViews>
    <sheetView tabSelected="1" topLeftCell="C152" workbookViewId="0">
      <selection activeCell="N126" sqref="N126"/>
    </sheetView>
  </sheetViews>
  <sheetFormatPr baseColWidth="10" defaultColWidth="11.44140625" defaultRowHeight="13.8" x14ac:dyDescent="0.25"/>
  <cols>
    <col min="1" max="1" width="11.44140625" style="380"/>
    <col min="2" max="2" width="7.5546875" style="380" customWidth="1"/>
    <col min="3" max="3" width="36.109375" style="380" bestFit="1" customWidth="1"/>
    <col min="4" max="4" width="9.88671875" style="380" customWidth="1"/>
    <col min="5" max="5" width="12.33203125" style="380" customWidth="1"/>
    <col min="6" max="6" width="12" style="380" customWidth="1"/>
    <col min="7" max="7" width="12.6640625" style="380" customWidth="1"/>
    <col min="8" max="11" width="11.44140625" style="380"/>
    <col min="12" max="12" width="13.33203125" style="380" customWidth="1"/>
    <col min="13" max="14" width="12.6640625" style="380" customWidth="1"/>
    <col min="15" max="16384" width="11.44140625" style="380"/>
  </cols>
  <sheetData>
    <row r="2" spans="2:14" ht="17.399999999999999" x14ac:dyDescent="0.3">
      <c r="C2" s="381"/>
      <c r="D2" s="381"/>
      <c r="E2" s="381"/>
      <c r="F2" s="381"/>
      <c r="G2" s="381"/>
    </row>
    <row r="3" spans="2:14" ht="17.399999999999999" customHeight="1" x14ac:dyDescent="0.35">
      <c r="C3" s="688" t="s">
        <v>255</v>
      </c>
      <c r="D3" s="688"/>
      <c r="E3" s="688"/>
      <c r="F3" s="688"/>
      <c r="G3" s="688"/>
      <c r="H3" s="688"/>
      <c r="I3" s="688"/>
      <c r="J3" s="688"/>
      <c r="K3" s="688"/>
      <c r="L3" s="688"/>
      <c r="M3" s="688"/>
    </row>
    <row r="4" spans="2:14" ht="17.399999999999999" customHeight="1" x14ac:dyDescent="0.3">
      <c r="C4" s="381"/>
      <c r="D4" s="381"/>
      <c r="E4" s="381"/>
      <c r="F4" s="381"/>
      <c r="G4" s="381"/>
      <c r="H4" s="381"/>
      <c r="I4" s="381"/>
      <c r="J4" s="381"/>
      <c r="K4" s="381"/>
      <c r="L4" s="381"/>
      <c r="M4" s="381"/>
    </row>
    <row r="5" spans="2:14" ht="14.25" customHeight="1" x14ac:dyDescent="0.25">
      <c r="B5" s="689"/>
      <c r="C5" s="690" t="s">
        <v>60</v>
      </c>
      <c r="D5" s="690"/>
      <c r="E5" s="690"/>
      <c r="F5" s="690"/>
      <c r="G5" s="690"/>
      <c r="H5" s="690"/>
      <c r="I5" s="690"/>
      <c r="J5" s="690"/>
      <c r="K5" s="690"/>
      <c r="L5" s="690"/>
      <c r="M5" s="690"/>
      <c r="N5" s="690"/>
    </row>
    <row r="6" spans="2:14" x14ac:dyDescent="0.25">
      <c r="B6" s="689"/>
      <c r="C6" s="690"/>
      <c r="D6" s="690"/>
      <c r="E6" s="690"/>
      <c r="F6" s="690"/>
      <c r="G6" s="690"/>
      <c r="H6" s="690"/>
      <c r="I6" s="690"/>
      <c r="J6" s="690"/>
      <c r="K6" s="690"/>
      <c r="L6" s="690"/>
      <c r="M6" s="690"/>
      <c r="N6" s="690"/>
    </row>
    <row r="7" spans="2:14" x14ac:dyDescent="0.25">
      <c r="B7" s="382"/>
      <c r="C7" s="690"/>
      <c r="D7" s="690"/>
      <c r="E7" s="690"/>
      <c r="F7" s="690"/>
      <c r="G7" s="690"/>
      <c r="H7" s="690"/>
      <c r="I7" s="690"/>
      <c r="J7" s="690"/>
      <c r="K7" s="690"/>
      <c r="L7" s="690"/>
      <c r="M7" s="690"/>
      <c r="N7" s="690"/>
    </row>
    <row r="8" spans="2:14" x14ac:dyDescent="0.25">
      <c r="C8" s="383"/>
      <c r="D8" s="383"/>
      <c r="E8" s="383"/>
      <c r="F8" s="383"/>
      <c r="G8" s="383"/>
      <c r="H8" s="383"/>
      <c r="I8" s="383"/>
      <c r="J8" s="383"/>
      <c r="K8" s="383"/>
      <c r="L8" s="383"/>
      <c r="M8" s="383"/>
    </row>
    <row r="9" spans="2:14" ht="14.25" customHeight="1" x14ac:dyDescent="0.25">
      <c r="B9" s="680" t="s">
        <v>61</v>
      </c>
      <c r="C9" s="681" t="s">
        <v>62</v>
      </c>
      <c r="D9" s="681"/>
      <c r="E9" s="681"/>
      <c r="F9" s="681"/>
      <c r="G9" s="681"/>
      <c r="H9" s="681"/>
      <c r="I9" s="681"/>
      <c r="J9" s="681"/>
      <c r="K9" s="681"/>
      <c r="L9" s="681"/>
      <c r="M9" s="681"/>
      <c r="N9" s="681"/>
    </row>
    <row r="10" spans="2:14" x14ac:dyDescent="0.25">
      <c r="B10" s="680"/>
      <c r="C10" s="681"/>
      <c r="D10" s="681"/>
      <c r="E10" s="681"/>
      <c r="F10" s="681"/>
      <c r="G10" s="681"/>
      <c r="H10" s="681"/>
      <c r="I10" s="681"/>
      <c r="J10" s="681"/>
      <c r="K10" s="681"/>
      <c r="L10" s="681"/>
      <c r="M10" s="681"/>
      <c r="N10" s="681"/>
    </row>
    <row r="11" spans="2:14" x14ac:dyDescent="0.25">
      <c r="B11" s="386"/>
      <c r="C11" s="387"/>
      <c r="D11" s="388"/>
      <c r="E11" s="388"/>
      <c r="F11" s="388"/>
      <c r="G11" s="388"/>
      <c r="H11" s="388"/>
      <c r="I11" s="388"/>
      <c r="J11" s="388"/>
      <c r="K11" s="388"/>
      <c r="L11" s="388"/>
      <c r="M11" s="388"/>
    </row>
    <row r="12" spans="2:14" ht="14.25" customHeight="1" x14ac:dyDescent="0.25">
      <c r="B12" s="680" t="s">
        <v>63</v>
      </c>
      <c r="C12" s="681" t="s">
        <v>64</v>
      </c>
      <c r="D12" s="681"/>
      <c r="E12" s="681"/>
      <c r="F12" s="681"/>
      <c r="G12" s="681"/>
      <c r="H12" s="681"/>
      <c r="I12" s="681"/>
      <c r="J12" s="681"/>
      <c r="K12" s="681"/>
      <c r="L12" s="681"/>
      <c r="M12" s="681"/>
      <c r="N12" s="681"/>
    </row>
    <row r="13" spans="2:14" x14ac:dyDescent="0.25">
      <c r="B13" s="680"/>
      <c r="C13" s="681"/>
      <c r="D13" s="681"/>
      <c r="E13" s="681"/>
      <c r="F13" s="681"/>
      <c r="G13" s="681"/>
      <c r="H13" s="681"/>
      <c r="I13" s="681"/>
      <c r="J13" s="681"/>
      <c r="K13" s="681"/>
      <c r="L13" s="681"/>
      <c r="M13" s="681"/>
      <c r="N13" s="681"/>
    </row>
    <row r="14" spans="2:14" x14ac:dyDescent="0.25">
      <c r="B14" s="384"/>
      <c r="C14" s="385"/>
      <c r="D14" s="385"/>
      <c r="E14" s="385"/>
      <c r="F14" s="385"/>
      <c r="G14" s="385"/>
      <c r="H14" s="385"/>
      <c r="I14" s="385"/>
      <c r="J14" s="385"/>
      <c r="K14" s="385"/>
      <c r="L14" s="385"/>
      <c r="M14" s="385"/>
    </row>
    <row r="15" spans="2:14" ht="14.25" customHeight="1" x14ac:dyDescent="0.25">
      <c r="B15" s="680" t="s">
        <v>65</v>
      </c>
      <c r="C15" s="681" t="s">
        <v>66</v>
      </c>
      <c r="D15" s="681"/>
      <c r="E15" s="681"/>
      <c r="F15" s="681"/>
      <c r="G15" s="681"/>
      <c r="H15" s="681"/>
      <c r="I15" s="681"/>
      <c r="J15" s="681"/>
      <c r="K15" s="681"/>
      <c r="L15" s="681"/>
      <c r="M15" s="681"/>
      <c r="N15" s="681"/>
    </row>
    <row r="16" spans="2:14" x14ac:dyDescent="0.25">
      <c r="B16" s="680"/>
      <c r="C16" s="681"/>
      <c r="D16" s="681"/>
      <c r="E16" s="681"/>
      <c r="F16" s="681"/>
      <c r="G16" s="681"/>
      <c r="H16" s="681"/>
      <c r="I16" s="681"/>
      <c r="J16" s="681"/>
      <c r="K16" s="681"/>
      <c r="L16" s="681"/>
      <c r="M16" s="681"/>
      <c r="N16" s="681"/>
    </row>
    <row r="17" spans="2:14" x14ac:dyDescent="0.25">
      <c r="B17" s="389"/>
      <c r="C17" s="390"/>
      <c r="D17" s="390"/>
      <c r="E17" s="390"/>
      <c r="F17" s="390"/>
      <c r="G17" s="390"/>
      <c r="H17" s="390"/>
      <c r="I17" s="390"/>
      <c r="J17" s="390"/>
      <c r="K17" s="390"/>
      <c r="L17" s="390"/>
      <c r="M17" s="390"/>
    </row>
    <row r="18" spans="2:14" ht="14.4" thickBot="1" x14ac:dyDescent="0.3"/>
    <row r="19" spans="2:14" ht="15.6" x14ac:dyDescent="0.3">
      <c r="C19" s="391" t="s">
        <v>67</v>
      </c>
      <c r="D19" s="392"/>
      <c r="E19" s="392"/>
      <c r="F19" s="392"/>
      <c r="G19" s="393"/>
      <c r="I19" s="391" t="s">
        <v>68</v>
      </c>
      <c r="J19" s="392"/>
      <c r="K19" s="392"/>
      <c r="L19" s="392"/>
      <c r="M19" s="392"/>
      <c r="N19" s="393"/>
    </row>
    <row r="20" spans="2:14" ht="15.6" x14ac:dyDescent="0.3">
      <c r="C20" s="394" t="s">
        <v>69</v>
      </c>
      <c r="G20" s="395"/>
      <c r="I20" s="394" t="s">
        <v>69</v>
      </c>
      <c r="N20" s="395"/>
    </row>
    <row r="21" spans="2:14" x14ac:dyDescent="0.25">
      <c r="C21" s="396" t="s">
        <v>70</v>
      </c>
      <c r="E21" s="386" t="s">
        <v>71</v>
      </c>
      <c r="F21" s="386" t="s">
        <v>72</v>
      </c>
      <c r="G21" s="397" t="s">
        <v>73</v>
      </c>
      <c r="I21" s="396"/>
      <c r="L21" s="386" t="s">
        <v>71</v>
      </c>
      <c r="M21" s="386" t="s">
        <v>72</v>
      </c>
      <c r="N21" s="397" t="s">
        <v>73</v>
      </c>
    </row>
    <row r="22" spans="2:14" x14ac:dyDescent="0.25">
      <c r="C22" s="398" t="s">
        <v>74</v>
      </c>
      <c r="D22" s="399"/>
      <c r="E22" s="399"/>
      <c r="F22" s="399"/>
      <c r="G22" s="400"/>
      <c r="I22" s="682" t="s">
        <v>15</v>
      </c>
      <c r="J22" s="683"/>
      <c r="K22" s="683"/>
      <c r="L22" s="401">
        <v>3000</v>
      </c>
      <c r="M22" s="401">
        <v>3000</v>
      </c>
      <c r="N22" s="402">
        <v>3000</v>
      </c>
    </row>
    <row r="23" spans="2:14" x14ac:dyDescent="0.25">
      <c r="C23" s="396" t="s">
        <v>75</v>
      </c>
      <c r="G23" s="395"/>
      <c r="I23" s="684" t="s">
        <v>16</v>
      </c>
      <c r="J23" s="685"/>
      <c r="K23" s="685"/>
      <c r="L23" s="403">
        <v>-1650</v>
      </c>
      <c r="M23" s="403">
        <v>-1650</v>
      </c>
      <c r="N23" s="404">
        <v>-1650</v>
      </c>
    </row>
    <row r="24" spans="2:14" x14ac:dyDescent="0.25">
      <c r="C24" s="396" t="s">
        <v>76</v>
      </c>
      <c r="E24" s="380">
        <v>200</v>
      </c>
      <c r="F24" s="380">
        <v>150</v>
      </c>
      <c r="G24" s="395">
        <v>100</v>
      </c>
      <c r="I24" s="686" t="s">
        <v>77</v>
      </c>
      <c r="J24" s="687"/>
      <c r="K24" s="687"/>
      <c r="L24" s="405">
        <f>SUM(L22:L23)</f>
        <v>1350</v>
      </c>
      <c r="M24" s="405">
        <f t="shared" ref="M24:N24" si="0">SUM(M22:M23)</f>
        <v>1350</v>
      </c>
      <c r="N24" s="406">
        <f t="shared" si="0"/>
        <v>1350</v>
      </c>
    </row>
    <row r="25" spans="2:14" x14ac:dyDescent="0.25">
      <c r="C25" s="396" t="s">
        <v>36</v>
      </c>
      <c r="E25" s="380">
        <v>500</v>
      </c>
      <c r="F25" s="380">
        <v>350</v>
      </c>
      <c r="G25" s="395">
        <v>300</v>
      </c>
      <c r="I25" s="684" t="s">
        <v>78</v>
      </c>
      <c r="J25" s="685"/>
      <c r="K25" s="685"/>
      <c r="L25" s="403">
        <v>-230</v>
      </c>
      <c r="M25" s="403">
        <v>-230</v>
      </c>
      <c r="N25" s="404">
        <v>-230</v>
      </c>
    </row>
    <row r="26" spans="2:14" x14ac:dyDescent="0.25">
      <c r="C26" s="396" t="s">
        <v>37</v>
      </c>
      <c r="E26" s="380">
        <v>700</v>
      </c>
      <c r="F26" s="380">
        <v>500</v>
      </c>
      <c r="G26" s="395">
        <v>400</v>
      </c>
      <c r="I26" s="697" t="s">
        <v>79</v>
      </c>
      <c r="J26" s="698"/>
      <c r="K26" s="698"/>
      <c r="L26" s="407">
        <v>-300</v>
      </c>
      <c r="M26" s="407">
        <v>-300</v>
      </c>
      <c r="N26" s="408">
        <v>-300</v>
      </c>
    </row>
    <row r="27" spans="2:14" x14ac:dyDescent="0.25">
      <c r="C27" s="409" t="s">
        <v>80</v>
      </c>
      <c r="D27" s="410"/>
      <c r="E27" s="410">
        <f>SUM(E24:E26)</f>
        <v>1400</v>
      </c>
      <c r="F27" s="410">
        <f>SUM(F24:F26)</f>
        <v>1000</v>
      </c>
      <c r="G27" s="411">
        <f>SUM(G24:G26)</f>
        <v>800</v>
      </c>
      <c r="I27" s="684" t="s">
        <v>81</v>
      </c>
      <c r="J27" s="685"/>
      <c r="K27" s="685"/>
      <c r="L27" s="403">
        <v>-310</v>
      </c>
      <c r="M27" s="403">
        <v>-310</v>
      </c>
      <c r="N27" s="404">
        <v>-310</v>
      </c>
    </row>
    <row r="28" spans="2:14" x14ac:dyDescent="0.25">
      <c r="C28" s="396" t="s">
        <v>39</v>
      </c>
      <c r="G28" s="395"/>
      <c r="I28" s="699" t="s">
        <v>82</v>
      </c>
      <c r="J28" s="700"/>
      <c r="K28" s="700"/>
      <c r="L28" s="701">
        <f>SUM(L24:L27)</f>
        <v>510</v>
      </c>
      <c r="M28" s="701">
        <f t="shared" ref="M28:N28" si="1">SUM(M24:M27)</f>
        <v>510</v>
      </c>
      <c r="N28" s="702">
        <f t="shared" si="1"/>
        <v>510</v>
      </c>
    </row>
    <row r="29" spans="2:14" x14ac:dyDescent="0.25">
      <c r="C29" s="396" t="s">
        <v>83</v>
      </c>
      <c r="E29" s="380">
        <v>700</v>
      </c>
      <c r="F29" s="380">
        <v>700</v>
      </c>
      <c r="G29" s="395">
        <v>700</v>
      </c>
      <c r="I29" s="699"/>
      <c r="J29" s="700"/>
      <c r="K29" s="700"/>
      <c r="L29" s="701"/>
      <c r="M29" s="701"/>
      <c r="N29" s="702"/>
    </row>
    <row r="30" spans="2:14" x14ac:dyDescent="0.25">
      <c r="C30" s="409" t="s">
        <v>42</v>
      </c>
      <c r="D30" s="410"/>
      <c r="E30" s="410">
        <f>+E29</f>
        <v>700</v>
      </c>
      <c r="F30" s="410">
        <f>+F29</f>
        <v>700</v>
      </c>
      <c r="G30" s="411">
        <f>+G29</f>
        <v>700</v>
      </c>
      <c r="I30" s="684" t="s">
        <v>84</v>
      </c>
      <c r="J30" s="685"/>
      <c r="K30" s="685"/>
      <c r="L30" s="403">
        <v>-80</v>
      </c>
      <c r="M30" s="403">
        <v>-70</v>
      </c>
      <c r="N30" s="404">
        <v>-60</v>
      </c>
    </row>
    <row r="31" spans="2:14" x14ac:dyDescent="0.25">
      <c r="C31" s="398" t="s">
        <v>43</v>
      </c>
      <c r="D31" s="412"/>
      <c r="E31" s="412">
        <f>+E27+E30</f>
        <v>2100</v>
      </c>
      <c r="F31" s="412">
        <f>+F27+F30</f>
        <v>1700</v>
      </c>
      <c r="G31" s="413">
        <f>+G27+G30</f>
        <v>1500</v>
      </c>
      <c r="I31" s="691" t="s">
        <v>24</v>
      </c>
      <c r="J31" s="692"/>
      <c r="K31" s="692"/>
      <c r="L31" s="401">
        <f>SUM(L28:L30)</f>
        <v>430</v>
      </c>
      <c r="M31" s="401">
        <f t="shared" ref="M31:N31" si="2">SUM(M28:M30)</f>
        <v>440</v>
      </c>
      <c r="N31" s="402">
        <f t="shared" si="2"/>
        <v>450</v>
      </c>
    </row>
    <row r="32" spans="2:14" x14ac:dyDescent="0.25">
      <c r="C32" s="396"/>
      <c r="G32" s="395"/>
      <c r="I32" s="684" t="s">
        <v>85</v>
      </c>
      <c r="J32" s="685"/>
      <c r="K32" s="685"/>
      <c r="L32" s="403">
        <f>-L31*0.3</f>
        <v>-129</v>
      </c>
      <c r="M32" s="403">
        <f>-M31*0.3</f>
        <v>-132</v>
      </c>
      <c r="N32" s="404">
        <f>-N31*0.3</f>
        <v>-135</v>
      </c>
    </row>
    <row r="33" spans="3:14" ht="14.4" thickBot="1" x14ac:dyDescent="0.3">
      <c r="C33" s="414" t="s">
        <v>86</v>
      </c>
      <c r="D33" s="415"/>
      <c r="E33" s="415"/>
      <c r="F33" s="415"/>
      <c r="G33" s="416"/>
      <c r="I33" s="693" t="s">
        <v>87</v>
      </c>
      <c r="J33" s="694"/>
      <c r="K33" s="694"/>
      <c r="L33" s="417">
        <f>SUM(L31:L32)</f>
        <v>301</v>
      </c>
      <c r="M33" s="417">
        <f t="shared" ref="M33:N33" si="3">SUM(M31:M32)</f>
        <v>308</v>
      </c>
      <c r="N33" s="418">
        <f t="shared" si="3"/>
        <v>315</v>
      </c>
    </row>
    <row r="34" spans="3:14" x14ac:dyDescent="0.25">
      <c r="C34" s="396" t="s">
        <v>88</v>
      </c>
      <c r="G34" s="395"/>
      <c r="L34" s="401"/>
      <c r="M34" s="401"/>
      <c r="N34" s="401"/>
    </row>
    <row r="35" spans="3:14" x14ac:dyDescent="0.25">
      <c r="C35" s="396" t="s">
        <v>89</v>
      </c>
      <c r="E35" s="380">
        <v>200</v>
      </c>
      <c r="F35" s="380">
        <v>200</v>
      </c>
      <c r="G35" s="395">
        <v>200</v>
      </c>
    </row>
    <row r="36" spans="3:14" x14ac:dyDescent="0.25">
      <c r="C36" s="396" t="s">
        <v>90</v>
      </c>
      <c r="E36" s="380">
        <v>150</v>
      </c>
      <c r="F36" s="380">
        <v>150</v>
      </c>
      <c r="G36" s="395">
        <v>150</v>
      </c>
    </row>
    <row r="37" spans="3:14" x14ac:dyDescent="0.25">
      <c r="C37" s="409" t="s">
        <v>91</v>
      </c>
      <c r="D37" s="410"/>
      <c r="E37" s="410">
        <f>SUM(E35:E36)</f>
        <v>350</v>
      </c>
      <c r="F37" s="410">
        <f>SUM(F35:F36)</f>
        <v>350</v>
      </c>
      <c r="G37" s="411">
        <f>SUM(G35:G36)</f>
        <v>350</v>
      </c>
      <c r="H37" s="410"/>
    </row>
    <row r="38" spans="3:14" x14ac:dyDescent="0.25">
      <c r="C38" s="396" t="s">
        <v>92</v>
      </c>
      <c r="D38" s="386"/>
      <c r="G38" s="395"/>
    </row>
    <row r="39" spans="3:14" x14ac:dyDescent="0.25">
      <c r="C39" s="396" t="s">
        <v>93</v>
      </c>
      <c r="E39" s="380">
        <v>350</v>
      </c>
      <c r="F39" s="380">
        <v>220</v>
      </c>
      <c r="G39" s="395">
        <v>200</v>
      </c>
    </row>
    <row r="40" spans="3:14" x14ac:dyDescent="0.25">
      <c r="C40" s="396" t="s">
        <v>94</v>
      </c>
      <c r="E40" s="380">
        <v>400</v>
      </c>
      <c r="F40" s="380">
        <v>230</v>
      </c>
      <c r="G40" s="395">
        <v>150</v>
      </c>
    </row>
    <row r="41" spans="3:14" x14ac:dyDescent="0.25">
      <c r="C41" s="419" t="s">
        <v>95</v>
      </c>
      <c r="D41" s="410"/>
      <c r="E41" s="410">
        <f>SUM(E39:E40)</f>
        <v>750</v>
      </c>
      <c r="F41" s="410">
        <f>SUM(F39:F40)</f>
        <v>450</v>
      </c>
      <c r="G41" s="411">
        <f>SUM(G39:G40)</f>
        <v>350</v>
      </c>
      <c r="H41" s="410"/>
    </row>
    <row r="42" spans="3:14" x14ac:dyDescent="0.25">
      <c r="C42" s="420" t="s">
        <v>96</v>
      </c>
      <c r="D42" s="421"/>
      <c r="E42" s="421">
        <f>+E37+E41</f>
        <v>1100</v>
      </c>
      <c r="F42" s="421">
        <f>+F37+F41</f>
        <v>800</v>
      </c>
      <c r="G42" s="422">
        <f>+G37+G41</f>
        <v>700</v>
      </c>
      <c r="H42" s="386"/>
    </row>
    <row r="43" spans="3:14" x14ac:dyDescent="0.25">
      <c r="C43" s="423"/>
      <c r="G43" s="395"/>
    </row>
    <row r="44" spans="3:14" x14ac:dyDescent="0.25">
      <c r="C44" s="424" t="s">
        <v>97</v>
      </c>
      <c r="D44" s="425"/>
      <c r="E44" s="425"/>
      <c r="F44" s="425"/>
      <c r="G44" s="426"/>
    </row>
    <row r="45" spans="3:14" x14ac:dyDescent="0.25">
      <c r="C45" s="427" t="s">
        <v>98</v>
      </c>
      <c r="E45" s="380">
        <v>700</v>
      </c>
      <c r="F45" s="380">
        <v>600</v>
      </c>
      <c r="G45" s="395">
        <v>500</v>
      </c>
    </row>
    <row r="46" spans="3:14" x14ac:dyDescent="0.25">
      <c r="C46" s="427" t="s">
        <v>99</v>
      </c>
      <c r="E46" s="380">
        <v>300</v>
      </c>
      <c r="F46" s="380">
        <v>300</v>
      </c>
      <c r="G46" s="395">
        <v>300</v>
      </c>
    </row>
    <row r="47" spans="3:14" x14ac:dyDescent="0.25">
      <c r="C47" s="428" t="s">
        <v>100</v>
      </c>
      <c r="D47" s="429"/>
      <c r="E47" s="429">
        <f>SUM(E45:E46)</f>
        <v>1000</v>
      </c>
      <c r="F47" s="429">
        <f>SUM(F45:F46)</f>
        <v>900</v>
      </c>
      <c r="G47" s="430">
        <f>SUM(G45:G46)</f>
        <v>800</v>
      </c>
      <c r="H47" s="386"/>
    </row>
    <row r="48" spans="3:14" x14ac:dyDescent="0.25">
      <c r="C48" s="423"/>
      <c r="D48" s="386"/>
      <c r="G48" s="395"/>
    </row>
    <row r="49" spans="2:16" ht="14.4" thickBot="1" x14ac:dyDescent="0.3">
      <c r="C49" s="431" t="s">
        <v>101</v>
      </c>
      <c r="D49" s="432"/>
      <c r="E49" s="432">
        <f>+E42+E47</f>
        <v>2100</v>
      </c>
      <c r="F49" s="432">
        <f>+F42+F47</f>
        <v>1700</v>
      </c>
      <c r="G49" s="433">
        <f>+G42+G47</f>
        <v>1500</v>
      </c>
      <c r="H49" s="386"/>
    </row>
    <row r="50" spans="2:16" s="434" customFormat="1" ht="13.2" x14ac:dyDescent="0.25"/>
    <row r="51" spans="2:16" s="434" customFormat="1" ht="13.2" x14ac:dyDescent="0.25"/>
    <row r="53" spans="2:16" x14ac:dyDescent="0.25">
      <c r="B53" s="695">
        <v>1</v>
      </c>
      <c r="C53" s="696" t="s">
        <v>102</v>
      </c>
      <c r="D53" s="696"/>
      <c r="E53" s="696"/>
      <c r="F53" s="696"/>
      <c r="G53" s="696"/>
      <c r="H53" s="696"/>
      <c r="I53" s="696"/>
      <c r="J53" s="696"/>
      <c r="K53" s="696"/>
      <c r="L53" s="696"/>
      <c r="M53" s="696"/>
      <c r="N53" s="696"/>
    </row>
    <row r="54" spans="2:16" x14ac:dyDescent="0.25">
      <c r="B54" s="695"/>
      <c r="C54" s="696"/>
      <c r="D54" s="696"/>
      <c r="E54" s="696"/>
      <c r="F54" s="696"/>
      <c r="G54" s="696"/>
      <c r="H54" s="696"/>
      <c r="I54" s="696"/>
      <c r="J54" s="696"/>
      <c r="K54" s="696"/>
      <c r="L54" s="696"/>
      <c r="M54" s="696"/>
      <c r="N54" s="696"/>
    </row>
    <row r="56" spans="2:16" ht="20.399999999999999" x14ac:dyDescent="0.35">
      <c r="C56" s="435" t="s">
        <v>28</v>
      </c>
    </row>
    <row r="57" spans="2:16" ht="14.4" thickBot="1" x14ac:dyDescent="0.3"/>
    <row r="58" spans="2:16" ht="15.6" x14ac:dyDescent="0.3">
      <c r="C58" s="436" t="s">
        <v>67</v>
      </c>
      <c r="E58" s="703" t="s">
        <v>71</v>
      </c>
      <c r="F58" s="704"/>
      <c r="G58" s="704"/>
      <c r="H58" s="705"/>
      <c r="I58" s="703" t="s">
        <v>72</v>
      </c>
      <c r="J58" s="704"/>
      <c r="K58" s="704"/>
      <c r="L58" s="704"/>
      <c r="M58" s="703" t="s">
        <v>73</v>
      </c>
      <c r="N58" s="704"/>
      <c r="O58" s="704"/>
      <c r="P58" s="705"/>
    </row>
    <row r="59" spans="2:16" ht="15.6" x14ac:dyDescent="0.3">
      <c r="C59" s="436" t="s">
        <v>69</v>
      </c>
      <c r="E59" s="706"/>
      <c r="F59" s="701"/>
      <c r="G59" s="701"/>
      <c r="H59" s="702"/>
      <c r="I59" s="706"/>
      <c r="J59" s="701"/>
      <c r="K59" s="701"/>
      <c r="L59" s="701"/>
      <c r="M59" s="706"/>
      <c r="N59" s="701"/>
      <c r="O59" s="701"/>
      <c r="P59" s="702"/>
    </row>
    <row r="60" spans="2:16" ht="14.4" thickBot="1" x14ac:dyDescent="0.3">
      <c r="C60" s="380" t="s">
        <v>70</v>
      </c>
      <c r="E60" s="707"/>
      <c r="F60" s="708"/>
      <c r="G60" s="708"/>
      <c r="H60" s="709"/>
      <c r="I60" s="707"/>
      <c r="J60" s="708"/>
      <c r="K60" s="708"/>
      <c r="L60" s="708"/>
      <c r="M60" s="707"/>
      <c r="N60" s="708"/>
      <c r="O60" s="708"/>
      <c r="P60" s="709"/>
    </row>
    <row r="61" spans="2:16" ht="14.4" thickTop="1" x14ac:dyDescent="0.25">
      <c r="C61" s="412" t="s">
        <v>74</v>
      </c>
      <c r="D61" s="399"/>
      <c r="E61" s="437"/>
      <c r="F61" s="399"/>
      <c r="G61" s="399"/>
      <c r="H61" s="400"/>
      <c r="I61" s="437"/>
      <c r="J61" s="399"/>
      <c r="K61" s="399"/>
      <c r="L61" s="399"/>
      <c r="M61" s="437"/>
      <c r="N61" s="399"/>
      <c r="O61" s="399"/>
      <c r="P61" s="400"/>
    </row>
    <row r="62" spans="2:16" x14ac:dyDescent="0.25">
      <c r="C62" s="380" t="s">
        <v>75</v>
      </c>
      <c r="E62" s="396"/>
      <c r="F62" s="438"/>
      <c r="H62" s="439"/>
      <c r="I62" s="396"/>
      <c r="J62" s="438"/>
      <c r="L62" s="438"/>
      <c r="M62" s="396"/>
      <c r="N62" s="438"/>
      <c r="P62" s="439"/>
    </row>
    <row r="63" spans="2:16" x14ac:dyDescent="0.25">
      <c r="C63" s="380" t="s">
        <v>76</v>
      </c>
      <c r="E63" s="396">
        <v>200</v>
      </c>
      <c r="F63" s="438">
        <f>E63/$E$70</f>
        <v>9.5238095238095233E-2</v>
      </c>
      <c r="H63" s="439">
        <f>E63/E66</f>
        <v>0.14285714285714285</v>
      </c>
      <c r="I63" s="380">
        <v>150</v>
      </c>
      <c r="J63" s="438">
        <f>I63/$I$70</f>
        <v>8.8235294117647065E-2</v>
      </c>
      <c r="L63" s="438">
        <f>I63/I66</f>
        <v>0.15</v>
      </c>
      <c r="M63" s="396">
        <v>100</v>
      </c>
      <c r="N63" s="438">
        <f>M63/$M$70</f>
        <v>6.6666666666666666E-2</v>
      </c>
      <c r="P63" s="439">
        <f>M63/M66</f>
        <v>0.125</v>
      </c>
    </row>
    <row r="64" spans="2:16" x14ac:dyDescent="0.25">
      <c r="C64" s="380" t="s">
        <v>36</v>
      </c>
      <c r="E64" s="396">
        <v>500</v>
      </c>
      <c r="F64" s="438">
        <f t="shared" ref="F64:F65" si="4">E64/$E$70</f>
        <v>0.23809523809523808</v>
      </c>
      <c r="H64" s="439">
        <f>E64/E66</f>
        <v>0.35714285714285715</v>
      </c>
      <c r="I64" s="380">
        <v>350</v>
      </c>
      <c r="J64" s="438">
        <f t="shared" ref="J64:J69" si="5">I64/$I$70</f>
        <v>0.20588235294117646</v>
      </c>
      <c r="L64" s="438">
        <f>I64/I66</f>
        <v>0.35</v>
      </c>
      <c r="M64" s="396">
        <v>300</v>
      </c>
      <c r="N64" s="438">
        <f t="shared" ref="N64:N69" si="6">M64/$M$70</f>
        <v>0.2</v>
      </c>
      <c r="P64" s="439">
        <f>M64/M66</f>
        <v>0.375</v>
      </c>
    </row>
    <row r="65" spans="3:16" x14ac:dyDescent="0.25">
      <c r="C65" s="380" t="s">
        <v>37</v>
      </c>
      <c r="E65" s="396">
        <v>700</v>
      </c>
      <c r="F65" s="438">
        <f t="shared" si="4"/>
        <v>0.33333333333333331</v>
      </c>
      <c r="H65" s="440">
        <f>E65/E66</f>
        <v>0.5</v>
      </c>
      <c r="I65" s="380">
        <v>500</v>
      </c>
      <c r="J65" s="438">
        <f t="shared" si="5"/>
        <v>0.29411764705882354</v>
      </c>
      <c r="L65" s="441">
        <f>I65/I66</f>
        <v>0.5</v>
      </c>
      <c r="M65" s="442">
        <v>400</v>
      </c>
      <c r="N65" s="438">
        <f t="shared" si="6"/>
        <v>0.26666666666666666</v>
      </c>
      <c r="P65" s="440">
        <f>M65/M66</f>
        <v>0.5</v>
      </c>
    </row>
    <row r="66" spans="3:16" x14ac:dyDescent="0.25">
      <c r="C66" s="410" t="s">
        <v>80</v>
      </c>
      <c r="D66" s="410"/>
      <c r="E66" s="409">
        <f>SUM(E63:E65)</f>
        <v>1400</v>
      </c>
      <c r="F66" s="438"/>
      <c r="G66" s="443">
        <f>SUM(F63:F65)</f>
        <v>0.66666666666666663</v>
      </c>
      <c r="H66" s="444">
        <f>SUM(H63:H65)</f>
        <v>1</v>
      </c>
      <c r="I66" s="409">
        <f>SUM(I63:I65)</f>
        <v>1000</v>
      </c>
      <c r="J66" s="438"/>
      <c r="K66" s="443">
        <f>SUM(J63:J65)</f>
        <v>0.58823529411764708</v>
      </c>
      <c r="L66" s="445">
        <f>SUM(L63:L65)</f>
        <v>1</v>
      </c>
      <c r="M66" s="409">
        <f>SUM(M63:M65)</f>
        <v>800</v>
      </c>
      <c r="N66" s="438"/>
      <c r="O66" s="443">
        <f>SUM(N63:N65)</f>
        <v>0.53333333333333333</v>
      </c>
      <c r="P66" s="444">
        <f>SUM(P63:P65)</f>
        <v>1</v>
      </c>
    </row>
    <row r="67" spans="3:16" x14ac:dyDescent="0.25">
      <c r="C67" s="380" t="s">
        <v>39</v>
      </c>
      <c r="E67" s="396"/>
      <c r="F67" s="438"/>
      <c r="H67" s="439"/>
      <c r="I67" s="396"/>
      <c r="J67" s="438"/>
      <c r="L67" s="438"/>
      <c r="M67" s="396"/>
      <c r="N67" s="438"/>
      <c r="P67" s="439"/>
    </row>
    <row r="68" spans="3:16" x14ac:dyDescent="0.25">
      <c r="C68" s="380" t="s">
        <v>83</v>
      </c>
      <c r="E68" s="442">
        <v>700</v>
      </c>
      <c r="F68" s="438">
        <f>E68/E70</f>
        <v>0.33333333333333331</v>
      </c>
      <c r="H68" s="439">
        <f>E68/E69</f>
        <v>1</v>
      </c>
      <c r="I68" s="380">
        <v>700</v>
      </c>
      <c r="J68" s="438">
        <f t="shared" si="5"/>
        <v>0.41176470588235292</v>
      </c>
      <c r="L68" s="438">
        <f>I68/I69</f>
        <v>1</v>
      </c>
      <c r="M68" s="396">
        <v>700</v>
      </c>
      <c r="N68" s="438">
        <f t="shared" si="6"/>
        <v>0.46666666666666667</v>
      </c>
      <c r="P68" s="439">
        <f>M68/M69</f>
        <v>1</v>
      </c>
    </row>
    <row r="69" spans="3:16" x14ac:dyDescent="0.25">
      <c r="C69" s="410" t="s">
        <v>42</v>
      </c>
      <c r="D69" s="410"/>
      <c r="E69" s="446">
        <f>+E68</f>
        <v>700</v>
      </c>
      <c r="F69" s="438"/>
      <c r="G69" s="447">
        <f>F68</f>
        <v>0.33333333333333331</v>
      </c>
      <c r="H69" s="755">
        <f>H68</f>
        <v>1</v>
      </c>
      <c r="I69" s="446">
        <f>+I68</f>
        <v>700</v>
      </c>
      <c r="J69" s="438"/>
      <c r="K69" s="447">
        <f>J68</f>
        <v>0.41176470588235292</v>
      </c>
      <c r="L69" s="438">
        <f>L68</f>
        <v>1</v>
      </c>
      <c r="M69" s="448">
        <f>+M68</f>
        <v>700</v>
      </c>
      <c r="N69" s="438"/>
      <c r="O69" s="447">
        <f>N68</f>
        <v>0.46666666666666667</v>
      </c>
      <c r="P69" s="439">
        <f>P68</f>
        <v>1</v>
      </c>
    </row>
    <row r="70" spans="3:16" x14ac:dyDescent="0.25">
      <c r="C70" s="412" t="s">
        <v>43</v>
      </c>
      <c r="D70" s="412"/>
      <c r="E70" s="398">
        <f>+E66+E69</f>
        <v>2100</v>
      </c>
      <c r="F70" s="449">
        <f>SUM(F63:F68)</f>
        <v>1</v>
      </c>
      <c r="G70" s="450">
        <f>G66+G69</f>
        <v>1</v>
      </c>
      <c r="H70" s="451"/>
      <c r="I70" s="398">
        <f>+I66+I69</f>
        <v>1700</v>
      </c>
      <c r="J70" s="449">
        <f>SUM(J63:J68)</f>
        <v>1</v>
      </c>
      <c r="K70" s="450">
        <f>K66+K69</f>
        <v>1</v>
      </c>
      <c r="L70" s="449"/>
      <c r="M70" s="398">
        <f>+M66+M69</f>
        <v>1500</v>
      </c>
      <c r="N70" s="449">
        <f>SUM(N63:N68)</f>
        <v>1</v>
      </c>
      <c r="O70" s="450">
        <f>O66+O69</f>
        <v>1</v>
      </c>
      <c r="P70" s="451"/>
    </row>
    <row r="71" spans="3:16" x14ac:dyDescent="0.25">
      <c r="E71" s="396"/>
      <c r="F71" s="438"/>
      <c r="H71" s="439"/>
      <c r="I71" s="396"/>
      <c r="J71" s="438"/>
      <c r="L71" s="438"/>
      <c r="M71" s="396"/>
      <c r="N71" s="438"/>
      <c r="P71" s="439"/>
    </row>
    <row r="72" spans="3:16" x14ac:dyDescent="0.25">
      <c r="C72" s="421" t="s">
        <v>86</v>
      </c>
      <c r="D72" s="415"/>
      <c r="E72" s="452"/>
      <c r="F72" s="453"/>
      <c r="G72" s="415"/>
      <c r="H72" s="454"/>
      <c r="I72" s="452"/>
      <c r="J72" s="453"/>
      <c r="K72" s="415"/>
      <c r="L72" s="453"/>
      <c r="M72" s="452"/>
      <c r="N72" s="453"/>
      <c r="O72" s="415"/>
      <c r="P72" s="454"/>
    </row>
    <row r="73" spans="3:16" x14ac:dyDescent="0.25">
      <c r="C73" s="380" t="s">
        <v>88</v>
      </c>
      <c r="E73" s="396"/>
      <c r="F73" s="438"/>
      <c r="H73" s="439"/>
      <c r="I73" s="396"/>
      <c r="J73" s="438"/>
      <c r="L73" s="438"/>
      <c r="M73" s="396"/>
      <c r="N73" s="438"/>
      <c r="P73" s="439"/>
    </row>
    <row r="74" spans="3:16" x14ac:dyDescent="0.25">
      <c r="C74" s="380" t="s">
        <v>89</v>
      </c>
      <c r="E74" s="396">
        <v>200</v>
      </c>
      <c r="F74" s="438">
        <f>E74/E88</f>
        <v>9.5238095238095233E-2</v>
      </c>
      <c r="H74" s="439">
        <f>E74/E76</f>
        <v>0.5714285714285714</v>
      </c>
      <c r="I74" s="380">
        <v>200</v>
      </c>
      <c r="J74" s="438">
        <f>I74/$I$88</f>
        <v>0.11764705882352941</v>
      </c>
      <c r="L74" s="438">
        <f>I74/I76</f>
        <v>0.5714285714285714</v>
      </c>
      <c r="M74" s="396">
        <v>200</v>
      </c>
      <c r="N74" s="438">
        <f>M74/$M$88</f>
        <v>0.13333333333333333</v>
      </c>
      <c r="P74" s="439">
        <f>M74/M76</f>
        <v>0.5714285714285714</v>
      </c>
    </row>
    <row r="75" spans="3:16" x14ac:dyDescent="0.25">
      <c r="C75" s="380" t="s">
        <v>90</v>
      </c>
      <c r="E75" s="396">
        <v>150</v>
      </c>
      <c r="F75" s="438">
        <f>E75/E88</f>
        <v>7.1428571428571425E-2</v>
      </c>
      <c r="H75" s="440">
        <f>E75/E76</f>
        <v>0.42857142857142855</v>
      </c>
      <c r="I75" s="380">
        <v>150</v>
      </c>
      <c r="J75" s="438">
        <f t="shared" ref="J75:J80" si="7">I75/$I$88</f>
        <v>8.8235294117647065E-2</v>
      </c>
      <c r="L75" s="441">
        <f>I75/I76</f>
        <v>0.42857142857142855</v>
      </c>
      <c r="M75" s="442">
        <v>150</v>
      </c>
      <c r="N75" s="438">
        <f t="shared" ref="N75:N80" si="8">M75/$M$88</f>
        <v>0.1</v>
      </c>
      <c r="P75" s="440">
        <f>M75/M76</f>
        <v>0.42857142857142855</v>
      </c>
    </row>
    <row r="76" spans="3:16" x14ac:dyDescent="0.25">
      <c r="C76" s="410" t="s">
        <v>91</v>
      </c>
      <c r="D76" s="410"/>
      <c r="E76" s="409">
        <f>SUM(E74:E75)</f>
        <v>350</v>
      </c>
      <c r="F76" s="438"/>
      <c r="G76" s="443">
        <f>F74+F75</f>
        <v>0.16666666666666666</v>
      </c>
      <c r="H76" s="444">
        <f>H74+H75</f>
        <v>1</v>
      </c>
      <c r="I76" s="409">
        <f>SUM(I74:I75)</f>
        <v>350</v>
      </c>
      <c r="J76" s="438"/>
      <c r="K76" s="443">
        <f>J74+J75</f>
        <v>0.20588235294117646</v>
      </c>
      <c r="L76" s="445">
        <f>L74+L75</f>
        <v>1</v>
      </c>
      <c r="M76" s="409">
        <f>SUM(M74:M75)</f>
        <v>350</v>
      </c>
      <c r="N76" s="438"/>
      <c r="O76" s="443">
        <f>N74+N75</f>
        <v>0.23333333333333334</v>
      </c>
      <c r="P76" s="444">
        <f>P74+P75</f>
        <v>1</v>
      </c>
    </row>
    <row r="77" spans="3:16" x14ac:dyDescent="0.25">
      <c r="C77" s="380" t="s">
        <v>92</v>
      </c>
      <c r="D77" s="386"/>
      <c r="E77" s="396"/>
      <c r="F77" s="438"/>
      <c r="H77" s="439"/>
      <c r="I77" s="396"/>
      <c r="J77" s="438"/>
      <c r="L77" s="438"/>
      <c r="M77" s="396"/>
      <c r="N77" s="438"/>
      <c r="P77" s="439"/>
    </row>
    <row r="78" spans="3:16" x14ac:dyDescent="0.25">
      <c r="C78" s="380" t="s">
        <v>93</v>
      </c>
      <c r="E78" s="396">
        <v>350</v>
      </c>
      <c r="F78" s="438">
        <f>E78/E88</f>
        <v>0.16666666666666666</v>
      </c>
      <c r="H78" s="439">
        <f>E78/E80</f>
        <v>0.46666666666666667</v>
      </c>
      <c r="I78" s="380">
        <v>220</v>
      </c>
      <c r="J78" s="438">
        <f t="shared" si="7"/>
        <v>0.12941176470588237</v>
      </c>
      <c r="L78" s="438">
        <f>I78/I80</f>
        <v>0.48888888888888887</v>
      </c>
      <c r="M78" s="396">
        <v>200</v>
      </c>
      <c r="N78" s="438">
        <f t="shared" si="8"/>
        <v>0.13333333333333333</v>
      </c>
      <c r="P78" s="439">
        <f>M78/M80</f>
        <v>0.5714285714285714</v>
      </c>
    </row>
    <row r="79" spans="3:16" x14ac:dyDescent="0.25">
      <c r="C79" s="380" t="s">
        <v>94</v>
      </c>
      <c r="E79" s="396">
        <v>400</v>
      </c>
      <c r="F79" s="282">
        <f>E79/E88</f>
        <v>0.19047619047619047</v>
      </c>
      <c r="H79" s="440">
        <f>E79/E80</f>
        <v>0.53333333333333333</v>
      </c>
      <c r="I79" s="380">
        <v>230</v>
      </c>
      <c r="J79" s="438">
        <f t="shared" si="7"/>
        <v>0.13529411764705881</v>
      </c>
      <c r="L79" s="441">
        <f>I79/I80</f>
        <v>0.51111111111111107</v>
      </c>
      <c r="M79" s="396">
        <v>150</v>
      </c>
      <c r="N79" s="438">
        <f t="shared" si="8"/>
        <v>0.1</v>
      </c>
      <c r="P79" s="440">
        <f>M79/M80</f>
        <v>0.42857142857142855</v>
      </c>
    </row>
    <row r="80" spans="3:16" x14ac:dyDescent="0.25">
      <c r="C80" s="455" t="s">
        <v>95</v>
      </c>
      <c r="D80" s="410"/>
      <c r="E80" s="446">
        <f>SUM(E78:E79)</f>
        <v>750</v>
      </c>
      <c r="F80" s="438"/>
      <c r="G80" s="443">
        <f>F78+F79</f>
        <v>0.3571428571428571</v>
      </c>
      <c r="H80" s="444">
        <f>H78+H79</f>
        <v>1</v>
      </c>
      <c r="I80" s="446">
        <f>SUM(I78:I79)</f>
        <v>450</v>
      </c>
      <c r="J80" s="438"/>
      <c r="K80" s="443">
        <f>J78+J79</f>
        <v>0.26470588235294118</v>
      </c>
      <c r="L80" s="445">
        <f>L78+L79</f>
        <v>1</v>
      </c>
      <c r="M80" s="448">
        <f>SUM(M78:M79)</f>
        <v>350</v>
      </c>
      <c r="N80" s="438"/>
      <c r="O80" s="443">
        <f>N78+N79</f>
        <v>0.23333333333333334</v>
      </c>
      <c r="P80" s="444">
        <f>P78+P79</f>
        <v>1</v>
      </c>
    </row>
    <row r="81" spans="3:16" x14ac:dyDescent="0.25">
      <c r="C81" s="456" t="s">
        <v>96</v>
      </c>
      <c r="D81" s="421"/>
      <c r="E81" s="414">
        <f>+E76+E80</f>
        <v>1100</v>
      </c>
      <c r="F81" s="453"/>
      <c r="G81" s="457">
        <f>G76+G80</f>
        <v>0.52380952380952372</v>
      </c>
      <c r="H81" s="454"/>
      <c r="I81" s="414">
        <f>+I76+I80</f>
        <v>800</v>
      </c>
      <c r="J81" s="453"/>
      <c r="K81" s="457"/>
      <c r="L81" s="453"/>
      <c r="M81" s="414">
        <f>+M76+M80</f>
        <v>700</v>
      </c>
      <c r="N81" s="453"/>
      <c r="O81" s="457"/>
      <c r="P81" s="454"/>
    </row>
    <row r="82" spans="3:16" x14ac:dyDescent="0.25">
      <c r="C82" s="458"/>
      <c r="E82" s="396"/>
      <c r="F82" s="438"/>
      <c r="H82" s="439"/>
      <c r="I82" s="396"/>
      <c r="J82" s="438"/>
      <c r="L82" s="438"/>
      <c r="M82" s="396"/>
      <c r="N82" s="438"/>
      <c r="P82" s="439"/>
    </row>
    <row r="83" spans="3:16" x14ac:dyDescent="0.25">
      <c r="C83" s="459" t="s">
        <v>97</v>
      </c>
      <c r="D83" s="425"/>
      <c r="E83" s="460"/>
      <c r="F83" s="461"/>
      <c r="G83" s="425"/>
      <c r="H83" s="462"/>
      <c r="I83" s="460"/>
      <c r="J83" s="461"/>
      <c r="K83" s="425"/>
      <c r="L83" s="461"/>
      <c r="M83" s="460"/>
      <c r="N83" s="461"/>
      <c r="O83" s="425"/>
      <c r="P83" s="462"/>
    </row>
    <row r="84" spans="3:16" x14ac:dyDescent="0.25">
      <c r="C84" s="463" t="s">
        <v>98</v>
      </c>
      <c r="E84" s="396">
        <v>700</v>
      </c>
      <c r="F84" s="438">
        <f>E84/E88</f>
        <v>0.33333333333333331</v>
      </c>
      <c r="H84" s="439">
        <f>E84/E86</f>
        <v>0.7</v>
      </c>
      <c r="I84" s="442">
        <v>600</v>
      </c>
      <c r="J84" s="438">
        <f>I84/I88</f>
        <v>0.35294117647058826</v>
      </c>
      <c r="L84" s="438">
        <f>I84/I86</f>
        <v>0.66666666666666663</v>
      </c>
      <c r="M84" s="396">
        <v>500</v>
      </c>
      <c r="N84" s="438">
        <f>M84/M88</f>
        <v>0.33333333333333331</v>
      </c>
      <c r="P84" s="439">
        <f>M84/M86</f>
        <v>0.625</v>
      </c>
    </row>
    <row r="85" spans="3:16" x14ac:dyDescent="0.25">
      <c r="C85" s="463" t="s">
        <v>99</v>
      </c>
      <c r="E85" s="396">
        <v>300</v>
      </c>
      <c r="F85" s="438">
        <f>E85/E88</f>
        <v>0.14285714285714285</v>
      </c>
      <c r="H85" s="440">
        <f>E85/E86</f>
        <v>0.3</v>
      </c>
      <c r="I85" s="380">
        <v>300</v>
      </c>
      <c r="J85" s="438">
        <f>I85/I88</f>
        <v>0.17647058823529413</v>
      </c>
      <c r="L85" s="441">
        <f>I85/I86</f>
        <v>0.33333333333333331</v>
      </c>
      <c r="M85" s="442">
        <v>300</v>
      </c>
      <c r="N85" s="438">
        <f>M85/M88</f>
        <v>0.2</v>
      </c>
      <c r="P85" s="440">
        <f>M85/M86</f>
        <v>0.375</v>
      </c>
    </row>
    <row r="86" spans="3:16" x14ac:dyDescent="0.25">
      <c r="C86" s="464" t="s">
        <v>100</v>
      </c>
      <c r="D86" s="429"/>
      <c r="E86" s="465">
        <f>SUM(E84:E85)</f>
        <v>1000</v>
      </c>
      <c r="F86" s="461"/>
      <c r="G86" s="466">
        <f>F84+F85</f>
        <v>0.47619047619047616</v>
      </c>
      <c r="H86" s="467">
        <f>H84+H85</f>
        <v>1</v>
      </c>
      <c r="I86" s="465">
        <f>SUM(I84:I85)</f>
        <v>900</v>
      </c>
      <c r="J86" s="461"/>
      <c r="K86" s="466">
        <f>J84+J85</f>
        <v>0.52941176470588236</v>
      </c>
      <c r="L86" s="468">
        <f>L84+L85</f>
        <v>1</v>
      </c>
      <c r="M86" s="465">
        <f>SUM(M84:M85)</f>
        <v>800</v>
      </c>
      <c r="N86" s="461"/>
      <c r="O86" s="466">
        <f>N84+N85</f>
        <v>0.53333333333333333</v>
      </c>
      <c r="P86" s="467">
        <f>P84+P85</f>
        <v>1</v>
      </c>
    </row>
    <row r="87" spans="3:16" x14ac:dyDescent="0.25">
      <c r="C87" s="458"/>
      <c r="D87" s="386"/>
      <c r="E87" s="396"/>
      <c r="F87" s="438"/>
      <c r="H87" s="439"/>
      <c r="I87" s="396"/>
      <c r="J87" s="438"/>
      <c r="L87" s="438"/>
      <c r="M87" s="396"/>
      <c r="N87" s="438"/>
      <c r="P87" s="439"/>
    </row>
    <row r="88" spans="3:16" ht="14.4" thickBot="1" x14ac:dyDescent="0.3">
      <c r="C88" s="469" t="s">
        <v>101</v>
      </c>
      <c r="D88" s="470"/>
      <c r="E88" s="471">
        <f>+E81+E86</f>
        <v>2100</v>
      </c>
      <c r="F88" s="472">
        <f>SUM(F74:F85)</f>
        <v>0.99999999999999978</v>
      </c>
      <c r="G88" s="473">
        <f>+G81+G86</f>
        <v>0.99999999999999989</v>
      </c>
      <c r="H88" s="474"/>
      <c r="I88" s="471">
        <f>+I81+I86</f>
        <v>1700</v>
      </c>
      <c r="J88" s="472">
        <f>SUM(J74:J85)</f>
        <v>1</v>
      </c>
      <c r="K88" s="473">
        <f>K76+K80+K86</f>
        <v>1</v>
      </c>
      <c r="L88" s="472"/>
      <c r="M88" s="471">
        <f>+M81+M86</f>
        <v>1500</v>
      </c>
      <c r="N88" s="472">
        <f>SUM(N74:N85)</f>
        <v>1</v>
      </c>
      <c r="O88" s="473">
        <f>O76+O80+O86</f>
        <v>1</v>
      </c>
      <c r="P88" s="474"/>
    </row>
    <row r="91" spans="3:16" ht="16.2" thickBot="1" x14ac:dyDescent="0.35">
      <c r="D91" s="710" t="s">
        <v>256</v>
      </c>
      <c r="E91" s="710"/>
      <c r="F91" s="710"/>
      <c r="G91" s="710"/>
      <c r="H91" s="710"/>
      <c r="I91" s="710" t="s">
        <v>257</v>
      </c>
      <c r="J91" s="710"/>
      <c r="K91" s="710"/>
      <c r="L91" s="710"/>
      <c r="M91" s="710"/>
    </row>
    <row r="92" spans="3:16" ht="14.25" customHeight="1" thickTop="1" x14ac:dyDescent="0.25">
      <c r="C92" s="711" t="s">
        <v>71</v>
      </c>
      <c r="D92" s="712"/>
      <c r="E92" s="712"/>
      <c r="F92" s="712"/>
      <c r="G92" s="712"/>
      <c r="H92" s="712"/>
      <c r="I92" s="712"/>
      <c r="J92" s="712"/>
      <c r="K92" s="712"/>
      <c r="L92" s="712"/>
      <c r="M92" s="712"/>
    </row>
    <row r="93" spans="3:16" x14ac:dyDescent="0.25">
      <c r="C93" s="711"/>
      <c r="D93" s="713"/>
      <c r="E93" s="713"/>
      <c r="F93" s="713"/>
      <c r="G93" s="713"/>
      <c r="H93" s="713"/>
      <c r="I93" s="713"/>
      <c r="J93" s="713"/>
      <c r="K93" s="713"/>
      <c r="L93" s="713"/>
      <c r="M93" s="713"/>
    </row>
    <row r="94" spans="3:16" ht="14.25" customHeight="1" x14ac:dyDescent="0.25">
      <c r="C94" s="711"/>
      <c r="D94" s="713"/>
      <c r="E94" s="713"/>
      <c r="F94" s="713"/>
      <c r="G94" s="713"/>
      <c r="H94" s="713"/>
      <c r="I94" s="713"/>
      <c r="J94" s="713"/>
      <c r="K94" s="713"/>
      <c r="L94" s="713"/>
      <c r="M94" s="713"/>
    </row>
    <row r="95" spans="3:16" x14ac:dyDescent="0.25">
      <c r="C95" s="711"/>
      <c r="D95" s="713"/>
      <c r="E95" s="713"/>
      <c r="F95" s="713"/>
      <c r="G95" s="713"/>
      <c r="H95" s="713"/>
      <c r="I95" s="713"/>
      <c r="J95" s="713"/>
      <c r="K95" s="713"/>
      <c r="L95" s="713"/>
      <c r="M95" s="713"/>
    </row>
    <row r="96" spans="3:16" ht="14.25" customHeight="1" x14ac:dyDescent="0.25">
      <c r="C96" s="711" t="s">
        <v>72</v>
      </c>
      <c r="D96" s="713"/>
      <c r="E96" s="713"/>
      <c r="F96" s="713"/>
      <c r="G96" s="713"/>
      <c r="H96" s="713"/>
      <c r="I96" s="713"/>
      <c r="J96" s="713"/>
      <c r="K96" s="713"/>
      <c r="L96" s="713"/>
      <c r="M96" s="713"/>
    </row>
    <row r="97" spans="2:20" x14ac:dyDescent="0.25">
      <c r="C97" s="711"/>
      <c r="D97" s="713"/>
      <c r="E97" s="713"/>
      <c r="F97" s="713"/>
      <c r="G97" s="713"/>
      <c r="H97" s="713"/>
      <c r="I97" s="713"/>
      <c r="J97" s="713"/>
      <c r="K97" s="713"/>
      <c r="L97" s="713"/>
      <c r="M97" s="713"/>
    </row>
    <row r="98" spans="2:20" ht="14.25" customHeight="1" x14ac:dyDescent="0.25">
      <c r="C98" s="711"/>
      <c r="D98" s="713"/>
      <c r="E98" s="713"/>
      <c r="F98" s="713"/>
      <c r="G98" s="713"/>
      <c r="H98" s="713"/>
      <c r="I98" s="713"/>
      <c r="J98" s="713"/>
      <c r="K98" s="713"/>
      <c r="L98" s="713"/>
      <c r="M98" s="713"/>
    </row>
    <row r="99" spans="2:20" x14ac:dyDescent="0.25">
      <c r="C99" s="711"/>
      <c r="D99" s="713"/>
      <c r="E99" s="713"/>
      <c r="F99" s="713"/>
      <c r="G99" s="713"/>
      <c r="H99" s="713"/>
      <c r="I99" s="713"/>
      <c r="J99" s="713"/>
      <c r="K99" s="713"/>
      <c r="L99" s="713"/>
      <c r="M99" s="713"/>
    </row>
    <row r="100" spans="2:20" ht="14.25" customHeight="1" x14ac:dyDescent="0.25">
      <c r="C100" s="711" t="s">
        <v>73</v>
      </c>
      <c r="D100" s="713"/>
      <c r="E100" s="713"/>
      <c r="F100" s="713"/>
      <c r="G100" s="713"/>
      <c r="H100" s="713"/>
      <c r="I100" s="713"/>
      <c r="J100" s="713"/>
      <c r="K100" s="713"/>
      <c r="L100" s="713"/>
      <c r="M100" s="713"/>
    </row>
    <row r="101" spans="2:20" x14ac:dyDescent="0.25">
      <c r="C101" s="711"/>
      <c r="D101" s="713"/>
      <c r="E101" s="713"/>
      <c r="F101" s="713"/>
      <c r="G101" s="713"/>
      <c r="H101" s="713"/>
      <c r="I101" s="713"/>
      <c r="J101" s="713"/>
      <c r="K101" s="713"/>
      <c r="L101" s="713"/>
      <c r="M101" s="713"/>
    </row>
    <row r="102" spans="2:20" ht="14.25" customHeight="1" x14ac:dyDescent="0.25">
      <c r="C102" s="711"/>
      <c r="D102" s="713"/>
      <c r="E102" s="713"/>
      <c r="F102" s="713"/>
      <c r="G102" s="713"/>
      <c r="H102" s="713"/>
      <c r="I102" s="713"/>
      <c r="J102" s="713"/>
      <c r="K102" s="713"/>
      <c r="L102" s="713"/>
      <c r="M102" s="713"/>
    </row>
    <row r="103" spans="2:20" ht="18.75" customHeight="1" x14ac:dyDescent="0.25">
      <c r="C103" s="711"/>
      <c r="D103" s="713"/>
      <c r="E103" s="713"/>
      <c r="F103" s="713"/>
      <c r="G103" s="713"/>
      <c r="H103" s="713"/>
      <c r="I103" s="713"/>
      <c r="J103" s="713"/>
      <c r="K103" s="713"/>
      <c r="L103" s="713"/>
      <c r="M103" s="713"/>
    </row>
    <row r="106" spans="2:20" ht="14.25" customHeight="1" x14ac:dyDescent="0.25">
      <c r="B106" s="695">
        <v>2</v>
      </c>
      <c r="C106" s="721" t="s">
        <v>258</v>
      </c>
      <c r="D106" s="721"/>
      <c r="E106" s="721"/>
      <c r="F106" s="721"/>
      <c r="G106" s="721"/>
      <c r="H106" s="721"/>
      <c r="I106" s="721"/>
      <c r="J106" s="721"/>
      <c r="K106" s="721"/>
      <c r="L106" s="721"/>
      <c r="M106" s="721"/>
      <c r="N106" s="721"/>
      <c r="O106" s="721"/>
      <c r="P106" s="721"/>
      <c r="Q106" s="721"/>
      <c r="R106" s="721"/>
      <c r="S106" s="721"/>
      <c r="T106" s="721"/>
    </row>
    <row r="107" spans="2:20" x14ac:dyDescent="0.25">
      <c r="B107" s="695"/>
      <c r="C107" s="721"/>
      <c r="D107" s="721"/>
      <c r="E107" s="721"/>
      <c r="F107" s="721"/>
      <c r="G107" s="721"/>
      <c r="H107" s="721"/>
      <c r="I107" s="721"/>
      <c r="J107" s="721"/>
      <c r="K107" s="721"/>
      <c r="L107" s="721"/>
      <c r="M107" s="721"/>
      <c r="N107" s="721"/>
      <c r="O107" s="721"/>
      <c r="P107" s="721"/>
      <c r="Q107" s="721"/>
      <c r="R107" s="721"/>
      <c r="S107" s="721"/>
      <c r="T107" s="721"/>
    </row>
    <row r="108" spans="2:20" ht="14.4" thickBot="1" x14ac:dyDescent="0.3"/>
    <row r="109" spans="2:20" ht="30.6" thickBot="1" x14ac:dyDescent="0.55000000000000004">
      <c r="B109" s="722" t="s">
        <v>163</v>
      </c>
      <c r="C109" s="723"/>
      <c r="D109" s="723"/>
      <c r="E109" s="723"/>
      <c r="F109" s="723"/>
      <c r="G109" s="723"/>
      <c r="H109" s="723"/>
      <c r="I109" s="723"/>
      <c r="J109" s="723"/>
      <c r="K109" s="723"/>
      <c r="L109" s="723"/>
      <c r="M109" s="723"/>
      <c r="N109" s="723"/>
      <c r="O109" s="723"/>
      <c r="P109" s="723"/>
      <c r="Q109" s="723"/>
      <c r="R109" s="723"/>
      <c r="S109" s="723"/>
      <c r="T109" s="724"/>
    </row>
    <row r="110" spans="2:20" ht="30" customHeight="1" x14ac:dyDescent="0.25">
      <c r="B110" s="695" t="s">
        <v>164</v>
      </c>
      <c r="C110" s="695"/>
      <c r="D110" s="695"/>
      <c r="E110" s="695"/>
      <c r="F110" s="695"/>
      <c r="G110" s="695"/>
      <c r="H110" s="695"/>
      <c r="I110" s="695"/>
      <c r="J110" s="695"/>
      <c r="K110" s="695"/>
      <c r="L110" s="725" t="s">
        <v>71</v>
      </c>
      <c r="M110" s="726"/>
      <c r="N110" s="727"/>
      <c r="O110" s="725" t="s">
        <v>72</v>
      </c>
      <c r="P110" s="726"/>
      <c r="Q110" s="727"/>
      <c r="R110" s="725" t="s">
        <v>73</v>
      </c>
      <c r="S110" s="726"/>
      <c r="T110" s="727"/>
    </row>
    <row r="111" spans="2:20" ht="17.399999999999999" x14ac:dyDescent="0.3">
      <c r="B111" s="730" t="s">
        <v>168</v>
      </c>
      <c r="C111" s="731"/>
      <c r="D111" s="731"/>
      <c r="E111" s="731"/>
      <c r="F111" s="731"/>
      <c r="G111" s="731"/>
      <c r="H111" s="731"/>
      <c r="I111" s="731"/>
      <c r="J111" s="731"/>
      <c r="K111" s="731"/>
      <c r="L111" s="728"/>
      <c r="M111" s="695"/>
      <c r="N111" s="729"/>
      <c r="O111" s="728"/>
      <c r="P111" s="695"/>
      <c r="Q111" s="729"/>
      <c r="R111" s="728"/>
      <c r="S111" s="695"/>
      <c r="T111" s="729"/>
    </row>
    <row r="112" spans="2:20" x14ac:dyDescent="0.25">
      <c r="B112" s="475"/>
      <c r="C112" s="476"/>
      <c r="D112" s="476"/>
      <c r="E112" s="476"/>
      <c r="F112" s="476"/>
      <c r="G112" s="476"/>
      <c r="H112" s="476"/>
      <c r="I112" s="476"/>
      <c r="J112" s="476"/>
      <c r="K112" s="476"/>
      <c r="L112" s="477"/>
      <c r="M112" s="476"/>
      <c r="N112" s="478"/>
      <c r="O112" s="477"/>
      <c r="P112" s="476"/>
      <c r="Q112" s="478"/>
      <c r="R112" s="477"/>
      <c r="S112" s="476"/>
      <c r="T112" s="478"/>
    </row>
    <row r="113" spans="2:20" x14ac:dyDescent="0.25">
      <c r="B113" s="479" t="s">
        <v>169</v>
      </c>
      <c r="L113" s="396"/>
      <c r="N113" s="402"/>
      <c r="O113" s="396"/>
      <c r="Q113" s="402"/>
      <c r="R113" s="396"/>
      <c r="T113" s="402"/>
    </row>
    <row r="114" spans="2:20" ht="15" customHeight="1" x14ac:dyDescent="0.25">
      <c r="B114" s="714" t="s">
        <v>259</v>
      </c>
      <c r="C114" s="715"/>
      <c r="D114" s="715"/>
      <c r="E114" s="715"/>
      <c r="G114" s="716" t="s">
        <v>171</v>
      </c>
      <c r="H114" s="716"/>
      <c r="I114" s="716"/>
      <c r="J114" s="380" t="s">
        <v>172</v>
      </c>
      <c r="L114" s="480">
        <f>E66</f>
        <v>1400</v>
      </c>
      <c r="M114" s="401" t="s">
        <v>173</v>
      </c>
      <c r="N114" s="481">
        <f>L114/L115</f>
        <v>4</v>
      </c>
      <c r="O114" s="480">
        <f>I66</f>
        <v>1000</v>
      </c>
      <c r="P114" s="401" t="s">
        <v>173</v>
      </c>
      <c r="Q114" s="481">
        <f>O114/O115</f>
        <v>2.8571428571428572</v>
      </c>
      <c r="R114" s="480">
        <f>M66</f>
        <v>800</v>
      </c>
      <c r="S114" s="401" t="s">
        <v>173</v>
      </c>
      <c r="T114" s="481">
        <f>R114/R115</f>
        <v>2.2857142857142856</v>
      </c>
    </row>
    <row r="115" spans="2:20" x14ac:dyDescent="0.25">
      <c r="B115" s="714"/>
      <c r="C115" s="715"/>
      <c r="D115" s="715"/>
      <c r="E115" s="715"/>
      <c r="H115" s="401" t="s">
        <v>174</v>
      </c>
      <c r="I115" s="401"/>
      <c r="L115" s="482">
        <f>E76</f>
        <v>350</v>
      </c>
      <c r="M115" s="401"/>
      <c r="N115" s="483"/>
      <c r="O115" s="484">
        <f>I76</f>
        <v>350</v>
      </c>
      <c r="P115" s="401"/>
      <c r="Q115" s="483"/>
      <c r="R115" s="484">
        <f>M76</f>
        <v>350</v>
      </c>
      <c r="S115" s="401"/>
      <c r="T115" s="483"/>
    </row>
    <row r="116" spans="2:20" x14ac:dyDescent="0.25">
      <c r="B116" s="714"/>
      <c r="C116" s="715"/>
      <c r="D116" s="715"/>
      <c r="E116" s="715"/>
      <c r="L116" s="485"/>
      <c r="M116" s="401"/>
      <c r="N116" s="483"/>
      <c r="O116" s="485"/>
      <c r="P116" s="401"/>
      <c r="Q116" s="483"/>
      <c r="R116" s="485"/>
      <c r="S116" s="401"/>
      <c r="T116" s="483"/>
    </row>
    <row r="117" spans="2:20" x14ac:dyDescent="0.25">
      <c r="B117" s="486"/>
      <c r="L117" s="485"/>
      <c r="M117" s="401"/>
      <c r="N117" s="483"/>
      <c r="O117" s="485"/>
      <c r="P117" s="401"/>
      <c r="Q117" s="483"/>
      <c r="R117" s="485"/>
      <c r="S117" s="401"/>
      <c r="T117" s="483"/>
    </row>
    <row r="118" spans="2:20" x14ac:dyDescent="0.25">
      <c r="B118" s="479" t="s">
        <v>175</v>
      </c>
      <c r="L118" s="485"/>
      <c r="M118" s="401"/>
      <c r="N118" s="483"/>
      <c r="O118" s="485"/>
      <c r="P118" s="401"/>
      <c r="Q118" s="483"/>
      <c r="R118" s="485"/>
      <c r="S118" s="401"/>
      <c r="T118" s="483"/>
    </row>
    <row r="119" spans="2:20" x14ac:dyDescent="0.25">
      <c r="B119" s="717" t="s">
        <v>176</v>
      </c>
      <c r="C119" s="718"/>
      <c r="D119" s="718"/>
      <c r="E119" s="718"/>
      <c r="G119" s="716" t="s">
        <v>177</v>
      </c>
      <c r="H119" s="716"/>
      <c r="I119" s="716"/>
      <c r="J119" s="380" t="s">
        <v>172</v>
      </c>
      <c r="L119" s="480">
        <f>E66-E65</f>
        <v>700</v>
      </c>
      <c r="M119" s="401" t="s">
        <v>173</v>
      </c>
      <c r="N119" s="481">
        <f>L119/L120</f>
        <v>2</v>
      </c>
      <c r="O119" s="480">
        <f>I66-I65</f>
        <v>500</v>
      </c>
      <c r="P119" s="401" t="s">
        <v>173</v>
      </c>
      <c r="Q119" s="481">
        <f>O119/O120</f>
        <v>1.4285714285714286</v>
      </c>
      <c r="R119" s="480">
        <f>M66-M65</f>
        <v>400</v>
      </c>
      <c r="S119" s="401" t="s">
        <v>173</v>
      </c>
      <c r="T119" s="481">
        <f>R119/R120</f>
        <v>1.1428571428571428</v>
      </c>
    </row>
    <row r="120" spans="2:20" x14ac:dyDescent="0.25">
      <c r="B120" s="717"/>
      <c r="C120" s="718"/>
      <c r="D120" s="718"/>
      <c r="E120" s="718"/>
      <c r="G120" s="719" t="s">
        <v>174</v>
      </c>
      <c r="H120" s="719"/>
      <c r="I120" s="719"/>
      <c r="L120" s="482">
        <f>E76</f>
        <v>350</v>
      </c>
      <c r="M120" s="401"/>
      <c r="N120" s="483"/>
      <c r="O120" s="484">
        <f>I76</f>
        <v>350</v>
      </c>
      <c r="P120" s="401"/>
      <c r="Q120" s="483"/>
      <c r="R120" s="484">
        <f>R115</f>
        <v>350</v>
      </c>
      <c r="S120" s="401"/>
      <c r="T120" s="483"/>
    </row>
    <row r="121" spans="2:20" x14ac:dyDescent="0.25">
      <c r="B121" s="717"/>
      <c r="C121" s="718"/>
      <c r="D121" s="718"/>
      <c r="E121" s="718"/>
      <c r="L121" s="396"/>
      <c r="N121" s="483"/>
      <c r="O121" s="396"/>
      <c r="Q121" s="483"/>
      <c r="R121" s="396"/>
      <c r="T121" s="483"/>
    </row>
    <row r="122" spans="2:20" x14ac:dyDescent="0.25">
      <c r="B122" s="486"/>
      <c r="L122" s="396"/>
      <c r="N122" s="483"/>
      <c r="O122" s="396"/>
      <c r="Q122" s="483"/>
      <c r="R122" s="396"/>
      <c r="T122" s="483"/>
    </row>
    <row r="123" spans="2:20" ht="29.25" customHeight="1" x14ac:dyDescent="0.25">
      <c r="B123" s="487" t="s">
        <v>178</v>
      </c>
      <c r="G123" s="720" t="s">
        <v>179</v>
      </c>
      <c r="H123" s="720"/>
      <c r="I123" s="720"/>
      <c r="J123" s="380" t="s">
        <v>172</v>
      </c>
      <c r="L123" s="488">
        <f>L23</f>
        <v>-1650</v>
      </c>
      <c r="M123" s="401" t="s">
        <v>173</v>
      </c>
      <c r="N123" s="481">
        <f>L123/L124</f>
        <v>-2.3571428571428572</v>
      </c>
      <c r="O123" s="488">
        <f>M23</f>
        <v>-1650</v>
      </c>
      <c r="P123" s="401" t="s">
        <v>173</v>
      </c>
      <c r="Q123" s="481">
        <f>O123/O124</f>
        <v>-3.3</v>
      </c>
      <c r="R123" s="488">
        <f>N23</f>
        <v>-1650</v>
      </c>
      <c r="S123" s="401" t="s">
        <v>173</v>
      </c>
      <c r="T123" s="481">
        <f>R123/R124</f>
        <v>-4.125</v>
      </c>
    </row>
    <row r="124" spans="2:20" x14ac:dyDescent="0.25">
      <c r="B124" s="486" t="s">
        <v>180</v>
      </c>
      <c r="G124" s="719" t="s">
        <v>181</v>
      </c>
      <c r="H124" s="719"/>
      <c r="I124" s="719"/>
      <c r="L124" s="489">
        <f>E65</f>
        <v>700</v>
      </c>
      <c r="N124" s="483"/>
      <c r="O124" s="489">
        <f>I65</f>
        <v>500</v>
      </c>
      <c r="Q124" s="483"/>
      <c r="R124" s="489">
        <f>M65</f>
        <v>400</v>
      </c>
      <c r="T124" s="483"/>
    </row>
    <row r="125" spans="2:20" x14ac:dyDescent="0.25">
      <c r="B125" s="486"/>
      <c r="L125" s="396"/>
      <c r="N125" s="483"/>
      <c r="O125" s="396"/>
      <c r="Q125" s="483"/>
      <c r="R125" s="396"/>
      <c r="T125" s="483"/>
    </row>
    <row r="126" spans="2:20" ht="39" customHeight="1" x14ac:dyDescent="0.25">
      <c r="B126" s="479" t="s">
        <v>182</v>
      </c>
      <c r="G126" s="720" t="s">
        <v>36</v>
      </c>
      <c r="H126" s="720"/>
      <c r="I126" s="720"/>
      <c r="J126" s="401" t="s">
        <v>183</v>
      </c>
      <c r="L126" s="442">
        <f>E64</f>
        <v>500</v>
      </c>
      <c r="M126" s="401" t="s">
        <v>173</v>
      </c>
      <c r="N126" s="758">
        <f>L126/L127</f>
        <v>59.999999999999993</v>
      </c>
      <c r="O126" s="442">
        <f>I64</f>
        <v>350</v>
      </c>
      <c r="P126" s="401" t="s">
        <v>173</v>
      </c>
      <c r="Q126" s="758">
        <f>O126/O127</f>
        <v>42</v>
      </c>
      <c r="R126" s="442">
        <f>M64</f>
        <v>300</v>
      </c>
      <c r="S126" s="401" t="s">
        <v>173</v>
      </c>
      <c r="T126" s="758">
        <f>R126/R127</f>
        <v>36</v>
      </c>
    </row>
    <row r="127" spans="2:20" x14ac:dyDescent="0.25">
      <c r="B127" s="734" t="s">
        <v>184</v>
      </c>
      <c r="C127" s="735"/>
      <c r="D127" s="735"/>
      <c r="E127" s="735"/>
      <c r="G127" s="719" t="s">
        <v>260</v>
      </c>
      <c r="H127" s="719"/>
      <c r="I127" s="719"/>
      <c r="L127" s="490">
        <f>L22/360</f>
        <v>8.3333333333333339</v>
      </c>
      <c r="N127" s="483"/>
      <c r="O127" s="490">
        <f>M22/360</f>
        <v>8.3333333333333339</v>
      </c>
      <c r="Q127" s="483"/>
      <c r="R127" s="490">
        <f>N22/360</f>
        <v>8.3333333333333339</v>
      </c>
      <c r="T127" s="483"/>
    </row>
    <row r="128" spans="2:20" x14ac:dyDescent="0.25">
      <c r="B128" s="734"/>
      <c r="C128" s="735"/>
      <c r="D128" s="735"/>
      <c r="E128" s="735"/>
      <c r="L128" s="396"/>
      <c r="N128" s="483"/>
      <c r="O128" s="396"/>
      <c r="Q128" s="483"/>
      <c r="R128" s="396"/>
      <c r="T128" s="483"/>
    </row>
    <row r="129" spans="2:20" x14ac:dyDescent="0.25">
      <c r="B129" s="486"/>
      <c r="L129" s="396"/>
      <c r="N129" s="483"/>
      <c r="O129" s="396"/>
      <c r="Q129" s="483"/>
      <c r="R129" s="396"/>
      <c r="T129" s="483"/>
    </row>
    <row r="130" spans="2:20" x14ac:dyDescent="0.25">
      <c r="B130" s="479" t="s">
        <v>186</v>
      </c>
      <c r="G130" s="716" t="s">
        <v>47</v>
      </c>
      <c r="H130" s="716"/>
      <c r="I130" s="716"/>
      <c r="J130" s="380" t="s">
        <v>183</v>
      </c>
      <c r="L130" s="488">
        <f>E35</f>
        <v>200</v>
      </c>
      <c r="M130" s="401" t="s">
        <v>173</v>
      </c>
      <c r="N130" s="481">
        <f>L130/L131</f>
        <v>24</v>
      </c>
      <c r="O130" s="488">
        <f>I74</f>
        <v>200</v>
      </c>
      <c r="P130" s="401" t="s">
        <v>173</v>
      </c>
      <c r="Q130" s="481">
        <f>O130/O131</f>
        <v>24</v>
      </c>
      <c r="R130" s="488">
        <f>M74</f>
        <v>200</v>
      </c>
      <c r="S130" s="401" t="s">
        <v>173</v>
      </c>
      <c r="T130" s="481">
        <f>R130/R131</f>
        <v>24</v>
      </c>
    </row>
    <row r="131" spans="2:20" x14ac:dyDescent="0.25">
      <c r="B131" s="734" t="s">
        <v>261</v>
      </c>
      <c r="C131" s="735"/>
      <c r="D131" s="735"/>
      <c r="E131" s="735"/>
      <c r="G131" s="719" t="s">
        <v>260</v>
      </c>
      <c r="H131" s="719"/>
      <c r="I131" s="719"/>
      <c r="L131" s="491">
        <f>L127</f>
        <v>8.3333333333333339</v>
      </c>
      <c r="N131" s="483"/>
      <c r="O131" s="489">
        <f>O127</f>
        <v>8.3333333333333339</v>
      </c>
      <c r="Q131" s="483"/>
      <c r="R131" s="489">
        <f>R127</f>
        <v>8.3333333333333339</v>
      </c>
      <c r="T131" s="483"/>
    </row>
    <row r="132" spans="2:20" x14ac:dyDescent="0.25">
      <c r="B132" s="737"/>
      <c r="C132" s="738"/>
      <c r="D132" s="738"/>
      <c r="E132" s="738"/>
      <c r="F132" s="492"/>
      <c r="G132" s="492"/>
      <c r="H132" s="492"/>
      <c r="I132" s="492"/>
      <c r="J132" s="492"/>
      <c r="K132" s="492"/>
      <c r="L132" s="442"/>
      <c r="M132" s="492"/>
      <c r="N132" s="493"/>
      <c r="O132" s="442"/>
      <c r="P132" s="492"/>
      <c r="Q132" s="493"/>
      <c r="R132" s="442"/>
      <c r="S132" s="492"/>
      <c r="T132" s="493"/>
    </row>
    <row r="133" spans="2:20" x14ac:dyDescent="0.25">
      <c r="L133" s="396"/>
      <c r="N133" s="483"/>
      <c r="O133" s="396"/>
      <c r="Q133" s="483"/>
      <c r="R133" s="396"/>
      <c r="T133" s="483"/>
    </row>
    <row r="134" spans="2:20" ht="17.399999999999999" x14ac:dyDescent="0.3">
      <c r="B134" s="732" t="s">
        <v>192</v>
      </c>
      <c r="C134" s="733"/>
      <c r="D134" s="733"/>
      <c r="E134" s="733"/>
      <c r="F134" s="733"/>
      <c r="G134" s="733"/>
      <c r="H134" s="733"/>
      <c r="I134" s="733"/>
      <c r="J134" s="733"/>
      <c r="K134" s="733"/>
      <c r="L134" s="477"/>
      <c r="M134" s="476"/>
      <c r="N134" s="494"/>
      <c r="O134" s="477"/>
      <c r="P134" s="476"/>
      <c r="Q134" s="494"/>
      <c r="R134" s="477"/>
      <c r="S134" s="476"/>
      <c r="T134" s="494"/>
    </row>
    <row r="135" spans="2:20" x14ac:dyDescent="0.25">
      <c r="B135" s="486"/>
      <c r="L135" s="396"/>
      <c r="N135" s="483"/>
      <c r="O135" s="396"/>
      <c r="Q135" s="483"/>
      <c r="R135" s="396"/>
      <c r="T135" s="483"/>
    </row>
    <row r="136" spans="2:20" x14ac:dyDescent="0.25">
      <c r="B136" s="479" t="s">
        <v>262</v>
      </c>
      <c r="L136" s="396"/>
      <c r="N136" s="483"/>
      <c r="O136" s="396"/>
      <c r="Q136" s="483"/>
      <c r="R136" s="396"/>
      <c r="T136" s="483"/>
    </row>
    <row r="137" spans="2:20" x14ac:dyDescent="0.25">
      <c r="B137" s="734" t="s">
        <v>263</v>
      </c>
      <c r="C137" s="735"/>
      <c r="D137" s="735"/>
      <c r="E137" s="735"/>
      <c r="G137" s="716" t="s">
        <v>195</v>
      </c>
      <c r="H137" s="716"/>
      <c r="I137" s="716"/>
      <c r="J137" s="380" t="s">
        <v>196</v>
      </c>
      <c r="L137" s="442">
        <f>E81</f>
        <v>1100</v>
      </c>
      <c r="M137" s="401" t="s">
        <v>173</v>
      </c>
      <c r="N137" s="495">
        <f>L137/L138</f>
        <v>1.1000000000000001</v>
      </c>
      <c r="O137" s="442">
        <f>I81</f>
        <v>800</v>
      </c>
      <c r="P137" s="401" t="s">
        <v>173</v>
      </c>
      <c r="Q137" s="495">
        <f>O137/O138</f>
        <v>0.88888888888888884</v>
      </c>
      <c r="R137" s="442">
        <f>M81</f>
        <v>700</v>
      </c>
      <c r="S137" s="401" t="s">
        <v>173</v>
      </c>
      <c r="T137" s="495">
        <f>R137/R138</f>
        <v>0.875</v>
      </c>
    </row>
    <row r="138" spans="2:20" x14ac:dyDescent="0.25">
      <c r="B138" s="734"/>
      <c r="C138" s="735"/>
      <c r="D138" s="735"/>
      <c r="E138" s="735"/>
      <c r="G138" s="736" t="s">
        <v>209</v>
      </c>
      <c r="H138" s="736"/>
      <c r="I138" s="736"/>
      <c r="L138" s="396">
        <f>E86</f>
        <v>1000</v>
      </c>
      <c r="N138" s="483"/>
      <c r="O138" s="396">
        <f>I86</f>
        <v>900</v>
      </c>
      <c r="Q138" s="483"/>
      <c r="R138" s="396">
        <f>M86</f>
        <v>800</v>
      </c>
      <c r="T138" s="483"/>
    </row>
    <row r="139" spans="2:20" x14ac:dyDescent="0.25">
      <c r="B139" s="486"/>
      <c r="L139" s="396"/>
      <c r="N139" s="483"/>
      <c r="O139" s="396"/>
      <c r="Q139" s="483"/>
      <c r="R139" s="396"/>
      <c r="T139" s="483"/>
    </row>
    <row r="140" spans="2:20" x14ac:dyDescent="0.25">
      <c r="B140" s="486"/>
      <c r="L140" s="396"/>
      <c r="N140" s="483"/>
      <c r="O140" s="396"/>
      <c r="Q140" s="483"/>
      <c r="R140" s="396"/>
      <c r="T140" s="483"/>
    </row>
    <row r="141" spans="2:20" x14ac:dyDescent="0.25">
      <c r="B141" s="479" t="s">
        <v>193</v>
      </c>
      <c r="L141" s="396"/>
      <c r="N141" s="483"/>
      <c r="O141" s="396"/>
      <c r="Q141" s="483"/>
      <c r="R141" s="396"/>
      <c r="T141" s="483"/>
    </row>
    <row r="142" spans="2:20" ht="14.25" customHeight="1" x14ac:dyDescent="0.25">
      <c r="B142" s="734" t="s">
        <v>194</v>
      </c>
      <c r="C142" s="735"/>
      <c r="D142" s="735"/>
      <c r="E142" s="735"/>
      <c r="G142" s="716" t="s">
        <v>195</v>
      </c>
      <c r="H142" s="716"/>
      <c r="I142" s="716"/>
      <c r="J142" s="380" t="s">
        <v>196</v>
      </c>
      <c r="L142" s="496">
        <f>E81</f>
        <v>1100</v>
      </c>
      <c r="M142" s="401" t="s">
        <v>173</v>
      </c>
      <c r="N142" s="497">
        <f>L142/L143</f>
        <v>0.52380952380952384</v>
      </c>
      <c r="O142" s="496">
        <f>O137</f>
        <v>800</v>
      </c>
      <c r="P142" s="401" t="s">
        <v>173</v>
      </c>
      <c r="Q142" s="497">
        <f>O142/O143</f>
        <v>0.47058823529411764</v>
      </c>
      <c r="R142" s="496">
        <f>R137</f>
        <v>700</v>
      </c>
      <c r="S142" s="401" t="s">
        <v>173</v>
      </c>
      <c r="T142" s="497">
        <f>R142/R143</f>
        <v>0.46666666666666667</v>
      </c>
    </row>
    <row r="143" spans="2:20" x14ac:dyDescent="0.25">
      <c r="B143" s="737"/>
      <c r="C143" s="738"/>
      <c r="D143" s="738"/>
      <c r="E143" s="738"/>
      <c r="F143" s="492"/>
      <c r="G143" s="739" t="s">
        <v>191</v>
      </c>
      <c r="H143" s="739"/>
      <c r="I143" s="739"/>
      <c r="J143" s="492"/>
      <c r="K143" s="492"/>
      <c r="L143" s="496">
        <f>E70</f>
        <v>2100</v>
      </c>
      <c r="M143" s="492"/>
      <c r="N143" s="493"/>
      <c r="O143" s="496">
        <f>I70</f>
        <v>1700</v>
      </c>
      <c r="P143" s="492"/>
      <c r="Q143" s="493"/>
      <c r="R143" s="496">
        <f>M70</f>
        <v>1500</v>
      </c>
      <c r="S143" s="492"/>
      <c r="T143" s="493"/>
    </row>
    <row r="144" spans="2:20" x14ac:dyDescent="0.25">
      <c r="L144" s="396"/>
      <c r="N144" s="483"/>
      <c r="O144" s="396"/>
      <c r="Q144" s="483"/>
      <c r="R144" s="396"/>
      <c r="T144" s="483"/>
    </row>
    <row r="145" spans="2:20" ht="17.399999999999999" x14ac:dyDescent="0.3">
      <c r="B145" s="498" t="s">
        <v>197</v>
      </c>
      <c r="C145" s="476"/>
      <c r="D145" s="476"/>
      <c r="E145" s="476"/>
      <c r="F145" s="476"/>
      <c r="G145" s="476"/>
      <c r="H145" s="476"/>
      <c r="I145" s="476"/>
      <c r="J145" s="476"/>
      <c r="K145" s="476"/>
      <c r="L145" s="477"/>
      <c r="M145" s="476"/>
      <c r="N145" s="494"/>
      <c r="O145" s="477"/>
      <c r="P145" s="476"/>
      <c r="Q145" s="494"/>
      <c r="R145" s="477"/>
      <c r="S145" s="476"/>
      <c r="T145" s="494"/>
    </row>
    <row r="146" spans="2:20" x14ac:dyDescent="0.25">
      <c r="B146" s="486"/>
      <c r="L146" s="396"/>
      <c r="N146" s="483"/>
      <c r="O146" s="396"/>
      <c r="Q146" s="483"/>
      <c r="R146" s="396"/>
      <c r="T146" s="483"/>
    </row>
    <row r="147" spans="2:20" x14ac:dyDescent="0.25">
      <c r="B147" s="479" t="s">
        <v>241</v>
      </c>
      <c r="G147" s="716" t="s">
        <v>199</v>
      </c>
      <c r="H147" s="716"/>
      <c r="I147" s="716"/>
      <c r="J147" s="380" t="s">
        <v>196</v>
      </c>
      <c r="L147" s="488">
        <f>L28</f>
        <v>510</v>
      </c>
      <c r="M147" s="401" t="s">
        <v>173</v>
      </c>
      <c r="N147" s="756">
        <f>L147/L148</f>
        <v>0.17</v>
      </c>
      <c r="O147" s="488">
        <f>M28</f>
        <v>510</v>
      </c>
      <c r="P147" s="401" t="s">
        <v>173</v>
      </c>
      <c r="Q147" s="756">
        <f>O147/O148</f>
        <v>0.17</v>
      </c>
      <c r="R147" s="488">
        <f>N28</f>
        <v>510</v>
      </c>
      <c r="S147" s="401" t="s">
        <v>173</v>
      </c>
      <c r="T147" s="497">
        <f>R147/R148</f>
        <v>0.17</v>
      </c>
    </row>
    <row r="148" spans="2:20" x14ac:dyDescent="0.25">
      <c r="B148" s="734" t="s">
        <v>200</v>
      </c>
      <c r="C148" s="735"/>
      <c r="D148" s="735"/>
      <c r="E148" s="735"/>
      <c r="G148" s="736" t="s">
        <v>189</v>
      </c>
      <c r="H148" s="736"/>
      <c r="I148" s="736"/>
      <c r="L148" s="490">
        <f>L22</f>
        <v>3000</v>
      </c>
      <c r="N148" s="483"/>
      <c r="O148" s="490">
        <f>M22</f>
        <v>3000</v>
      </c>
      <c r="Q148" s="483"/>
      <c r="R148" s="490">
        <f>N22</f>
        <v>3000</v>
      </c>
      <c r="T148" s="483"/>
    </row>
    <row r="149" spans="2:20" x14ac:dyDescent="0.25">
      <c r="B149" s="734"/>
      <c r="C149" s="735"/>
      <c r="D149" s="735"/>
      <c r="E149" s="735"/>
      <c r="L149" s="396"/>
      <c r="N149" s="483"/>
      <c r="O149" s="396"/>
      <c r="Q149" s="483"/>
      <c r="R149" s="396"/>
      <c r="T149" s="483"/>
    </row>
    <row r="150" spans="2:20" x14ac:dyDescent="0.25">
      <c r="B150" s="486"/>
      <c r="L150" s="396"/>
      <c r="N150" s="483"/>
      <c r="O150" s="396"/>
      <c r="Q150" s="483"/>
      <c r="R150" s="396"/>
      <c r="T150" s="483"/>
    </row>
    <row r="151" spans="2:20" x14ac:dyDescent="0.25">
      <c r="B151" s="479" t="s">
        <v>201</v>
      </c>
      <c r="G151" s="716" t="s">
        <v>202</v>
      </c>
      <c r="H151" s="716"/>
      <c r="I151" s="716"/>
      <c r="J151" s="380" t="s">
        <v>196</v>
      </c>
      <c r="L151" s="488">
        <f>L33</f>
        <v>301</v>
      </c>
      <c r="M151" s="401" t="s">
        <v>173</v>
      </c>
      <c r="N151" s="756">
        <f>L151/L152</f>
        <v>0.10033333333333333</v>
      </c>
      <c r="O151" s="488">
        <f>M33</f>
        <v>308</v>
      </c>
      <c r="P151" s="401" t="s">
        <v>173</v>
      </c>
      <c r="Q151" s="497">
        <f>O151/O152</f>
        <v>0.10266666666666667</v>
      </c>
      <c r="R151" s="488">
        <f>N33</f>
        <v>315</v>
      </c>
      <c r="S151" s="401" t="s">
        <v>173</v>
      </c>
      <c r="T151" s="497">
        <f>R151/R152</f>
        <v>0.105</v>
      </c>
    </row>
    <row r="152" spans="2:20" x14ac:dyDescent="0.25">
      <c r="B152" s="734" t="s">
        <v>203</v>
      </c>
      <c r="C152" s="735"/>
      <c r="D152" s="735"/>
      <c r="E152" s="735"/>
      <c r="G152" s="736" t="s">
        <v>189</v>
      </c>
      <c r="H152" s="736"/>
      <c r="I152" s="736"/>
      <c r="L152" s="490">
        <f>L148</f>
        <v>3000</v>
      </c>
      <c r="N152" s="757"/>
      <c r="O152" s="490">
        <f>O148</f>
        <v>3000</v>
      </c>
      <c r="Q152" s="483"/>
      <c r="R152" s="490">
        <f>R148</f>
        <v>3000</v>
      </c>
      <c r="T152" s="483"/>
    </row>
    <row r="153" spans="2:20" x14ac:dyDescent="0.25">
      <c r="B153" s="734"/>
      <c r="C153" s="735"/>
      <c r="D153" s="735"/>
      <c r="E153" s="735"/>
      <c r="L153" s="396"/>
      <c r="N153" s="757"/>
      <c r="O153" s="396"/>
      <c r="Q153" s="483"/>
      <c r="R153" s="396"/>
      <c r="T153" s="483"/>
    </row>
    <row r="154" spans="2:20" x14ac:dyDescent="0.25">
      <c r="B154" s="486"/>
      <c r="L154" s="396"/>
      <c r="N154" s="757"/>
      <c r="O154" s="396"/>
      <c r="Q154" s="483"/>
      <c r="R154" s="396"/>
      <c r="T154" s="483"/>
    </row>
    <row r="155" spans="2:20" x14ac:dyDescent="0.25">
      <c r="B155" s="479" t="s">
        <v>204</v>
      </c>
      <c r="G155" s="716" t="s">
        <v>202</v>
      </c>
      <c r="H155" s="716"/>
      <c r="I155" s="716"/>
      <c r="J155" s="380" t="s">
        <v>196</v>
      </c>
      <c r="L155" s="488">
        <f>L151</f>
        <v>301</v>
      </c>
      <c r="M155" s="401" t="s">
        <v>173</v>
      </c>
      <c r="N155" s="756">
        <f>L155/L156</f>
        <v>0.14333333333333334</v>
      </c>
      <c r="O155" s="488">
        <f>O151</f>
        <v>308</v>
      </c>
      <c r="P155" s="401" t="s">
        <v>173</v>
      </c>
      <c r="Q155" s="499">
        <f>O155/O156</f>
        <v>0.1811764705882353</v>
      </c>
      <c r="R155" s="488">
        <f>R151</f>
        <v>315</v>
      </c>
      <c r="S155" s="401" t="s">
        <v>173</v>
      </c>
      <c r="T155" s="499">
        <f>R155/R156</f>
        <v>0.21</v>
      </c>
    </row>
    <row r="156" spans="2:20" x14ac:dyDescent="0.25">
      <c r="B156" s="734" t="s">
        <v>205</v>
      </c>
      <c r="C156" s="735"/>
      <c r="D156" s="735"/>
      <c r="E156" s="735"/>
      <c r="G156" s="736" t="s">
        <v>206</v>
      </c>
      <c r="H156" s="736"/>
      <c r="I156" s="736"/>
      <c r="L156" s="489">
        <f>L143</f>
        <v>2100</v>
      </c>
      <c r="N156" s="757"/>
      <c r="O156" s="489">
        <f>O143</f>
        <v>1700</v>
      </c>
      <c r="Q156" s="483"/>
      <c r="R156" s="489">
        <f>R143</f>
        <v>1500</v>
      </c>
      <c r="T156" s="483"/>
    </row>
    <row r="157" spans="2:20" x14ac:dyDescent="0.25">
      <c r="B157" s="734"/>
      <c r="C157" s="735"/>
      <c r="D157" s="735"/>
      <c r="E157" s="735"/>
      <c r="L157" s="396"/>
      <c r="N157" s="757"/>
      <c r="O157" s="396"/>
      <c r="Q157" s="483"/>
      <c r="R157" s="396"/>
      <c r="T157" s="483"/>
    </row>
    <row r="158" spans="2:20" x14ac:dyDescent="0.25">
      <c r="B158" s="486"/>
      <c r="L158" s="396"/>
      <c r="N158" s="757"/>
      <c r="O158" s="396"/>
      <c r="Q158" s="483"/>
      <c r="R158" s="396"/>
      <c r="T158" s="483"/>
    </row>
    <row r="159" spans="2:20" x14ac:dyDescent="0.25">
      <c r="B159" s="479" t="s">
        <v>207</v>
      </c>
      <c r="G159" s="716" t="s">
        <v>202</v>
      </c>
      <c r="H159" s="716"/>
      <c r="I159" s="716"/>
      <c r="J159" s="380" t="s">
        <v>196</v>
      </c>
      <c r="L159" s="488">
        <f>L155</f>
        <v>301</v>
      </c>
      <c r="M159" s="401" t="s">
        <v>173</v>
      </c>
      <c r="N159" s="756">
        <f>L159/L160</f>
        <v>0.30099999999999999</v>
      </c>
      <c r="O159" s="488">
        <f>O155</f>
        <v>308</v>
      </c>
      <c r="P159" s="401" t="s">
        <v>173</v>
      </c>
      <c r="Q159" s="499">
        <f>O159/O160</f>
        <v>0.34222222222222221</v>
      </c>
      <c r="R159" s="488">
        <f>R155</f>
        <v>315</v>
      </c>
      <c r="S159" s="401" t="s">
        <v>173</v>
      </c>
      <c r="T159" s="499">
        <f>R159/R160</f>
        <v>0.39374999999999999</v>
      </c>
    </row>
    <row r="160" spans="2:20" x14ac:dyDescent="0.25">
      <c r="B160" s="734" t="s">
        <v>208</v>
      </c>
      <c r="C160" s="735"/>
      <c r="D160" s="735"/>
      <c r="E160" s="735"/>
      <c r="F160" s="735"/>
      <c r="G160" s="736" t="s">
        <v>209</v>
      </c>
      <c r="H160" s="736"/>
      <c r="I160" s="736"/>
      <c r="L160" s="489">
        <f>L138</f>
        <v>1000</v>
      </c>
      <c r="N160" s="402"/>
      <c r="O160" s="489">
        <f>O138</f>
        <v>900</v>
      </c>
      <c r="Q160" s="402"/>
      <c r="R160" s="489">
        <f>R138</f>
        <v>800</v>
      </c>
      <c r="T160" s="402"/>
    </row>
    <row r="161" spans="2:20" ht="14.4" thickBot="1" x14ac:dyDescent="0.3">
      <c r="B161" s="737"/>
      <c r="C161" s="738"/>
      <c r="D161" s="738"/>
      <c r="E161" s="738"/>
      <c r="F161" s="738"/>
      <c r="G161" s="492"/>
      <c r="H161" s="492"/>
      <c r="I161" s="492"/>
      <c r="J161" s="492"/>
      <c r="K161" s="492"/>
      <c r="L161" s="500"/>
      <c r="M161" s="501"/>
      <c r="N161" s="502"/>
      <c r="O161" s="500"/>
      <c r="P161" s="501"/>
      <c r="Q161" s="502"/>
      <c r="R161" s="500"/>
      <c r="S161" s="501"/>
      <c r="T161" s="502"/>
    </row>
    <row r="163" spans="2:20" ht="16.2" thickBot="1" x14ac:dyDescent="0.35">
      <c r="D163" s="710" t="s">
        <v>256</v>
      </c>
      <c r="E163" s="710"/>
      <c r="F163" s="710"/>
      <c r="G163" s="710"/>
      <c r="H163" s="710"/>
      <c r="I163" s="710" t="s">
        <v>257</v>
      </c>
      <c r="J163" s="710"/>
      <c r="K163" s="710"/>
      <c r="L163" s="710"/>
      <c r="M163" s="710"/>
    </row>
    <row r="164" spans="2:20" ht="14.4" thickTop="1" x14ac:dyDescent="0.25">
      <c r="C164" s="711" t="s">
        <v>71</v>
      </c>
      <c r="D164" s="712"/>
      <c r="E164" s="712"/>
      <c r="F164" s="712"/>
      <c r="G164" s="712"/>
      <c r="H164" s="712"/>
      <c r="I164" s="741"/>
      <c r="J164" s="741"/>
      <c r="K164" s="741"/>
      <c r="L164" s="741"/>
      <c r="M164" s="741"/>
    </row>
    <row r="165" spans="2:20" x14ac:dyDescent="0.25">
      <c r="C165" s="711"/>
      <c r="D165" s="713"/>
      <c r="E165" s="713"/>
      <c r="F165" s="713"/>
      <c r="G165" s="713"/>
      <c r="H165" s="713"/>
      <c r="I165" s="740"/>
      <c r="J165" s="740"/>
      <c r="K165" s="740"/>
      <c r="L165" s="740"/>
      <c r="M165" s="740"/>
    </row>
    <row r="166" spans="2:20" x14ac:dyDescent="0.25">
      <c r="C166" s="711" t="s">
        <v>72</v>
      </c>
      <c r="D166" s="713"/>
      <c r="E166" s="713"/>
      <c r="F166" s="713"/>
      <c r="G166" s="713"/>
      <c r="H166" s="713"/>
      <c r="I166" s="740"/>
      <c r="J166" s="740"/>
      <c r="K166" s="740"/>
      <c r="L166" s="740"/>
      <c r="M166" s="740"/>
    </row>
    <row r="167" spans="2:20" x14ac:dyDescent="0.25">
      <c r="C167" s="711"/>
      <c r="D167" s="713"/>
      <c r="E167" s="713"/>
      <c r="F167" s="713"/>
      <c r="G167" s="713"/>
      <c r="H167" s="713"/>
      <c r="I167" s="740"/>
      <c r="J167" s="740"/>
      <c r="K167" s="740"/>
      <c r="L167" s="740"/>
      <c r="M167" s="740"/>
    </row>
    <row r="168" spans="2:20" x14ac:dyDescent="0.25">
      <c r="C168" s="711" t="s">
        <v>73</v>
      </c>
      <c r="D168" s="740"/>
      <c r="E168" s="740"/>
      <c r="F168" s="740"/>
      <c r="G168" s="740"/>
      <c r="H168" s="740"/>
      <c r="I168" s="740"/>
      <c r="J168" s="740"/>
      <c r="K168" s="740"/>
      <c r="L168" s="740"/>
      <c r="M168" s="740"/>
    </row>
    <row r="169" spans="2:20" x14ac:dyDescent="0.25">
      <c r="C169" s="711"/>
      <c r="D169" s="740"/>
      <c r="E169" s="740"/>
      <c r="F169" s="740"/>
      <c r="G169" s="740"/>
      <c r="H169" s="740"/>
      <c r="I169" s="740"/>
      <c r="J169" s="740"/>
      <c r="K169" s="740"/>
      <c r="L169" s="740"/>
      <c r="M169" s="740"/>
    </row>
    <row r="170" spans="2:20" x14ac:dyDescent="0.25">
      <c r="C170" s="711"/>
      <c r="D170" s="740"/>
      <c r="E170" s="740"/>
      <c r="F170" s="740"/>
      <c r="G170" s="740"/>
      <c r="H170" s="740"/>
      <c r="I170" s="740"/>
      <c r="J170" s="740"/>
      <c r="K170" s="740"/>
      <c r="L170" s="740"/>
      <c r="M170" s="740"/>
    </row>
    <row r="171" spans="2:20" x14ac:dyDescent="0.25">
      <c r="C171" s="711"/>
      <c r="D171" s="740"/>
      <c r="E171" s="740"/>
      <c r="F171" s="740"/>
      <c r="G171" s="740"/>
      <c r="H171" s="740"/>
      <c r="I171" s="740"/>
      <c r="J171" s="740"/>
      <c r="K171" s="740"/>
      <c r="L171" s="740"/>
      <c r="M171" s="740"/>
    </row>
    <row r="175" spans="2:20" x14ac:dyDescent="0.25">
      <c r="B175" s="695">
        <v>3</v>
      </c>
      <c r="C175" s="721" t="s">
        <v>264</v>
      </c>
      <c r="D175" s="721"/>
      <c r="E175" s="721"/>
      <c r="F175" s="721"/>
      <c r="G175" s="721"/>
      <c r="H175" s="721"/>
      <c r="I175" s="721"/>
      <c r="J175" s="721"/>
      <c r="K175" s="721"/>
      <c r="L175" s="721"/>
      <c r="M175" s="721"/>
      <c r="N175" s="721"/>
    </row>
    <row r="176" spans="2:20" x14ac:dyDescent="0.25">
      <c r="B176" s="695"/>
      <c r="C176" s="721"/>
      <c r="D176" s="721"/>
      <c r="E176" s="721"/>
      <c r="F176" s="721"/>
      <c r="G176" s="721"/>
      <c r="H176" s="721"/>
      <c r="I176" s="721"/>
      <c r="J176" s="721"/>
      <c r="K176" s="721"/>
      <c r="L176" s="721"/>
      <c r="M176" s="721"/>
      <c r="N176" s="721"/>
    </row>
    <row r="178" spans="2:14" ht="16.2" thickBot="1" x14ac:dyDescent="0.35">
      <c r="D178" s="710" t="s">
        <v>265</v>
      </c>
      <c r="E178" s="710"/>
      <c r="F178" s="710"/>
      <c r="G178" s="710"/>
      <c r="H178" s="710"/>
      <c r="I178" s="710" t="s">
        <v>266</v>
      </c>
      <c r="J178" s="710"/>
      <c r="K178" s="710"/>
      <c r="L178" s="710"/>
      <c r="M178" s="710"/>
    </row>
    <row r="179" spans="2:14" ht="15" customHeight="1" thickTop="1" x14ac:dyDescent="0.25">
      <c r="C179" s="711" t="s">
        <v>71</v>
      </c>
      <c r="D179" s="742"/>
      <c r="E179" s="743"/>
      <c r="F179" s="743"/>
      <c r="G179" s="743"/>
      <c r="H179" s="744"/>
      <c r="I179" s="742"/>
      <c r="J179" s="743"/>
      <c r="K179" s="743"/>
      <c r="L179" s="743"/>
      <c r="M179" s="744"/>
    </row>
    <row r="180" spans="2:14" x14ac:dyDescent="0.25">
      <c r="C180" s="711"/>
      <c r="D180" s="745"/>
      <c r="E180" s="746"/>
      <c r="F180" s="746"/>
      <c r="G180" s="746"/>
      <c r="H180" s="747"/>
      <c r="I180" s="745"/>
      <c r="J180" s="746"/>
      <c r="K180" s="746"/>
      <c r="L180" s="746"/>
      <c r="M180" s="747"/>
    </row>
    <row r="181" spans="2:14" x14ac:dyDescent="0.25">
      <c r="C181" s="711" t="s">
        <v>72</v>
      </c>
      <c r="D181" s="745"/>
      <c r="E181" s="746"/>
      <c r="F181" s="746"/>
      <c r="G181" s="746"/>
      <c r="H181" s="747"/>
      <c r="I181" s="745"/>
      <c r="J181" s="746"/>
      <c r="K181" s="746"/>
      <c r="L181" s="746"/>
      <c r="M181" s="747"/>
    </row>
    <row r="182" spans="2:14" x14ac:dyDescent="0.25">
      <c r="C182" s="711"/>
      <c r="D182" s="748"/>
      <c r="E182" s="749"/>
      <c r="F182" s="749"/>
      <c r="G182" s="749"/>
      <c r="H182" s="750"/>
      <c r="I182" s="748"/>
      <c r="J182" s="749"/>
      <c r="K182" s="749"/>
      <c r="L182" s="749"/>
      <c r="M182" s="750"/>
    </row>
    <row r="183" spans="2:14" ht="14.25" customHeight="1" x14ac:dyDescent="0.25">
      <c r="C183" s="711" t="s">
        <v>73</v>
      </c>
      <c r="D183" s="713"/>
      <c r="E183" s="713"/>
      <c r="F183" s="713"/>
      <c r="G183" s="713"/>
      <c r="H183" s="713"/>
      <c r="I183" s="713"/>
      <c r="J183" s="713"/>
      <c r="K183" s="713"/>
      <c r="L183" s="713"/>
      <c r="M183" s="713"/>
    </row>
    <row r="184" spans="2:14" x14ac:dyDescent="0.25">
      <c r="C184" s="711"/>
      <c r="D184" s="713"/>
      <c r="E184" s="713"/>
      <c r="F184" s="713"/>
      <c r="G184" s="713"/>
      <c r="H184" s="713"/>
      <c r="I184" s="713"/>
      <c r="J184" s="713"/>
      <c r="K184" s="713"/>
      <c r="L184" s="713"/>
      <c r="M184" s="713"/>
    </row>
    <row r="185" spans="2:14" x14ac:dyDescent="0.25">
      <c r="C185" s="711"/>
      <c r="D185" s="713"/>
      <c r="E185" s="713"/>
      <c r="F185" s="713"/>
      <c r="G185" s="713"/>
      <c r="H185" s="713"/>
      <c r="I185" s="713"/>
      <c r="J185" s="713"/>
      <c r="K185" s="713"/>
      <c r="L185" s="713"/>
      <c r="M185" s="713"/>
    </row>
    <row r="186" spans="2:14" x14ac:dyDescent="0.25">
      <c r="C186" s="711"/>
      <c r="D186" s="713"/>
      <c r="E186" s="713"/>
      <c r="F186" s="713"/>
      <c r="G186" s="713"/>
      <c r="H186" s="713"/>
      <c r="I186" s="713"/>
      <c r="J186" s="713"/>
      <c r="K186" s="713"/>
      <c r="L186" s="713"/>
      <c r="M186" s="713"/>
    </row>
    <row r="187" spans="2:14" x14ac:dyDescent="0.25">
      <c r="C187" s="711"/>
      <c r="D187" s="713"/>
      <c r="E187" s="713"/>
      <c r="F187" s="713"/>
      <c r="G187" s="713"/>
      <c r="H187" s="713"/>
      <c r="I187" s="713"/>
      <c r="J187" s="713"/>
      <c r="K187" s="713"/>
      <c r="L187" s="713"/>
      <c r="M187" s="713"/>
    </row>
    <row r="189" spans="2:14" x14ac:dyDescent="0.25">
      <c r="B189" s="695">
        <v>4</v>
      </c>
      <c r="C189" s="721" t="s">
        <v>267</v>
      </c>
      <c r="D189" s="721"/>
      <c r="E189" s="721"/>
      <c r="F189" s="721"/>
      <c r="G189" s="721"/>
      <c r="H189" s="721"/>
      <c r="I189" s="721"/>
      <c r="J189" s="721"/>
      <c r="K189" s="721"/>
      <c r="L189" s="721"/>
      <c r="M189" s="721"/>
      <c r="N189" s="721"/>
    </row>
    <row r="190" spans="2:14" x14ac:dyDescent="0.25">
      <c r="B190" s="695"/>
      <c r="C190" s="721"/>
      <c r="D190" s="721"/>
      <c r="E190" s="721"/>
      <c r="F190" s="721"/>
      <c r="G190" s="721"/>
      <c r="H190" s="721"/>
      <c r="I190" s="721"/>
      <c r="J190" s="721"/>
      <c r="K190" s="721"/>
      <c r="L190" s="721"/>
      <c r="M190" s="721"/>
      <c r="N190" s="721"/>
    </row>
    <row r="193" spans="3:13" ht="16.2" thickBot="1" x14ac:dyDescent="0.35">
      <c r="D193" s="710" t="s">
        <v>268</v>
      </c>
      <c r="E193" s="710"/>
      <c r="F193" s="710"/>
      <c r="G193" s="710"/>
      <c r="H193" s="710"/>
      <c r="I193" s="710" t="s">
        <v>269</v>
      </c>
      <c r="J193" s="710"/>
      <c r="K193" s="710"/>
      <c r="L193" s="710"/>
      <c r="M193" s="710"/>
    </row>
    <row r="194" spans="3:13" ht="14.4" thickTop="1" x14ac:dyDescent="0.25">
      <c r="C194" s="711" t="s">
        <v>71</v>
      </c>
      <c r="D194" s="712"/>
      <c r="E194" s="712"/>
      <c r="F194" s="712"/>
      <c r="G194" s="712"/>
      <c r="H194" s="712"/>
      <c r="I194" s="712"/>
      <c r="J194" s="712"/>
      <c r="K194" s="712"/>
      <c r="L194" s="712"/>
      <c r="M194" s="712"/>
    </row>
    <row r="195" spans="3:13" ht="112.5" customHeight="1" x14ac:dyDescent="0.25">
      <c r="C195" s="711"/>
      <c r="D195" s="713"/>
      <c r="E195" s="713"/>
      <c r="F195" s="713"/>
      <c r="G195" s="713"/>
      <c r="H195" s="713"/>
      <c r="I195" s="713"/>
      <c r="J195" s="713"/>
      <c r="K195" s="713"/>
      <c r="L195" s="713"/>
      <c r="M195" s="713"/>
    </row>
    <row r="196" spans="3:13" ht="39.75" customHeight="1" x14ac:dyDescent="0.25">
      <c r="C196" s="711" t="s">
        <v>72</v>
      </c>
      <c r="D196" s="713"/>
      <c r="E196" s="713"/>
      <c r="F196" s="713"/>
      <c r="G196" s="713"/>
      <c r="H196" s="713"/>
      <c r="I196" s="713"/>
      <c r="J196" s="713"/>
      <c r="K196" s="713"/>
      <c r="L196" s="713"/>
      <c r="M196" s="713"/>
    </row>
    <row r="197" spans="3:13" ht="30" customHeight="1" x14ac:dyDescent="0.25">
      <c r="C197" s="711"/>
      <c r="D197" s="713"/>
      <c r="E197" s="713"/>
      <c r="F197" s="713"/>
      <c r="G197" s="713"/>
      <c r="H197" s="713"/>
      <c r="I197" s="713"/>
      <c r="J197" s="713"/>
      <c r="K197" s="713"/>
      <c r="L197" s="713"/>
      <c r="M197" s="713"/>
    </row>
    <row r="198" spans="3:13" ht="36" customHeight="1" x14ac:dyDescent="0.25">
      <c r="C198" s="711" t="s">
        <v>73</v>
      </c>
      <c r="D198" s="713"/>
      <c r="E198" s="713"/>
      <c r="F198" s="713"/>
      <c r="G198" s="713"/>
      <c r="H198" s="713"/>
      <c r="I198" s="740"/>
      <c r="J198" s="740"/>
      <c r="K198" s="740"/>
      <c r="L198" s="740"/>
      <c r="M198" s="740"/>
    </row>
    <row r="199" spans="3:13" ht="51.75" customHeight="1" x14ac:dyDescent="0.25">
      <c r="C199" s="711"/>
      <c r="D199" s="713"/>
      <c r="E199" s="713"/>
      <c r="F199" s="713"/>
      <c r="G199" s="713"/>
      <c r="H199" s="713"/>
      <c r="I199" s="740"/>
      <c r="J199" s="740"/>
      <c r="K199" s="740"/>
      <c r="L199" s="740"/>
      <c r="M199" s="740"/>
    </row>
  </sheetData>
  <mergeCells count="122">
    <mergeCell ref="C198:C199"/>
    <mergeCell ref="D198:H199"/>
    <mergeCell ref="I198:M199"/>
    <mergeCell ref="C194:C195"/>
    <mergeCell ref="D194:H195"/>
    <mergeCell ref="I194:M195"/>
    <mergeCell ref="C196:C197"/>
    <mergeCell ref="D196:H197"/>
    <mergeCell ref="I196:M197"/>
    <mergeCell ref="C183:C187"/>
    <mergeCell ref="D183:H187"/>
    <mergeCell ref="I183:M187"/>
    <mergeCell ref="B189:B190"/>
    <mergeCell ref="C189:N190"/>
    <mergeCell ref="D193:H193"/>
    <mergeCell ref="I193:M193"/>
    <mergeCell ref="D178:H178"/>
    <mergeCell ref="I178:M178"/>
    <mergeCell ref="C179:C180"/>
    <mergeCell ref="D179:H182"/>
    <mergeCell ref="I179:M182"/>
    <mergeCell ref="C181:C182"/>
    <mergeCell ref="C168:C171"/>
    <mergeCell ref="D168:H169"/>
    <mergeCell ref="I168:M169"/>
    <mergeCell ref="D170:H171"/>
    <mergeCell ref="I170:M171"/>
    <mergeCell ref="B175:B176"/>
    <mergeCell ref="C175:N176"/>
    <mergeCell ref="D163:H163"/>
    <mergeCell ref="I163:M163"/>
    <mergeCell ref="C164:C165"/>
    <mergeCell ref="D164:H165"/>
    <mergeCell ref="I164:M165"/>
    <mergeCell ref="C166:C167"/>
    <mergeCell ref="D166:H167"/>
    <mergeCell ref="I166:M167"/>
    <mergeCell ref="G155:I155"/>
    <mergeCell ref="B156:E157"/>
    <mergeCell ref="G156:I156"/>
    <mergeCell ref="G159:I159"/>
    <mergeCell ref="B160:F161"/>
    <mergeCell ref="G160:I160"/>
    <mergeCell ref="G147:I147"/>
    <mergeCell ref="B148:E149"/>
    <mergeCell ref="G148:I148"/>
    <mergeCell ref="G151:I151"/>
    <mergeCell ref="B152:E153"/>
    <mergeCell ref="G152:I152"/>
    <mergeCell ref="B134:K134"/>
    <mergeCell ref="B137:E138"/>
    <mergeCell ref="G137:I137"/>
    <mergeCell ref="G138:I138"/>
    <mergeCell ref="B142:E143"/>
    <mergeCell ref="G142:I142"/>
    <mergeCell ref="G143:I143"/>
    <mergeCell ref="G124:I124"/>
    <mergeCell ref="G126:I126"/>
    <mergeCell ref="B127:E128"/>
    <mergeCell ref="G127:I127"/>
    <mergeCell ref="G130:I130"/>
    <mergeCell ref="B131:E132"/>
    <mergeCell ref="G131:I131"/>
    <mergeCell ref="B114:E116"/>
    <mergeCell ref="G114:I114"/>
    <mergeCell ref="B119:E121"/>
    <mergeCell ref="G119:I119"/>
    <mergeCell ref="G120:I120"/>
    <mergeCell ref="G123:I123"/>
    <mergeCell ref="B106:B107"/>
    <mergeCell ref="C106:T107"/>
    <mergeCell ref="B109:T109"/>
    <mergeCell ref="B110:K110"/>
    <mergeCell ref="L110:N111"/>
    <mergeCell ref="O110:Q111"/>
    <mergeCell ref="R110:T111"/>
    <mergeCell ref="B111:K111"/>
    <mergeCell ref="C96:C99"/>
    <mergeCell ref="D96:H97"/>
    <mergeCell ref="I96:M97"/>
    <mergeCell ref="D98:H99"/>
    <mergeCell ref="I98:M99"/>
    <mergeCell ref="C100:C103"/>
    <mergeCell ref="D100:H101"/>
    <mergeCell ref="I100:M101"/>
    <mergeCell ref="D102:H103"/>
    <mergeCell ref="I102:M103"/>
    <mergeCell ref="E58:H60"/>
    <mergeCell ref="I58:L60"/>
    <mergeCell ref="M58:P60"/>
    <mergeCell ref="D91:H91"/>
    <mergeCell ref="I91:M91"/>
    <mergeCell ref="C92:C95"/>
    <mergeCell ref="D92:H93"/>
    <mergeCell ref="I92:M93"/>
    <mergeCell ref="D94:H95"/>
    <mergeCell ref="I94:M95"/>
    <mergeCell ref="I30:K30"/>
    <mergeCell ref="I31:K31"/>
    <mergeCell ref="I32:K32"/>
    <mergeCell ref="I33:K33"/>
    <mergeCell ref="B53:B54"/>
    <mergeCell ref="C53:N54"/>
    <mergeCell ref="I26:K26"/>
    <mergeCell ref="I27:K27"/>
    <mergeCell ref="I28:K29"/>
    <mergeCell ref="L28:L29"/>
    <mergeCell ref="M28:M29"/>
    <mergeCell ref="N28:N29"/>
    <mergeCell ref="B15:B16"/>
    <mergeCell ref="C15:N16"/>
    <mergeCell ref="I22:K22"/>
    <mergeCell ref="I23:K23"/>
    <mergeCell ref="I24:K24"/>
    <mergeCell ref="I25:K25"/>
    <mergeCell ref="C3:M3"/>
    <mergeCell ref="B5:B6"/>
    <mergeCell ref="C5:N7"/>
    <mergeCell ref="B9:B10"/>
    <mergeCell ref="C9:N10"/>
    <mergeCell ref="B12:B13"/>
    <mergeCell ref="C12:N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ENFOQUES</vt:lpstr>
      <vt:lpstr>FLUJOS ENTRADAS Y SALIDAS</vt:lpstr>
      <vt:lpstr>ANALISIS VERT- HORIZ</vt:lpstr>
      <vt:lpstr>ANALISIS VERT-HORIZ 2</vt:lpstr>
      <vt:lpstr>RAZONES FINANCIERAS</vt:lpstr>
      <vt:lpstr>RAZONES FINANCIERAS 2</vt:lpstr>
      <vt:lpstr>ANALISIS VERTICAL Y RAZONES FIN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ESPINOZA FERNANDA VALENTINA</dc:creator>
  <cp:lastModifiedBy>Alex Roblero</cp:lastModifiedBy>
  <dcterms:created xsi:type="dcterms:W3CDTF">2025-10-13T06:56:00Z</dcterms:created>
  <dcterms:modified xsi:type="dcterms:W3CDTF">2026-02-18T09:32:11Z</dcterms:modified>
</cp:coreProperties>
</file>