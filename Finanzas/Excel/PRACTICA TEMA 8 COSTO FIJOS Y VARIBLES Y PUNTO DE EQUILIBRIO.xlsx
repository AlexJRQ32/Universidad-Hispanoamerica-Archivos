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le\Downloads\"/>
    </mc:Choice>
  </mc:AlternateContent>
  <xr:revisionPtr revIDLastSave="0" documentId="13_ncr:1_{87350519-E132-47FE-8C71-4DC9AE726258}" xr6:coauthVersionLast="47" xr6:coauthVersionMax="47" xr10:uidLastSave="{00000000-0000-0000-0000-000000000000}"/>
  <bookViews>
    <workbookView xWindow="-108" yWindow="-108" windowWidth="23976" windowHeight="14016" xr2:uid="{EF265CCE-ACA4-40BD-A34A-9930BA9A95A7}"/>
  </bookViews>
  <sheets>
    <sheet name="CASO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0" i="2" l="1"/>
  <c r="H51" i="2"/>
  <c r="F51" i="2"/>
  <c r="F50" i="2"/>
  <c r="H29" i="2"/>
  <c r="I30" i="2" s="1"/>
  <c r="I23" i="2"/>
  <c r="M19" i="2"/>
  <c r="K21" i="2"/>
  <c r="I21" i="2"/>
  <c r="D24" i="2"/>
  <c r="F22" i="2"/>
  <c r="F21" i="2"/>
  <c r="C32" i="2"/>
  <c r="C35" i="2" s="1"/>
  <c r="D21" i="2"/>
  <c r="F7" i="2"/>
  <c r="E7" i="2"/>
  <c r="F6" i="2"/>
  <c r="C45" i="2"/>
  <c r="C44" i="2" l="1"/>
  <c r="H57" i="2" l="1"/>
  <c r="C46" i="2"/>
  <c r="F56" i="2" s="1"/>
  <c r="H56" i="2" s="1"/>
  <c r="E32" i="2"/>
  <c r="E35" i="2" s="1"/>
  <c r="E37" i="2" s="1"/>
  <c r="I56" i="2" l="1"/>
</calcChain>
</file>

<file path=xl/sharedStrings.xml><?xml version="1.0" encoding="utf-8"?>
<sst xmlns="http://schemas.openxmlformats.org/spreadsheetml/2006/main" count="66" uniqueCount="52">
  <si>
    <t>-</t>
  </si>
  <si>
    <t xml:space="preserve"> Total Gastos administrativos y operativos</t>
  </si>
  <si>
    <t xml:space="preserve">Porcentaje </t>
  </si>
  <si>
    <t>COSTO FIJO</t>
  </si>
  <si>
    <t>UAI</t>
  </si>
  <si>
    <t>Representan el 20% de las UAI y el costo fijo</t>
  </si>
  <si>
    <t xml:space="preserve">Gastos administrativos y operativos </t>
  </si>
  <si>
    <t>Costo variable unitario</t>
  </si>
  <si>
    <t>Precio de venta unitario</t>
  </si>
  <si>
    <t>=</t>
  </si>
  <si>
    <t xml:space="preserve">Precio de venta unitario </t>
  </si>
  <si>
    <t>1-(1700/2975)</t>
  </si>
  <si>
    <t>1-</t>
  </si>
  <si>
    <t>Colones</t>
  </si>
  <si>
    <t>Costos fijos totales</t>
  </si>
  <si>
    <t>Fórmula=</t>
  </si>
  <si>
    <t>Punto de equilibrio en colones, financiero</t>
  </si>
  <si>
    <t xml:space="preserve">       unitario                unitario</t>
  </si>
  <si>
    <t xml:space="preserve">Precio de venta - Costo variable  </t>
  </si>
  <si>
    <t>unidades</t>
  </si>
  <si>
    <t>Punto de equilibrio en unidades, operativo</t>
  </si>
  <si>
    <t xml:space="preserve">Costos fijos totales </t>
  </si>
  <si>
    <t xml:space="preserve">Punto de equilibrio actual </t>
  </si>
  <si>
    <t>2. Calcule el punto de equilibrio operativo y financiero de la Clínica de radiología Tomemo Lafoto S.A.</t>
  </si>
  <si>
    <t>x</t>
  </si>
  <si>
    <t>Cantidad</t>
  </si>
  <si>
    <t>Precio</t>
  </si>
  <si>
    <t>Utilidad antes de impuestos=</t>
  </si>
  <si>
    <t>Cálculo Ventas</t>
  </si>
  <si>
    <t xml:space="preserve">Costos fijos = </t>
  </si>
  <si>
    <t>Costo Variable</t>
  </si>
  <si>
    <t xml:space="preserve"> Utilidad neta /(1-tasa de impuestos)</t>
  </si>
  <si>
    <t xml:space="preserve">Utilidad antes de impuestos = </t>
  </si>
  <si>
    <t>1.  Determine el gasto de operación y administrativo el cual representa el 20% sobre las Utilidades antes de Impuestos (UAI) y el costo fijo.</t>
  </si>
  <si>
    <t>Acciones comunes en circulación</t>
  </si>
  <si>
    <t>Deuda</t>
  </si>
  <si>
    <t>Intereses financieros</t>
  </si>
  <si>
    <t>10.000 unidades</t>
  </si>
  <si>
    <t>Produce y vende</t>
  </si>
  <si>
    <t>Utilidad Neta</t>
  </si>
  <si>
    <t>Costo variabiable unitario</t>
  </si>
  <si>
    <t>Datos</t>
  </si>
  <si>
    <t>CASO 1</t>
  </si>
  <si>
    <t>INFORMACION</t>
  </si>
  <si>
    <t>TOTAL</t>
  </si>
  <si>
    <t>La empresa Los Patitos S.A tiene costos variables unitarios de  1,700, unidades producidas 10,000, utilidad neta 5,500,000, gastos financieros 687,500, Deuda 5,000,000, Acciones circulación 5,000, Impuesto de renta 20%, precio de venta 175% del costo variable unitario</t>
  </si>
  <si>
    <t>Impuesto sobre ganancia de operación (Impuesto de renta) 20%</t>
  </si>
  <si>
    <t>Precio de venta unitario (175% del costo variable unitario)</t>
  </si>
  <si>
    <t>(1-0,20)</t>
  </si>
  <si>
    <t>Ventas (total)</t>
  </si>
  <si>
    <t>Utilidad Bruta</t>
  </si>
  <si>
    <t>Calculo de Costos Fijos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</si>
</sst>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₡&quot;* #,##0.00_-;\-&quot;₡&quot;* #,##0.00_-;_-&quot;₡&quot;* &quot;-&quot;??_-;_-@_-"/>
    <numFmt numFmtId="172" formatCode="_-&quot;₡&quot;* #,##0_-;\-&quot;₡&quot;* #,##0_-;_-&quot;₡&quot;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1" applyNumberFormat="0" applyFont="0" applyAlignment="0" applyProtection="0"/>
  </cellStyleXfs>
  <cellXfs count="45">
    <xf numFmtId="0" fontId="0" fillId="0" borderId="0" xfId="0"/>
    <xf numFmtId="4" fontId="3" fillId="0" borderId="0" xfId="0" applyNumberFormat="1" applyFont="1"/>
    <xf numFmtId="4" fontId="4" fillId="0" borderId="0" xfId="0" applyNumberFormat="1" applyFont="1"/>
    <xf numFmtId="4" fontId="3" fillId="0" borderId="0" xfId="0" applyNumberFormat="1" applyFont="1" applyAlignment="1">
      <alignment wrapText="1"/>
    </xf>
    <xf numFmtId="4" fontId="3" fillId="0" borderId="0" xfId="0" applyNumberFormat="1" applyFont="1" applyAlignment="1">
      <alignment horizontal="left" vertical="center" wrapText="1"/>
    </xf>
    <xf numFmtId="4" fontId="4" fillId="0" borderId="0" xfId="3" applyNumberFormat="1" applyFont="1" applyFill="1" applyBorder="1" applyAlignment="1">
      <alignment horizontal="center" vertical="center" wrapText="1"/>
    </xf>
    <xf numFmtId="4" fontId="4" fillId="0" borderId="0" xfId="3" applyNumberFormat="1" applyFont="1" applyFill="1" applyBorder="1" applyAlignment="1">
      <alignment horizontal="left" vertical="center" wrapText="1"/>
    </xf>
    <xf numFmtId="4" fontId="4" fillId="0" borderId="0" xfId="0" applyNumberFormat="1" applyFont="1" applyAlignment="1">
      <alignment horizontal="center"/>
    </xf>
    <xf numFmtId="4" fontId="3" fillId="0" borderId="0" xfId="1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center"/>
    </xf>
    <xf numFmtId="4" fontId="3" fillId="0" borderId="0" xfId="3" applyNumberFormat="1" applyFont="1" applyFill="1" applyBorder="1"/>
    <xf numFmtId="4" fontId="3" fillId="0" borderId="0" xfId="0" applyNumberFormat="1" applyFont="1" applyAlignment="1">
      <alignment vertical="center" wrapText="1"/>
    </xf>
    <xf numFmtId="4" fontId="3" fillId="0" borderId="0" xfId="1" applyNumberFormat="1" applyFont="1" applyFill="1" applyBorder="1"/>
    <xf numFmtId="4" fontId="3" fillId="0" borderId="0" xfId="1" applyNumberFormat="1" applyFont="1" applyFill="1" applyBorder="1" applyAlignment="1">
      <alignment horizontal="right"/>
    </xf>
    <xf numFmtId="4" fontId="4" fillId="0" borderId="0" xfId="3" applyNumberFormat="1" applyFont="1" applyFill="1" applyBorder="1" applyAlignment="1">
      <alignment horizontal="center"/>
    </xf>
    <xf numFmtId="4" fontId="3" fillId="0" borderId="2" xfId="0" applyNumberFormat="1" applyFont="1" applyBorder="1" applyAlignment="1">
      <alignment horizontal="center"/>
    </xf>
    <xf numFmtId="4" fontId="3" fillId="0" borderId="0" xfId="3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center"/>
    </xf>
    <xf numFmtId="4" fontId="3" fillId="0" borderId="2" xfId="0" applyNumberFormat="1" applyFont="1" applyBorder="1" applyAlignment="1">
      <alignment horizontal="center"/>
    </xf>
    <xf numFmtId="4" fontId="4" fillId="0" borderId="0" xfId="3" applyNumberFormat="1" applyFont="1" applyFill="1" applyBorder="1" applyAlignment="1">
      <alignment horizontal="center"/>
    </xf>
    <xf numFmtId="4" fontId="3" fillId="0" borderId="0" xfId="3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left" vertical="center" wrapText="1"/>
    </xf>
    <xf numFmtId="4" fontId="3" fillId="0" borderId="0" xfId="0" applyNumberFormat="1" applyFont="1" applyAlignment="1">
      <alignment horizontal="left" wrapText="1"/>
    </xf>
    <xf numFmtId="4" fontId="4" fillId="0" borderId="0" xfId="0" applyNumberFormat="1" applyFont="1" applyAlignment="1">
      <alignment horizontal="center" vertical="center" wrapText="1"/>
    </xf>
    <xf numFmtId="4" fontId="4" fillId="0" borderId="0" xfId="3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4" fontId="3" fillId="4" borderId="2" xfId="0" applyNumberFormat="1" applyFont="1" applyFill="1" applyBorder="1" applyAlignment="1">
      <alignment horizontal="center"/>
    </xf>
    <xf numFmtId="4" fontId="3" fillId="4" borderId="0" xfId="0" applyNumberFormat="1" applyFont="1" applyFill="1" applyAlignment="1">
      <alignment horizontal="center"/>
    </xf>
    <xf numFmtId="4" fontId="3" fillId="0" borderId="0" xfId="2" applyNumberFormat="1" applyFont="1" applyFill="1" applyBorder="1" applyAlignment="1">
      <alignment horizontal="center" vertical="center"/>
    </xf>
    <xf numFmtId="4" fontId="3" fillId="5" borderId="0" xfId="0" applyNumberFormat="1" applyFont="1" applyFill="1" applyAlignment="1">
      <alignment horizontal="center" vertical="center" wrapText="1"/>
    </xf>
    <xf numFmtId="4" fontId="4" fillId="5" borderId="0" xfId="1" applyNumberFormat="1" applyFont="1" applyFill="1" applyBorder="1"/>
    <xf numFmtId="4" fontId="3" fillId="5" borderId="0" xfId="2" applyNumberFormat="1" applyFont="1" applyFill="1" applyBorder="1" applyAlignment="1">
      <alignment horizontal="center" vertical="center"/>
    </xf>
    <xf numFmtId="4" fontId="3" fillId="6" borderId="0" xfId="3" applyNumberFormat="1" applyFont="1" applyFill="1" applyBorder="1" applyAlignment="1">
      <alignment horizontal="center"/>
    </xf>
    <xf numFmtId="4" fontId="4" fillId="5" borderId="0" xfId="3" applyNumberFormat="1" applyFont="1" applyFill="1" applyBorder="1" applyAlignment="1">
      <alignment horizontal="center"/>
    </xf>
    <xf numFmtId="4" fontId="3" fillId="4" borderId="0" xfId="3" applyNumberFormat="1" applyFont="1" applyFill="1" applyBorder="1" applyAlignment="1">
      <alignment horizontal="center"/>
    </xf>
    <xf numFmtId="4" fontId="3" fillId="6" borderId="3" xfId="3" applyNumberFormat="1" applyFont="1" applyFill="1" applyBorder="1" applyAlignment="1">
      <alignment horizontal="left" vertical="center"/>
    </xf>
    <xf numFmtId="4" fontId="3" fillId="6" borderId="3" xfId="3" applyNumberFormat="1" applyFont="1" applyFill="1" applyBorder="1" applyAlignment="1">
      <alignment vertical="center" wrapText="1"/>
    </xf>
    <xf numFmtId="4" fontId="3" fillId="6" borderId="3" xfId="3" applyNumberFormat="1" applyFont="1" applyFill="1" applyBorder="1" applyAlignment="1">
      <alignment horizontal="left" vertical="center" wrapText="1"/>
    </xf>
    <xf numFmtId="164" fontId="3" fillId="6" borderId="3" xfId="1" applyFont="1" applyFill="1" applyBorder="1" applyAlignment="1">
      <alignment vertical="center" wrapText="1"/>
    </xf>
    <xf numFmtId="164" fontId="3" fillId="6" borderId="3" xfId="1" applyFont="1" applyFill="1" applyBorder="1" applyAlignment="1">
      <alignment horizontal="left" vertical="center" wrapText="1"/>
    </xf>
    <xf numFmtId="4" fontId="3" fillId="6" borderId="3" xfId="3" applyNumberFormat="1" applyFont="1" applyFill="1" applyBorder="1" applyAlignment="1">
      <alignment horizontal="center" vertical="center" wrapText="1"/>
    </xf>
    <xf numFmtId="4" fontId="4" fillId="6" borderId="0" xfId="0" applyNumberFormat="1" applyFont="1" applyFill="1" applyAlignment="1">
      <alignment horizontal="center"/>
    </xf>
    <xf numFmtId="4" fontId="4" fillId="6" borderId="0" xfId="2" applyNumberFormat="1" applyFont="1" applyFill="1" applyBorder="1" applyAlignment="1">
      <alignment horizontal="center" vertical="center"/>
    </xf>
    <xf numFmtId="4" fontId="3" fillId="0" borderId="2" xfId="1" applyNumberFormat="1" applyFont="1" applyFill="1" applyBorder="1" applyAlignment="1">
      <alignment horizontal="center"/>
    </xf>
    <xf numFmtId="172" fontId="3" fillId="5" borderId="0" xfId="1" applyNumberFormat="1" applyFont="1" applyFill="1" applyAlignment="1">
      <alignment horizontal="center"/>
    </xf>
  </cellXfs>
  <cellStyles count="4">
    <cellStyle name="Bueno" xfId="2" builtinId="26"/>
    <cellStyle name="Moneda" xfId="1" builtinId="4"/>
    <cellStyle name="Normal" xfId="0" builtinId="0"/>
    <cellStyle name="Notas" xfId="3" builtinId="10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619125</xdr:colOff>
      <xdr:row>55</xdr:row>
      <xdr:rowOff>180975</xdr:rowOff>
    </xdr:from>
    <xdr:to>
      <xdr:col>4</xdr:col>
      <xdr:colOff>664844</xdr:colOff>
      <xdr:row>58</xdr:row>
      <xdr:rowOff>28575</xdr:rowOff>
    </xdr:to>
    <xdr:sp macro="" textlink="">
      <xdr:nvSpPr>
        <xdr:cNvPr id="2" name="Cerrar corchete 1">
          <a:extLst>
            <a:ext uri="{FF2B5EF4-FFF2-40B4-BE49-F238E27FC236}">
              <a16:creationId xmlns:a16="http://schemas.microsoft.com/office/drawing/2014/main" id="{19483C0B-F510-469F-9BE2-EB9275A456F8}"/>
            </a:ext>
          </a:extLst>
        </xdr:cNvPr>
        <xdr:cNvSpPr/>
      </xdr:nvSpPr>
      <xdr:spPr>
        <a:xfrm>
          <a:off x="3667125" y="13896975"/>
          <a:ext cx="45719" cy="41910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  <xdr:twoCellAnchor>
    <xdr:from>
      <xdr:col>2</xdr:col>
      <xdr:colOff>1114426</xdr:colOff>
      <xdr:row>55</xdr:row>
      <xdr:rowOff>152400</xdr:rowOff>
    </xdr:from>
    <xdr:to>
      <xdr:col>2</xdr:col>
      <xdr:colOff>1190626</xdr:colOff>
      <xdr:row>58</xdr:row>
      <xdr:rowOff>66675</xdr:rowOff>
    </xdr:to>
    <xdr:sp macro="" textlink="">
      <xdr:nvSpPr>
        <xdr:cNvPr id="3" name="Abrir corchete 2">
          <a:extLst>
            <a:ext uri="{FF2B5EF4-FFF2-40B4-BE49-F238E27FC236}">
              <a16:creationId xmlns:a16="http://schemas.microsoft.com/office/drawing/2014/main" id="{BD3116A1-2A73-432E-A6AF-1AD9A3F89A70}"/>
            </a:ext>
          </a:extLst>
        </xdr:cNvPr>
        <xdr:cNvSpPr/>
      </xdr:nvSpPr>
      <xdr:spPr>
        <a:xfrm>
          <a:off x="2286001" y="13868400"/>
          <a:ext cx="0" cy="485775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1AA1-5444-4F77-B9E4-0A354D494E04}">
  <sheetPr>
    <pageSetUpPr fitToPage="1"/>
  </sheetPr>
  <dimension ref="B1:P61"/>
  <sheetViews>
    <sheetView tabSelected="1" topLeftCell="A43" workbookViewId="0">
      <selection activeCell="J50" sqref="J50"/>
    </sheetView>
  </sheetViews>
  <sheetFormatPr baseColWidth="10" defaultColWidth="11.44140625" defaultRowHeight="13.8" x14ac:dyDescent="0.25"/>
  <cols>
    <col min="1" max="1" width="11.44140625" style="1"/>
    <col min="2" max="2" width="23.88671875" style="1" customWidth="1"/>
    <col min="3" max="3" width="19.33203125" style="1" bestFit="1" customWidth="1"/>
    <col min="4" max="4" width="19.109375" style="1" bestFit="1" customWidth="1"/>
    <col min="5" max="5" width="19.44140625" style="1" bestFit="1" customWidth="1"/>
    <col min="6" max="6" width="19.33203125" style="1" bestFit="1" customWidth="1"/>
    <col min="7" max="7" width="21" style="1" customWidth="1"/>
    <col min="8" max="8" width="23" style="1" customWidth="1"/>
    <col min="9" max="9" width="19.44140625" style="1" customWidth="1"/>
    <col min="10" max="10" width="19.109375" style="1" customWidth="1"/>
    <col min="11" max="11" width="15.88671875" style="1" customWidth="1"/>
    <col min="12" max="12" width="17.88671875" style="1" bestFit="1" customWidth="1"/>
    <col min="13" max="14" width="17.44140625" style="1" bestFit="1" customWidth="1"/>
    <col min="15" max="15" width="11.88671875" style="1" bestFit="1" customWidth="1"/>
    <col min="16" max="16384" width="11.44140625" style="1"/>
  </cols>
  <sheetData>
    <row r="1" spans="2:16" x14ac:dyDescent="0.25">
      <c r="B1" s="2"/>
    </row>
    <row r="2" spans="2:16" x14ac:dyDescent="0.25">
      <c r="B2" s="2" t="s">
        <v>42</v>
      </c>
    </row>
    <row r="3" spans="2:16" ht="14.4" customHeight="1" x14ac:dyDescent="0.25">
      <c r="B3" s="25" t="s">
        <v>45</v>
      </c>
      <c r="C3" s="25"/>
      <c r="D3" s="25"/>
      <c r="E3" s="25"/>
      <c r="F3" s="25"/>
      <c r="G3" s="25"/>
      <c r="H3" s="3"/>
      <c r="I3" s="3"/>
      <c r="J3" s="3"/>
      <c r="K3" s="3"/>
      <c r="L3" s="3"/>
      <c r="M3" s="3"/>
      <c r="N3" s="3"/>
      <c r="O3" s="3"/>
      <c r="P3" s="3"/>
    </row>
    <row r="4" spans="2:16" ht="20.25" customHeight="1" x14ac:dyDescent="0.25">
      <c r="B4" s="25"/>
      <c r="C4" s="25"/>
      <c r="D4" s="25"/>
      <c r="E4" s="25"/>
      <c r="F4" s="25"/>
      <c r="G4" s="25"/>
      <c r="H4" s="4"/>
      <c r="I4" s="4"/>
      <c r="J4" s="4"/>
      <c r="K4" s="4"/>
      <c r="L4" s="4"/>
      <c r="M4" s="4"/>
      <c r="N4" s="4"/>
      <c r="O4" s="4"/>
      <c r="P4" s="4"/>
    </row>
    <row r="5" spans="2:16" x14ac:dyDescent="0.25">
      <c r="B5" s="24" t="s">
        <v>43</v>
      </c>
      <c r="C5" s="24"/>
      <c r="D5" s="24"/>
      <c r="E5" s="6" t="s">
        <v>41</v>
      </c>
      <c r="F5" s="5" t="s">
        <v>44</v>
      </c>
      <c r="H5" s="4"/>
      <c r="I5" s="4"/>
      <c r="J5" s="4"/>
      <c r="K5" s="4"/>
      <c r="L5" s="4"/>
      <c r="M5" s="4"/>
      <c r="N5" s="4"/>
      <c r="O5" s="4"/>
      <c r="P5" s="4"/>
    </row>
    <row r="6" spans="2:16" x14ac:dyDescent="0.25">
      <c r="B6" s="35" t="s">
        <v>40</v>
      </c>
      <c r="C6" s="35"/>
      <c r="D6" s="35"/>
      <c r="E6" s="36">
        <v>1700</v>
      </c>
      <c r="F6" s="36">
        <f>+E6*10000</f>
        <v>17000000</v>
      </c>
      <c r="H6" s="4"/>
      <c r="I6" s="4"/>
      <c r="J6" s="4"/>
      <c r="K6" s="4"/>
      <c r="L6" s="4"/>
      <c r="M6" s="4"/>
      <c r="N6" s="4"/>
      <c r="O6" s="4"/>
      <c r="P6" s="4"/>
    </row>
    <row r="7" spans="2:16" ht="27" customHeight="1" x14ac:dyDescent="0.25">
      <c r="B7" s="37" t="s">
        <v>47</v>
      </c>
      <c r="C7" s="37"/>
      <c r="D7" s="37"/>
      <c r="E7" s="38">
        <f>E6*175%</f>
        <v>2975</v>
      </c>
      <c r="F7" s="39">
        <f>F6*175%</f>
        <v>29750000</v>
      </c>
      <c r="H7" s="4"/>
      <c r="I7" s="4"/>
      <c r="J7" s="4"/>
      <c r="K7" s="4"/>
      <c r="L7" s="4"/>
      <c r="M7" s="4"/>
      <c r="N7" s="4"/>
      <c r="O7" s="4"/>
      <c r="P7" s="4"/>
    </row>
    <row r="8" spans="2:16" ht="30" customHeight="1" x14ac:dyDescent="0.25">
      <c r="B8" s="37" t="s">
        <v>39</v>
      </c>
      <c r="C8" s="37"/>
      <c r="D8" s="37"/>
      <c r="E8" s="40">
        <v>5500000</v>
      </c>
      <c r="F8" s="40"/>
      <c r="G8" s="4"/>
      <c r="H8" s="4"/>
      <c r="I8" s="4"/>
      <c r="J8" s="4"/>
      <c r="K8" s="4"/>
      <c r="L8" s="4"/>
      <c r="M8" s="4"/>
      <c r="N8" s="4"/>
      <c r="O8" s="4"/>
      <c r="P8" s="4"/>
    </row>
    <row r="9" spans="2:16" ht="28.5" customHeight="1" x14ac:dyDescent="0.25">
      <c r="B9" s="37" t="s">
        <v>46</v>
      </c>
      <c r="C9" s="37"/>
      <c r="D9" s="37"/>
      <c r="E9" s="40">
        <v>0.2</v>
      </c>
      <c r="F9" s="40"/>
      <c r="G9" s="4"/>
      <c r="H9" s="4"/>
      <c r="I9" s="4"/>
      <c r="J9" s="4"/>
      <c r="K9" s="4"/>
      <c r="L9" s="4"/>
      <c r="M9" s="4"/>
      <c r="N9" s="4"/>
      <c r="O9" s="4"/>
      <c r="P9" s="4"/>
    </row>
    <row r="10" spans="2:16" ht="30" customHeight="1" x14ac:dyDescent="0.25">
      <c r="B10" s="37" t="s">
        <v>38</v>
      </c>
      <c r="C10" s="37"/>
      <c r="D10" s="37"/>
      <c r="E10" s="40" t="s">
        <v>37</v>
      </c>
      <c r="F10" s="40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2:16" x14ac:dyDescent="0.25">
      <c r="B11" s="37" t="s">
        <v>36</v>
      </c>
      <c r="C11" s="37"/>
      <c r="D11" s="37"/>
      <c r="E11" s="40">
        <v>687500</v>
      </c>
      <c r="F11" s="40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2:16" x14ac:dyDescent="0.25">
      <c r="B12" s="37" t="s">
        <v>35</v>
      </c>
      <c r="C12" s="37"/>
      <c r="D12" s="37"/>
      <c r="E12" s="40">
        <v>5000000</v>
      </c>
      <c r="F12" s="40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2:16" x14ac:dyDescent="0.25">
      <c r="B13" s="37" t="s">
        <v>34</v>
      </c>
      <c r="C13" s="37"/>
      <c r="D13" s="37"/>
      <c r="E13" s="40">
        <v>5000</v>
      </c>
      <c r="F13" s="40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2:16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2:16" x14ac:dyDescent="0.25">
      <c r="B15" s="2" t="s">
        <v>33</v>
      </c>
    </row>
    <row r="16" spans="2:16" x14ac:dyDescent="0.25">
      <c r="B16" s="2"/>
    </row>
    <row r="17" spans="2:13" ht="15" customHeight="1" x14ac:dyDescent="0.25">
      <c r="B17" s="23" t="s">
        <v>32</v>
      </c>
      <c r="C17" s="23"/>
      <c r="D17" s="23" t="s">
        <v>31</v>
      </c>
      <c r="E17" s="23"/>
      <c r="L17" s="7" t="s">
        <v>0</v>
      </c>
      <c r="M17" s="1" t="s">
        <v>50</v>
      </c>
    </row>
    <row r="18" spans="2:13" x14ac:dyDescent="0.25">
      <c r="B18" s="23"/>
      <c r="C18" s="23"/>
      <c r="D18" s="23"/>
      <c r="E18" s="23"/>
      <c r="H18" s="41" t="s">
        <v>51</v>
      </c>
      <c r="I18" s="41"/>
      <c r="J18" s="41"/>
      <c r="K18" s="41"/>
    </row>
    <row r="19" spans="2:13" x14ac:dyDescent="0.25">
      <c r="B19" s="23"/>
      <c r="C19" s="23"/>
      <c r="D19" s="23"/>
      <c r="E19" s="23"/>
      <c r="H19" s="2" t="s">
        <v>29</v>
      </c>
      <c r="I19" s="7" t="s">
        <v>49</v>
      </c>
      <c r="J19" s="7" t="s">
        <v>0</v>
      </c>
      <c r="K19" s="7" t="s">
        <v>30</v>
      </c>
      <c r="L19" s="9" t="s">
        <v>0</v>
      </c>
      <c r="M19" s="1">
        <f>D24</f>
        <v>6875000</v>
      </c>
    </row>
    <row r="20" spans="2:13" x14ac:dyDescent="0.25">
      <c r="B20" s="2"/>
    </row>
    <row r="21" spans="2:13" x14ac:dyDescent="0.25">
      <c r="B21" s="22" t="s">
        <v>27</v>
      </c>
      <c r="C21" s="22"/>
      <c r="D21" s="15">
        <f>E8</f>
        <v>5500000</v>
      </c>
      <c r="F21" s="26">
        <f>D21</f>
        <v>5500000</v>
      </c>
      <c r="H21" s="2" t="s">
        <v>29</v>
      </c>
      <c r="I21" s="8">
        <f>F7</f>
        <v>29750000</v>
      </c>
      <c r="J21" s="9" t="s">
        <v>0</v>
      </c>
      <c r="K21" s="10">
        <f>F6</f>
        <v>17000000</v>
      </c>
    </row>
    <row r="22" spans="2:13" x14ac:dyDescent="0.25">
      <c r="B22" s="22"/>
      <c r="C22" s="22"/>
      <c r="D22" s="9" t="s">
        <v>48</v>
      </c>
      <c r="F22" s="27">
        <f>1-0.2</f>
        <v>0.8</v>
      </c>
    </row>
    <row r="23" spans="2:13" x14ac:dyDescent="0.25">
      <c r="H23" s="2" t="s">
        <v>29</v>
      </c>
      <c r="I23" s="30">
        <f>I21-K21-M19</f>
        <v>5875000</v>
      </c>
    </row>
    <row r="24" spans="2:13" x14ac:dyDescent="0.25">
      <c r="B24" s="22" t="s">
        <v>27</v>
      </c>
      <c r="C24" s="22"/>
      <c r="D24" s="29">
        <f>+D21/(1-0.2)</f>
        <v>6875000</v>
      </c>
      <c r="E24" s="11"/>
    </row>
    <row r="25" spans="2:13" x14ac:dyDescent="0.25">
      <c r="B25" s="22"/>
      <c r="C25" s="22"/>
      <c r="D25" s="29"/>
      <c r="E25" s="11"/>
    </row>
    <row r="26" spans="2:13" x14ac:dyDescent="0.25">
      <c r="B26" s="2"/>
    </row>
    <row r="27" spans="2:13" x14ac:dyDescent="0.25">
      <c r="H27" s="42" t="s">
        <v>28</v>
      </c>
      <c r="I27" s="42"/>
      <c r="J27" s="42"/>
    </row>
    <row r="28" spans="2:13" x14ac:dyDescent="0.25">
      <c r="B28" s="19" t="s">
        <v>6</v>
      </c>
      <c r="C28" s="19"/>
      <c r="D28" s="19"/>
      <c r="E28" s="19"/>
      <c r="H28" s="28" t="s">
        <v>26</v>
      </c>
      <c r="I28" s="28" t="s">
        <v>24</v>
      </c>
      <c r="J28" s="28" t="s">
        <v>25</v>
      </c>
    </row>
    <row r="29" spans="2:13" x14ac:dyDescent="0.25">
      <c r="B29" s="10"/>
      <c r="C29" s="10"/>
      <c r="D29" s="10"/>
      <c r="E29" s="10"/>
      <c r="H29" s="28">
        <f>E7</f>
        <v>2975</v>
      </c>
      <c r="I29" s="28" t="s">
        <v>24</v>
      </c>
      <c r="J29" s="28">
        <v>10000</v>
      </c>
    </row>
    <row r="30" spans="2:13" x14ac:dyDescent="0.25">
      <c r="B30" s="20" t="s">
        <v>5</v>
      </c>
      <c r="C30" s="20"/>
      <c r="D30" s="20"/>
      <c r="E30" s="20"/>
      <c r="H30" s="28"/>
      <c r="I30" s="31">
        <f>+H29*J29</f>
        <v>29750000</v>
      </c>
      <c r="J30" s="28"/>
    </row>
    <row r="31" spans="2:13" x14ac:dyDescent="0.25">
      <c r="B31" s="16"/>
      <c r="C31" s="16"/>
      <c r="D31" s="16"/>
      <c r="E31" s="16"/>
    </row>
    <row r="32" spans="2:13" x14ac:dyDescent="0.25">
      <c r="B32" s="32" t="s">
        <v>4</v>
      </c>
      <c r="C32" s="32">
        <f>+D24</f>
        <v>6875000</v>
      </c>
      <c r="D32" s="32" t="s">
        <v>3</v>
      </c>
      <c r="E32" s="32">
        <f>+I23</f>
        <v>5875000</v>
      </c>
    </row>
    <row r="33" spans="2:5" x14ac:dyDescent="0.25">
      <c r="B33" s="32" t="s">
        <v>2</v>
      </c>
      <c r="C33" s="32">
        <v>0.2</v>
      </c>
      <c r="D33" s="32" t="s">
        <v>2</v>
      </c>
      <c r="E33" s="32">
        <v>0.2</v>
      </c>
    </row>
    <row r="34" spans="2:5" x14ac:dyDescent="0.25">
      <c r="B34" s="16"/>
      <c r="C34" s="16"/>
      <c r="D34" s="16"/>
      <c r="E34" s="16"/>
    </row>
    <row r="35" spans="2:5" x14ac:dyDescent="0.25">
      <c r="B35" s="16"/>
      <c r="C35" s="34">
        <f>+C32*C33</f>
        <v>1375000</v>
      </c>
      <c r="D35" s="16"/>
      <c r="E35" s="34">
        <f>+E32*E33</f>
        <v>1175000</v>
      </c>
    </row>
    <row r="36" spans="2:5" x14ac:dyDescent="0.25">
      <c r="B36" s="16"/>
      <c r="C36" s="16"/>
      <c r="D36" s="16"/>
      <c r="E36" s="16"/>
    </row>
    <row r="37" spans="2:5" x14ac:dyDescent="0.25">
      <c r="B37" s="19" t="s">
        <v>1</v>
      </c>
      <c r="C37" s="19"/>
      <c r="D37" s="14"/>
      <c r="E37" s="33">
        <f>+C35+E35</f>
        <v>2550000</v>
      </c>
    </row>
    <row r="38" spans="2:5" x14ac:dyDescent="0.25">
      <c r="B38" s="10"/>
      <c r="C38" s="10"/>
      <c r="D38" s="10"/>
      <c r="E38" s="10"/>
    </row>
    <row r="40" spans="2:5" x14ac:dyDescent="0.25">
      <c r="B40" s="1" t="s">
        <v>23</v>
      </c>
    </row>
    <row r="42" spans="2:5" x14ac:dyDescent="0.25">
      <c r="B42" s="2" t="s">
        <v>22</v>
      </c>
    </row>
    <row r="44" spans="2:5" x14ac:dyDescent="0.25">
      <c r="B44" s="1" t="s">
        <v>8</v>
      </c>
      <c r="C44" s="12">
        <f>+F7</f>
        <v>29750000</v>
      </c>
    </row>
    <row r="45" spans="2:5" x14ac:dyDescent="0.25">
      <c r="B45" s="1" t="s">
        <v>7</v>
      </c>
      <c r="C45" s="12">
        <f>+E6</f>
        <v>1700</v>
      </c>
    </row>
    <row r="46" spans="2:5" x14ac:dyDescent="0.25">
      <c r="B46" s="1" t="s">
        <v>21</v>
      </c>
      <c r="C46" s="13">
        <f>+I23</f>
        <v>5875000</v>
      </c>
    </row>
    <row r="48" spans="2:5" x14ac:dyDescent="0.25">
      <c r="B48" s="2" t="s">
        <v>20</v>
      </c>
    </row>
    <row r="50" spans="2:11" x14ac:dyDescent="0.25">
      <c r="B50" s="1" t="s">
        <v>15</v>
      </c>
      <c r="C50" s="18" t="s">
        <v>14</v>
      </c>
      <c r="D50" s="18"/>
      <c r="E50" s="9" t="s">
        <v>9</v>
      </c>
      <c r="F50" s="43">
        <f>I23</f>
        <v>5875000</v>
      </c>
      <c r="G50" s="43"/>
      <c r="H50" s="43"/>
      <c r="I50" s="9" t="s">
        <v>9</v>
      </c>
      <c r="J50" s="44">
        <f>F50/(F51-H51)</f>
        <v>4607.8431372549021</v>
      </c>
      <c r="K50" s="2" t="s">
        <v>19</v>
      </c>
    </row>
    <row r="51" spans="2:11" x14ac:dyDescent="0.25">
      <c r="C51" s="17" t="s">
        <v>18</v>
      </c>
      <c r="D51" s="17"/>
      <c r="F51" s="9">
        <f>E7</f>
        <v>2975</v>
      </c>
      <c r="G51" s="9" t="s">
        <v>0</v>
      </c>
      <c r="H51" s="8">
        <f>E6</f>
        <v>1700</v>
      </c>
    </row>
    <row r="52" spans="2:11" x14ac:dyDescent="0.25">
      <c r="C52" s="17" t="s">
        <v>17</v>
      </c>
      <c r="D52" s="17"/>
      <c r="G52" s="9"/>
    </row>
    <row r="53" spans="2:11" x14ac:dyDescent="0.25">
      <c r="G53" s="9"/>
    </row>
    <row r="54" spans="2:11" x14ac:dyDescent="0.25">
      <c r="B54" s="2" t="s">
        <v>16</v>
      </c>
      <c r="G54" s="9"/>
    </row>
    <row r="55" spans="2:11" x14ac:dyDescent="0.25">
      <c r="G55" s="9"/>
    </row>
    <row r="56" spans="2:11" x14ac:dyDescent="0.25">
      <c r="B56" s="1" t="s">
        <v>15</v>
      </c>
      <c r="C56" s="18" t="s">
        <v>14</v>
      </c>
      <c r="D56" s="18"/>
      <c r="E56" s="18"/>
      <c r="F56" s="12">
        <f>+C46</f>
        <v>5875000</v>
      </c>
      <c r="G56" s="9" t="s">
        <v>9</v>
      </c>
      <c r="H56" s="1">
        <f>+F56</f>
        <v>5875000</v>
      </c>
      <c r="I56" s="12">
        <f>+H56/H57</f>
        <v>5875335.7334704837</v>
      </c>
      <c r="J56" s="1" t="s">
        <v>13</v>
      </c>
    </row>
    <row r="57" spans="2:11" x14ac:dyDescent="0.25">
      <c r="C57" s="21" t="s">
        <v>12</v>
      </c>
      <c r="D57" s="1" t="s">
        <v>7</v>
      </c>
      <c r="F57" s="9" t="s">
        <v>11</v>
      </c>
      <c r="G57" s="9"/>
      <c r="H57" s="1">
        <f>1-(C45/C44)</f>
        <v>0.99994285714285713</v>
      </c>
    </row>
    <row r="58" spans="2:11" x14ac:dyDescent="0.25">
      <c r="C58" s="21"/>
      <c r="D58" s="1" t="s">
        <v>10</v>
      </c>
      <c r="G58" s="9"/>
    </row>
    <row r="59" spans="2:11" x14ac:dyDescent="0.25">
      <c r="C59" s="4"/>
      <c r="G59" s="9"/>
    </row>
    <row r="60" spans="2:11" x14ac:dyDescent="0.25">
      <c r="C60" s="4"/>
      <c r="G60" s="9"/>
    </row>
    <row r="61" spans="2:11" x14ac:dyDescent="0.25">
      <c r="C61" s="4"/>
      <c r="G61" s="9"/>
    </row>
  </sheetData>
  <mergeCells count="32">
    <mergeCell ref="B3:G4"/>
    <mergeCell ref="B37:C37"/>
    <mergeCell ref="H18:K18"/>
    <mergeCell ref="H27:J27"/>
    <mergeCell ref="C51:D51"/>
    <mergeCell ref="F50:H50"/>
    <mergeCell ref="B17:C19"/>
    <mergeCell ref="D17:E19"/>
    <mergeCell ref="B5:D5"/>
    <mergeCell ref="B10:D10"/>
    <mergeCell ref="B11:D11"/>
    <mergeCell ref="B12:D12"/>
    <mergeCell ref="B13:D13"/>
    <mergeCell ref="B6:D6"/>
    <mergeCell ref="E12:F12"/>
    <mergeCell ref="E13:F13"/>
    <mergeCell ref="B8:D8"/>
    <mergeCell ref="E8:F8"/>
    <mergeCell ref="B9:D9"/>
    <mergeCell ref="E9:F9"/>
    <mergeCell ref="E10:F10"/>
    <mergeCell ref="C57:C58"/>
    <mergeCell ref="B21:C22"/>
    <mergeCell ref="B24:C25"/>
    <mergeCell ref="D24:D25"/>
    <mergeCell ref="C52:D52"/>
    <mergeCell ref="B7:D7"/>
    <mergeCell ref="C50:D50"/>
    <mergeCell ref="C56:E56"/>
    <mergeCell ref="B28:E28"/>
    <mergeCell ref="B30:E30"/>
    <mergeCell ref="E11:F11"/>
  </mergeCells>
  <printOptions horizontalCentered="1"/>
  <pageMargins left="0.70866141732283472" right="0.70866141732283472" top="0.74803149606299213" bottom="0.74803149606299213" header="0.31496062992125984" footer="0.31496062992125984"/>
  <pageSetup paperSize="3" scale="7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Valent Morales Espinoza</dc:creator>
  <cp:lastModifiedBy>Alex Roblero</cp:lastModifiedBy>
  <dcterms:created xsi:type="dcterms:W3CDTF">2024-04-01T02:40:03Z</dcterms:created>
  <dcterms:modified xsi:type="dcterms:W3CDTF">2026-04-15T17:44:30Z</dcterms:modified>
</cp:coreProperties>
</file>