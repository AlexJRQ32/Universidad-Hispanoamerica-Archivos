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ble\OneDrive\Documentos\Universidad Hispanoamerica - Archivos\Finanzas\"/>
    </mc:Choice>
  </mc:AlternateContent>
  <xr:revisionPtr revIDLastSave="0" documentId="13_ncr:1_{3B85FB2C-5712-4315-810C-3D3382AA25B1}" xr6:coauthVersionLast="47" xr6:coauthVersionMax="47" xr10:uidLastSave="{00000000-0000-0000-0000-000000000000}"/>
  <bookViews>
    <workbookView xWindow="-108" yWindow="-108" windowWidth="23976" windowHeight="14016" xr2:uid="{CC3711BC-908F-42C0-8B61-322F25A20130}"/>
  </bookViews>
  <sheets>
    <sheet name="PREGUNTA 4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6" i="5" l="1"/>
  <c r="L67" i="5"/>
  <c r="L66" i="5"/>
  <c r="N54" i="5" l="1"/>
  <c r="R100" i="5"/>
  <c r="O100" i="5"/>
  <c r="Q99" i="5" s="1"/>
  <c r="L100" i="5"/>
  <c r="R99" i="5"/>
  <c r="T99" i="5" s="1"/>
  <c r="O99" i="5"/>
  <c r="L99" i="5"/>
  <c r="N99" i="5" s="1"/>
  <c r="R95" i="5"/>
  <c r="O95" i="5"/>
  <c r="R96" i="5"/>
  <c r="O96" i="5"/>
  <c r="L96" i="5"/>
  <c r="L95" i="5"/>
  <c r="N95" i="5" s="1"/>
  <c r="R92" i="5"/>
  <c r="T91" i="5" s="1"/>
  <c r="O92" i="5"/>
  <c r="L92" i="5"/>
  <c r="R91" i="5"/>
  <c r="O91" i="5"/>
  <c r="L91" i="5"/>
  <c r="R88" i="5"/>
  <c r="O88" i="5"/>
  <c r="L88" i="5"/>
  <c r="R87" i="5"/>
  <c r="O87" i="5"/>
  <c r="L87" i="5"/>
  <c r="N87" i="5" s="1"/>
  <c r="R83" i="5"/>
  <c r="O83" i="5"/>
  <c r="Q82" i="5" s="1"/>
  <c r="L83" i="5"/>
  <c r="R82" i="5"/>
  <c r="T82" i="5" s="1"/>
  <c r="O82" i="5"/>
  <c r="L82" i="5"/>
  <c r="R78" i="5"/>
  <c r="O78" i="5"/>
  <c r="Q77" i="5" s="1"/>
  <c r="L78" i="5"/>
  <c r="R77" i="5"/>
  <c r="O77" i="5"/>
  <c r="L77" i="5"/>
  <c r="N77" i="5" s="1"/>
  <c r="R71" i="5"/>
  <c r="O71" i="5"/>
  <c r="L71" i="5"/>
  <c r="R70" i="5"/>
  <c r="T70" i="5" s="1"/>
  <c r="O70" i="5"/>
  <c r="Q70" i="5" s="1"/>
  <c r="L70" i="5"/>
  <c r="R67" i="5"/>
  <c r="O67" i="5"/>
  <c r="R66" i="5"/>
  <c r="O66" i="5"/>
  <c r="Q66" i="5" s="1"/>
  <c r="R64" i="5"/>
  <c r="O64" i="5"/>
  <c r="L64" i="5"/>
  <c r="R63" i="5"/>
  <c r="O63" i="5"/>
  <c r="L63" i="5"/>
  <c r="R60" i="5"/>
  <c r="O60" i="5"/>
  <c r="L60" i="5"/>
  <c r="R59" i="5"/>
  <c r="T59" i="5" s="1"/>
  <c r="O59" i="5"/>
  <c r="Q59" i="5" s="1"/>
  <c r="L59" i="5"/>
  <c r="R55" i="5"/>
  <c r="O55" i="5"/>
  <c r="L55" i="5"/>
  <c r="R54" i="5"/>
  <c r="T54" i="5" s="1"/>
  <c r="O54" i="5"/>
  <c r="L54" i="5"/>
  <c r="Q95" i="5"/>
  <c r="T77" i="5"/>
  <c r="M17" i="5"/>
  <c r="M21" i="5" s="1"/>
  <c r="N17" i="5"/>
  <c r="N21" i="5" s="1"/>
  <c r="L17" i="5"/>
  <c r="L21" i="5" s="1"/>
  <c r="T95" i="5" l="1"/>
  <c r="Q91" i="5"/>
  <c r="N91" i="5"/>
  <c r="T87" i="5"/>
  <c r="Q87" i="5"/>
  <c r="N82" i="5"/>
  <c r="N70" i="5"/>
  <c r="T66" i="5"/>
  <c r="T63" i="5"/>
  <c r="Q63" i="5"/>
  <c r="N63" i="5"/>
  <c r="N59" i="5"/>
  <c r="Q54" i="5"/>
  <c r="G40" i="5"/>
  <c r="F40" i="5"/>
  <c r="E40" i="5"/>
  <c r="G34" i="5"/>
  <c r="F34" i="5"/>
  <c r="E34" i="5"/>
  <c r="G30" i="5"/>
  <c r="F30" i="5"/>
  <c r="E30" i="5"/>
  <c r="G23" i="5"/>
  <c r="F23" i="5"/>
  <c r="E23" i="5"/>
  <c r="G20" i="5"/>
  <c r="F20" i="5"/>
  <c r="E20" i="5"/>
  <c r="N24" i="5"/>
  <c r="N25" i="5" s="1"/>
  <c r="M24" i="5"/>
  <c r="M25" i="5" s="1"/>
  <c r="L24" i="5"/>
  <c r="L25" i="5" s="1"/>
  <c r="E24" i="5" l="1"/>
  <c r="G35" i="5"/>
  <c r="F35" i="5"/>
  <c r="F24" i="5"/>
  <c r="E35" i="5"/>
  <c r="G24" i="5"/>
  <c r="N26" i="5"/>
  <c r="L26" i="5"/>
  <c r="M26" i="5"/>
  <c r="G42" i="5" l="1"/>
  <c r="F42" i="5"/>
  <c r="E42" i="5"/>
</calcChain>
</file>

<file path=xl/sharedStrings.xml><?xml version="1.0" encoding="utf-8"?>
<sst xmlns="http://schemas.openxmlformats.org/spreadsheetml/2006/main" count="159" uniqueCount="102">
  <si>
    <t>Importante: deben mostrar planteamientos y procedimientos, no solo fórmula para demostrar el resultado obtenido</t>
  </si>
  <si>
    <t>Ventas Netas</t>
  </si>
  <si>
    <t xml:space="preserve">Costo de Mercaderías Vendidas </t>
  </si>
  <si>
    <t>Cuentas por cobrar</t>
  </si>
  <si>
    <t>Inventarios</t>
  </si>
  <si>
    <t>Activos Fijos</t>
  </si>
  <si>
    <t>Utilidad antes de impuestos</t>
  </si>
  <si>
    <t>Total activos fijos</t>
  </si>
  <si>
    <t>Activo Total</t>
  </si>
  <si>
    <t>Cuentas por pagar</t>
  </si>
  <si>
    <t xml:space="preserve">Balance General </t>
  </si>
  <si>
    <t>Estado de Resultados</t>
  </si>
  <si>
    <t>(En millones de colones</t>
  </si>
  <si>
    <t>Rubros</t>
  </si>
  <si>
    <t>Empresa A</t>
  </si>
  <si>
    <t>Empresa B</t>
  </si>
  <si>
    <t>Empresa C</t>
  </si>
  <si>
    <t>ACTIVO</t>
  </si>
  <si>
    <t xml:space="preserve">Activos Corrientes </t>
  </si>
  <si>
    <t>Bancos</t>
  </si>
  <si>
    <t>Margen Bruto</t>
  </si>
  <si>
    <t>Gasto de Administración</t>
  </si>
  <si>
    <t>Gasto de Fabricación (compras)</t>
  </si>
  <si>
    <t>Total Activos corrientes</t>
  </si>
  <si>
    <t>Gasto de comercialización</t>
  </si>
  <si>
    <t>Utilidades antes de intereses e impuestos</t>
  </si>
  <si>
    <t>Bienes de Uso (neto de amortizaciones)</t>
  </si>
  <si>
    <t>Gastos Financieros</t>
  </si>
  <si>
    <t>Impuestos renta (30%)</t>
  </si>
  <si>
    <t>PASIVO</t>
  </si>
  <si>
    <t>Utilidad Neta</t>
  </si>
  <si>
    <t>Pasivo Corriente</t>
  </si>
  <si>
    <t>Cuentas y Documentos por pagar</t>
  </si>
  <si>
    <t>Impuestos Fiscales</t>
  </si>
  <si>
    <t>Total Pasivo Corriente</t>
  </si>
  <si>
    <t>Pasivo no corriente</t>
  </si>
  <si>
    <t>Deuda por pagar L.P</t>
  </si>
  <si>
    <t>Préstamo bancario L.P</t>
  </si>
  <si>
    <t>Total Pasivo Largo Plazo</t>
  </si>
  <si>
    <t>Total del Pasivo</t>
  </si>
  <si>
    <t>PATRIMONIO NETO</t>
  </si>
  <si>
    <t>Capital social</t>
  </si>
  <si>
    <t>Utilidades Acumuladas</t>
  </si>
  <si>
    <t>Total Patrimonio Neto</t>
  </si>
  <si>
    <t>Total del Pasivo más Patrimonio Neto</t>
  </si>
  <si>
    <t>Fortalezas financieras</t>
  </si>
  <si>
    <t>Debilidades Financieras</t>
  </si>
  <si>
    <t>RAZONES FINANCIERAS</t>
  </si>
  <si>
    <t>INDICE O RAZÓN</t>
  </si>
  <si>
    <t>Actividad (activos)</t>
  </si>
  <si>
    <t xml:space="preserve">Razon circulante </t>
  </si>
  <si>
    <t>Muestra la capacidad de una empresa para cubrir sus pasivos corrientes (circulantes) con sus activos circulantes (corrientes)</t>
  </si>
  <si>
    <t>Veces</t>
  </si>
  <si>
    <t>=</t>
  </si>
  <si>
    <t xml:space="preserve">Pasivos corrientes </t>
  </si>
  <si>
    <t xml:space="preserve">Razon prueba de ácido </t>
  </si>
  <si>
    <t>Permite conocer la capacidad de una empresa para cubrir sus pasivos corrientes (circulantes) con sus activos circulantes mas líquidos.</t>
  </si>
  <si>
    <t>Razon rotación de inventarios</t>
  </si>
  <si>
    <t>Costo de la mercadería vendida</t>
  </si>
  <si>
    <t>Mide la liquidez de los inventarios de una empresa</t>
  </si>
  <si>
    <t>Inventario</t>
  </si>
  <si>
    <t>Razon periodo promedio de cobro</t>
  </si>
  <si>
    <t>días</t>
  </si>
  <si>
    <t>Mide el tiempo en que tarda una empresa para recuperar sus ventas a crédito</t>
  </si>
  <si>
    <t>Ventas anuales a crédito/360</t>
  </si>
  <si>
    <t>Razon periodo promedio de pago</t>
  </si>
  <si>
    <t>Mide la duración promedio en que se tarda en pagar una compra a crédito</t>
  </si>
  <si>
    <t>Apalancamiento (endeudamiento)</t>
  </si>
  <si>
    <t>Razon apalancamiento</t>
  </si>
  <si>
    <t xml:space="preserve">Mide la relación de pasivos a patrimonio y evalúa cuanto financian terceros en relación a los dueños </t>
  </si>
  <si>
    <t>Pasivos totales</t>
  </si>
  <si>
    <t>%</t>
  </si>
  <si>
    <t>Patrimonio Total</t>
  </si>
  <si>
    <t>Razon endeudamiento</t>
  </si>
  <si>
    <t xml:space="preserve">Mide la proporción de una empresa en la cual utiliza deudas (pasivos) para financiar sus activos </t>
  </si>
  <si>
    <t>Activos totales</t>
  </si>
  <si>
    <t>Rentabilidad</t>
  </si>
  <si>
    <t>Margen de utilidad bruta</t>
  </si>
  <si>
    <t>Utilidad bruta</t>
  </si>
  <si>
    <t>Indica el porcentaje de utilidad bruta que estan generando las ventas de una empresa</t>
  </si>
  <si>
    <t>Ventas</t>
  </si>
  <si>
    <t>Margen de utilidad neta</t>
  </si>
  <si>
    <t>Utilidad neta</t>
  </si>
  <si>
    <t>Indica el porcentaje de utilidad neta que estan generando las ventas de una empresa</t>
  </si>
  <si>
    <t xml:space="preserve">Rentabilidad sobre activos </t>
  </si>
  <si>
    <t>Mide la eficiencia total de la administración en obtener utilidades a partir de los activos disponibles de una empresa</t>
  </si>
  <si>
    <t>Activo total</t>
  </si>
  <si>
    <t xml:space="preserve">Rentabilidad sobre patrimonio </t>
  </si>
  <si>
    <t>Mide el rendimiento de la inversión de los propietarioas (dueños) Accionistas de la empresa (comunes o preferentes)</t>
  </si>
  <si>
    <t>Pregunta 4</t>
  </si>
  <si>
    <t>Activos corrientes</t>
  </si>
  <si>
    <t>Pasivos corrientes</t>
  </si>
  <si>
    <t>Activos corrientes-Inventarios</t>
  </si>
  <si>
    <t>Cálcule las Razones solicitadas, prepare el informe de análisis financiero de cada una de las empresas:</t>
  </si>
  <si>
    <t>Realice un análisis financiero basado en las razones financieras de cada una de las compañías, estableciendo cuales fortalezas y debilidades financieras que muestra cada de las compañías, (6 PUNTOS)</t>
  </si>
  <si>
    <t>Pregunta 4) Valor 20 puntos</t>
  </si>
  <si>
    <t>La empres A no tiene Fortalezas en todo es menor que las otras 2 y cuando debe ser menor igual es mayor.</t>
  </si>
  <si>
    <t>La Razon circulante de esta empresa es un 0,42 mas que la empresa A y un 0,29 mas que la C.</t>
  </si>
  <si>
    <t>La Rentabilidad sobre patrimonio es un 107,7% mas que la empresa B y un 48,7% mas que la A.</t>
  </si>
  <si>
    <t>En la Razon de promedio de pago es 4,5 dias mas que la empresa B y 4 dias mas que la empresa A</t>
  </si>
  <si>
    <t>En la Rentabilidad sobre activos es un 20,4% menos que la empresa C y un 2,7% menor que la A</t>
  </si>
  <si>
    <t>En la Razon de Apalancamiento es un 58% mas que la empresa B y un 1% mas que la empresa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</si>
</sst>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_-* #,##0.0_-;\-* #,##0.0_-;_-* &quot;-&quot;??_-;_-@_-"/>
    <numFmt numFmtId="166" formatCode="0.0%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rgb="FF000000"/>
      <name val="Arial Nova"/>
      <family val="2"/>
    </font>
    <font>
      <sz val="12"/>
      <color theme="1"/>
      <name val="Arial Nova"/>
      <family val="2"/>
    </font>
    <font>
      <b/>
      <sz val="12"/>
      <color theme="1"/>
      <name val="Arial Nova"/>
      <family val="2"/>
    </font>
    <font>
      <sz val="11"/>
      <color theme="1"/>
      <name val="Arial Nova"/>
      <family val="2"/>
    </font>
    <font>
      <b/>
      <sz val="11"/>
      <color theme="1"/>
      <name val="Arial Nova"/>
      <family val="2"/>
    </font>
    <font>
      <sz val="11"/>
      <color rgb="FF000000"/>
      <name val="Arial Nova"/>
      <family val="2"/>
    </font>
    <font>
      <b/>
      <i/>
      <sz val="11"/>
      <color theme="1"/>
      <name val="Arial Nova"/>
      <family val="2"/>
    </font>
    <font>
      <b/>
      <sz val="11"/>
      <name val="Arial Nova"/>
      <family val="2"/>
    </font>
    <font>
      <sz val="11"/>
      <color rgb="FFFF0000"/>
      <name val="Arial Nova"/>
      <family val="2"/>
    </font>
    <font>
      <b/>
      <sz val="11"/>
      <color rgb="FF000000"/>
      <name val="Arial Nova"/>
      <family val="2"/>
    </font>
    <font>
      <sz val="11"/>
      <color rgb="FF9C0006"/>
      <name val="Aptos Narrow"/>
      <family val="2"/>
      <scheme val="minor"/>
    </font>
    <font>
      <sz val="10"/>
      <name val="Arial"/>
      <family val="2"/>
    </font>
    <font>
      <b/>
      <sz val="14"/>
      <name val="Arial Nova"/>
      <family val="2"/>
    </font>
    <font>
      <sz val="11"/>
      <color rgb="FF0000CC"/>
      <name val="Arial Nova"/>
      <family val="2"/>
    </font>
    <font>
      <b/>
      <i/>
      <sz val="11"/>
      <color rgb="FF000000"/>
      <name val="Arial Nova"/>
      <family val="2"/>
    </font>
    <font>
      <sz val="10"/>
      <name val="Arial"/>
      <family val="2"/>
    </font>
    <font>
      <b/>
      <sz val="24"/>
      <color theme="1"/>
      <name val="Arial Nova"/>
      <family val="2"/>
    </font>
    <font>
      <b/>
      <sz val="14"/>
      <color theme="1"/>
      <name val="Arial Nova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7CE"/>
      </patternFill>
    </fill>
    <fill>
      <patternFill patternType="solid">
        <fgColor rgb="FFFF99CC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auto="1"/>
      </top>
      <bottom/>
      <diagonal/>
    </border>
  </borders>
  <cellStyleXfs count="7">
    <xf numFmtId="0" fontId="0" fillId="0" borderId="0"/>
    <xf numFmtId="0" fontId="1" fillId="0" borderId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2" fillId="7" borderId="0" applyNumberFormat="0" applyBorder="0" applyAlignment="0" applyProtection="0"/>
    <xf numFmtId="0" fontId="13" fillId="0" borderId="0"/>
    <xf numFmtId="9" fontId="17" fillId="0" borderId="0" applyFont="0" applyFill="0" applyBorder="0" applyAlignment="0" applyProtection="0"/>
  </cellStyleXfs>
  <cellXfs count="140">
    <xf numFmtId="0" fontId="0" fillId="0" borderId="0" xfId="0"/>
    <xf numFmtId="0" fontId="3" fillId="0" borderId="0" xfId="0" applyFont="1"/>
    <xf numFmtId="0" fontId="5" fillId="0" borderId="0" xfId="0" applyFont="1"/>
    <xf numFmtId="0" fontId="5" fillId="0" borderId="0" xfId="5" applyFont="1"/>
    <xf numFmtId="0" fontId="14" fillId="0" borderId="0" xfId="5" applyFont="1" applyAlignment="1">
      <alignment horizontal="center" wrapText="1"/>
    </xf>
    <xf numFmtId="0" fontId="9" fillId="0" borderId="0" xfId="5" applyFont="1" applyAlignment="1">
      <alignment horizontal="center" vertical="center"/>
    </xf>
    <xf numFmtId="0" fontId="6" fillId="0" borderId="0" xfId="5" applyFont="1"/>
    <xf numFmtId="0" fontId="4" fillId="0" borderId="4" xfId="5" applyFont="1" applyBorder="1"/>
    <xf numFmtId="0" fontId="5" fillId="0" borderId="5" xfId="5" applyFont="1" applyBorder="1"/>
    <xf numFmtId="0" fontId="5" fillId="0" borderId="6" xfId="5" applyFont="1" applyBorder="1"/>
    <xf numFmtId="0" fontId="4" fillId="0" borderId="7" xfId="5" applyFont="1" applyBorder="1"/>
    <xf numFmtId="0" fontId="5" fillId="0" borderId="8" xfId="5" applyFont="1" applyBorder="1"/>
    <xf numFmtId="0" fontId="5" fillId="0" borderId="7" xfId="5" applyFont="1" applyBorder="1"/>
    <xf numFmtId="0" fontId="6" fillId="0" borderId="8" xfId="5" applyFont="1" applyBorder="1"/>
    <xf numFmtId="0" fontId="6" fillId="6" borderId="7" xfId="5" applyFont="1" applyFill="1" applyBorder="1"/>
    <xf numFmtId="0" fontId="5" fillId="6" borderId="0" xfId="5" applyFont="1" applyFill="1"/>
    <xf numFmtId="0" fontId="5" fillId="6" borderId="8" xfId="5" applyFont="1" applyFill="1" applyBorder="1"/>
    <xf numFmtId="0" fontId="5" fillId="0" borderId="0" xfId="5" applyFont="1" applyAlignment="1">
      <alignment horizontal="center"/>
    </xf>
    <xf numFmtId="0" fontId="5" fillId="0" borderId="8" xfId="5" applyFont="1" applyBorder="1" applyAlignment="1">
      <alignment horizontal="center"/>
    </xf>
    <xf numFmtId="0" fontId="10" fillId="0" borderId="8" xfId="5" applyFont="1" applyBorder="1" applyAlignment="1">
      <alignment horizontal="center"/>
    </xf>
    <xf numFmtId="0" fontId="6" fillId="0" borderId="8" xfId="5" applyFont="1" applyBorder="1" applyAlignment="1">
      <alignment horizontal="center"/>
    </xf>
    <xf numFmtId="0" fontId="8" fillId="0" borderId="7" xfId="5" applyFont="1" applyBorder="1"/>
    <xf numFmtId="0" fontId="8" fillId="0" borderId="0" xfId="5" applyFont="1"/>
    <xf numFmtId="0" fontId="8" fillId="0" borderId="8" xfId="5" applyFont="1" applyBorder="1"/>
    <xf numFmtId="0" fontId="6" fillId="6" borderId="0" xfId="5" applyFont="1" applyFill="1"/>
    <xf numFmtId="0" fontId="6" fillId="6" borderId="8" xfId="5" applyFont="1" applyFill="1" applyBorder="1"/>
    <xf numFmtId="0" fontId="6" fillId="3" borderId="7" xfId="5" applyFont="1" applyFill="1" applyBorder="1"/>
    <xf numFmtId="0" fontId="5" fillId="3" borderId="0" xfId="5" applyFont="1" applyFill="1"/>
    <xf numFmtId="0" fontId="5" fillId="3" borderId="8" xfId="5" applyFont="1" applyFill="1" applyBorder="1"/>
    <xf numFmtId="0" fontId="6" fillId="5" borderId="10" xfId="5" applyFont="1" applyFill="1" applyBorder="1" applyAlignment="1">
      <alignment horizontal="center"/>
    </xf>
    <xf numFmtId="0" fontId="6" fillId="5" borderId="11" xfId="5" applyFont="1" applyFill="1" applyBorder="1" applyAlignment="1">
      <alignment horizontal="center"/>
    </xf>
    <xf numFmtId="0" fontId="16" fillId="0" borderId="7" xfId="5" applyFont="1" applyBorder="1"/>
    <xf numFmtId="0" fontId="11" fillId="3" borderId="7" xfId="5" applyFont="1" applyFill="1" applyBorder="1"/>
    <xf numFmtId="0" fontId="6" fillId="3" borderId="0" xfId="5" applyFont="1" applyFill="1"/>
    <xf numFmtId="0" fontId="6" fillId="3" borderId="8" xfId="5" applyFont="1" applyFill="1" applyBorder="1"/>
    <xf numFmtId="0" fontId="11" fillId="0" borderId="7" xfId="5" applyFont="1" applyBorder="1"/>
    <xf numFmtId="0" fontId="11" fillId="8" borderId="7" xfId="5" applyFont="1" applyFill="1" applyBorder="1" applyAlignment="1">
      <alignment horizontal="justify" vertical="center"/>
    </xf>
    <xf numFmtId="0" fontId="5" fillId="8" borderId="0" xfId="5" applyFont="1" applyFill="1"/>
    <xf numFmtId="0" fontId="5" fillId="8" borderId="8" xfId="5" applyFont="1" applyFill="1" applyBorder="1"/>
    <xf numFmtId="0" fontId="7" fillId="0" borderId="7" xfId="5" applyFont="1" applyBorder="1"/>
    <xf numFmtId="0" fontId="11" fillId="8" borderId="7" xfId="5" applyFont="1" applyFill="1" applyBorder="1"/>
    <xf numFmtId="0" fontId="6" fillId="8" borderId="0" xfId="5" applyFont="1" applyFill="1"/>
    <xf numFmtId="0" fontId="6" fillId="8" borderId="8" xfId="5" applyFont="1" applyFill="1" applyBorder="1"/>
    <xf numFmtId="0" fontId="11" fillId="4" borderId="9" xfId="5" applyFont="1" applyFill="1" applyBorder="1"/>
    <xf numFmtId="0" fontId="6" fillId="4" borderId="10" xfId="5" applyFont="1" applyFill="1" applyBorder="1"/>
    <xf numFmtId="0" fontId="6" fillId="4" borderId="11" xfId="5" applyFont="1" applyFill="1" applyBorder="1"/>
    <xf numFmtId="0" fontId="13" fillId="0" borderId="0" xfId="5"/>
    <xf numFmtId="0" fontId="5" fillId="0" borderId="23" xfId="5" applyFont="1" applyBorder="1"/>
    <xf numFmtId="0" fontId="5" fillId="0" borderId="13" xfId="5" applyFont="1" applyBorder="1"/>
    <xf numFmtId="0" fontId="5" fillId="0" borderId="14" xfId="5" applyFont="1" applyBorder="1"/>
    <xf numFmtId="0" fontId="5" fillId="0" borderId="25" xfId="5" applyFont="1" applyBorder="1"/>
    <xf numFmtId="0" fontId="5" fillId="0" borderId="22" xfId="5" applyFont="1" applyBorder="1" applyAlignment="1">
      <alignment horizontal="center"/>
    </xf>
    <xf numFmtId="0" fontId="6" fillId="0" borderId="15" xfId="5" applyFont="1" applyBorder="1"/>
    <xf numFmtId="164" fontId="5" fillId="0" borderId="23" xfId="5" applyNumberFormat="1" applyFont="1" applyBorder="1" applyAlignment="1">
      <alignment horizontal="center"/>
    </xf>
    <xf numFmtId="43" fontId="15" fillId="0" borderId="8" xfId="4" applyNumberFormat="1" applyFont="1" applyFill="1" applyBorder="1" applyAlignment="1">
      <alignment horizontal="center"/>
    </xf>
    <xf numFmtId="164" fontId="5" fillId="0" borderId="7" xfId="5" applyNumberFormat="1" applyFont="1" applyBorder="1" applyAlignment="1">
      <alignment horizontal="center"/>
    </xf>
    <xf numFmtId="0" fontId="15" fillId="0" borderId="8" xfId="5" applyFont="1" applyBorder="1" applyAlignment="1">
      <alignment horizontal="center"/>
    </xf>
    <xf numFmtId="0" fontId="5" fillId="0" borderId="7" xfId="5" applyFont="1" applyBorder="1" applyAlignment="1">
      <alignment horizontal="center"/>
    </xf>
    <xf numFmtId="0" fontId="5" fillId="0" borderId="15" xfId="5" applyFont="1" applyBorder="1"/>
    <xf numFmtId="0" fontId="6" fillId="0" borderId="15" xfId="5" applyFont="1" applyBorder="1" applyAlignment="1">
      <alignment vertical="center"/>
    </xf>
    <xf numFmtId="41" fontId="5" fillId="0" borderId="23" xfId="5" applyNumberFormat="1" applyFont="1" applyBorder="1"/>
    <xf numFmtId="164" fontId="5" fillId="0" borderId="7" xfId="5" applyNumberFormat="1" applyFont="1" applyBorder="1"/>
    <xf numFmtId="41" fontId="5" fillId="0" borderId="7" xfId="5" applyNumberFormat="1" applyFont="1" applyBorder="1"/>
    <xf numFmtId="165" fontId="5" fillId="0" borderId="7" xfId="5" applyNumberFormat="1" applyFont="1" applyBorder="1"/>
    <xf numFmtId="0" fontId="5" fillId="0" borderId="12" xfId="5" applyFont="1" applyBorder="1"/>
    <xf numFmtId="0" fontId="15" fillId="0" borderId="21" xfId="5" applyFont="1" applyBorder="1" applyAlignment="1">
      <alignment horizontal="center"/>
    </xf>
    <xf numFmtId="0" fontId="15" fillId="0" borderId="22" xfId="5" applyFont="1" applyBorder="1" applyAlignment="1">
      <alignment horizontal="center"/>
    </xf>
    <xf numFmtId="9" fontId="15" fillId="0" borderId="8" xfId="6" applyFont="1" applyFill="1" applyBorder="1" applyAlignment="1">
      <alignment horizontal="center"/>
    </xf>
    <xf numFmtId="164" fontId="5" fillId="0" borderId="23" xfId="5" applyNumberFormat="1" applyFont="1" applyBorder="1"/>
    <xf numFmtId="9" fontId="15" fillId="0" borderId="8" xfId="4" applyNumberFormat="1" applyFont="1" applyFill="1" applyBorder="1" applyAlignment="1">
      <alignment horizontal="center"/>
    </xf>
    <xf numFmtId="0" fontId="19" fillId="0" borderId="13" xfId="5" applyFont="1" applyBorder="1"/>
    <xf numFmtId="166" fontId="15" fillId="0" borderId="8" xfId="4" applyNumberFormat="1" applyFont="1" applyFill="1" applyBorder="1" applyAlignment="1">
      <alignment horizontal="center"/>
    </xf>
    <xf numFmtId="0" fontId="5" fillId="0" borderId="9" xfId="5" applyFont="1" applyBorder="1"/>
    <xf numFmtId="0" fontId="5" fillId="0" borderId="10" xfId="5" applyFont="1" applyBorder="1"/>
    <xf numFmtId="0" fontId="5" fillId="0" borderId="11" xfId="5" applyFont="1" applyBorder="1" applyAlignment="1">
      <alignment horizontal="center"/>
    </xf>
    <xf numFmtId="0" fontId="5" fillId="0" borderId="21" xfId="5" applyFont="1" applyBorder="1"/>
    <xf numFmtId="0" fontId="10" fillId="0" borderId="12" xfId="5" applyFont="1" applyBorder="1" applyAlignment="1">
      <alignment horizontal="center"/>
    </xf>
    <xf numFmtId="0" fontId="10" fillId="0" borderId="21" xfId="5" applyFont="1" applyBorder="1" applyAlignment="1">
      <alignment horizontal="center"/>
    </xf>
    <xf numFmtId="0" fontId="6" fillId="0" borderId="0" xfId="5" applyFont="1" applyAlignment="1">
      <alignment horizontal="center"/>
    </xf>
    <xf numFmtId="0" fontId="10" fillId="0" borderId="0" xfId="5" applyFont="1" applyAlignment="1">
      <alignment horizontal="center"/>
    </xf>
    <xf numFmtId="0" fontId="9" fillId="0" borderId="0" xfId="5" applyFont="1" applyAlignment="1">
      <alignment vertical="center" wrapText="1"/>
    </xf>
    <xf numFmtId="0" fontId="15" fillId="0" borderId="8" xfId="4" applyNumberFormat="1" applyFont="1" applyFill="1" applyBorder="1" applyAlignment="1">
      <alignment horizontal="center"/>
    </xf>
    <xf numFmtId="0" fontId="6" fillId="0" borderId="18" xfId="5" applyFont="1" applyBorder="1" applyAlignment="1">
      <alignment horizontal="center" vertical="center" wrapText="1"/>
    </xf>
    <xf numFmtId="0" fontId="5" fillId="0" borderId="18" xfId="5" applyFont="1" applyBorder="1" applyAlignment="1">
      <alignment horizontal="left" wrapText="1"/>
    </xf>
    <xf numFmtId="0" fontId="4" fillId="0" borderId="24" xfId="5" applyFont="1" applyBorder="1" applyAlignment="1">
      <alignment horizontal="center"/>
    </xf>
    <xf numFmtId="0" fontId="5" fillId="0" borderId="19" xfId="5" applyFont="1" applyBorder="1" applyAlignment="1">
      <alignment horizontal="left" vertical="center" wrapText="1"/>
    </xf>
    <xf numFmtId="0" fontId="5" fillId="0" borderId="18" xfId="5" applyFont="1" applyBorder="1" applyAlignment="1">
      <alignment horizontal="left" vertical="center" wrapText="1"/>
    </xf>
    <xf numFmtId="0" fontId="5" fillId="0" borderId="12" xfId="5" applyFont="1" applyBorder="1" applyAlignment="1">
      <alignment horizontal="center"/>
    </xf>
    <xf numFmtId="0" fontId="5" fillId="0" borderId="15" xfId="5" applyFont="1" applyBorder="1" applyAlignment="1">
      <alignment horizontal="left" wrapText="1"/>
    </xf>
    <xf numFmtId="0" fontId="5" fillId="0" borderId="0" xfId="5" applyFont="1" applyAlignment="1">
      <alignment horizontal="left" wrapText="1"/>
    </xf>
    <xf numFmtId="0" fontId="5" fillId="0" borderId="14" xfId="5" applyFont="1" applyBorder="1" applyAlignment="1">
      <alignment horizontal="center"/>
    </xf>
    <xf numFmtId="0" fontId="5" fillId="0" borderId="16" xfId="5" applyFont="1" applyBorder="1" applyAlignment="1">
      <alignment horizontal="left" wrapText="1"/>
    </xf>
    <xf numFmtId="0" fontId="5" fillId="0" borderId="12" xfId="5" applyFont="1" applyBorder="1" applyAlignment="1">
      <alignment horizontal="left" wrapText="1"/>
    </xf>
    <xf numFmtId="0" fontId="5" fillId="0" borderId="20" xfId="5" applyFont="1" applyBorder="1" applyAlignment="1">
      <alignment horizontal="center"/>
    </xf>
    <xf numFmtId="0" fontId="5" fillId="0" borderId="0" xfId="5" applyFont="1" applyAlignment="1">
      <alignment horizontal="center"/>
    </xf>
    <xf numFmtId="0" fontId="5" fillId="0" borderId="12" xfId="5" applyFont="1" applyBorder="1" applyAlignment="1">
      <alignment horizontal="center" wrapText="1"/>
    </xf>
    <xf numFmtId="0" fontId="6" fillId="0" borderId="4" xfId="5" applyFont="1" applyBorder="1" applyAlignment="1">
      <alignment horizontal="center" vertical="center"/>
    </xf>
    <xf numFmtId="0" fontId="6" fillId="0" borderId="5" xfId="5" applyFont="1" applyBorder="1" applyAlignment="1">
      <alignment horizontal="center" vertical="center"/>
    </xf>
    <xf numFmtId="0" fontId="6" fillId="0" borderId="6" xfId="5" applyFont="1" applyBorder="1" applyAlignment="1">
      <alignment horizontal="center" vertical="center"/>
    </xf>
    <xf numFmtId="0" fontId="6" fillId="0" borderId="7" xfId="5" applyFont="1" applyBorder="1" applyAlignment="1">
      <alignment horizontal="center" vertical="center"/>
    </xf>
    <xf numFmtId="0" fontId="6" fillId="0" borderId="0" xfId="5" applyFont="1" applyAlignment="1">
      <alignment horizontal="center" vertical="center"/>
    </xf>
    <xf numFmtId="0" fontId="6" fillId="0" borderId="8" xfId="5" applyFont="1" applyBorder="1" applyAlignment="1">
      <alignment horizontal="center" vertical="center"/>
    </xf>
    <xf numFmtId="0" fontId="19" fillId="0" borderId="17" xfId="5" applyFont="1" applyBorder="1" applyAlignment="1">
      <alignment horizontal="left"/>
    </xf>
    <xf numFmtId="0" fontId="19" fillId="0" borderId="20" xfId="5" applyFont="1" applyBorder="1" applyAlignment="1">
      <alignment horizontal="left"/>
    </xf>
    <xf numFmtId="0" fontId="19" fillId="0" borderId="13" xfId="5" applyFont="1" applyBorder="1" applyAlignment="1">
      <alignment horizontal="left"/>
    </xf>
    <xf numFmtId="0" fontId="19" fillId="0" borderId="14" xfId="5" applyFont="1" applyBorder="1" applyAlignment="1">
      <alignment horizontal="left"/>
    </xf>
    <xf numFmtId="0" fontId="7" fillId="0" borderId="7" xfId="5" applyFont="1" applyBorder="1" applyAlignment="1">
      <alignment horizontal="left"/>
    </xf>
    <xf numFmtId="0" fontId="7" fillId="0" borderId="0" xfId="5" applyFont="1" applyAlignment="1">
      <alignment horizontal="left"/>
    </xf>
    <xf numFmtId="0" fontId="6" fillId="5" borderId="9" xfId="5" applyFont="1" applyFill="1" applyBorder="1" applyAlignment="1">
      <alignment horizontal="left"/>
    </xf>
    <xf numFmtId="0" fontId="6" fillId="5" borderId="10" xfId="5" applyFont="1" applyFill="1" applyBorder="1" applyAlignment="1">
      <alignment horizontal="left"/>
    </xf>
    <xf numFmtId="0" fontId="6" fillId="0" borderId="0" xfId="5" applyFont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wrapText="1"/>
    </xf>
    <xf numFmtId="0" fontId="5" fillId="0" borderId="15" xfId="5" applyFont="1" applyBorder="1" applyAlignment="1">
      <alignment horizontal="left" vertical="center" wrapText="1"/>
    </xf>
    <xf numFmtId="0" fontId="5" fillId="0" borderId="0" xfId="5" applyFont="1" applyAlignment="1">
      <alignment horizontal="left" vertical="center" wrapText="1"/>
    </xf>
    <xf numFmtId="0" fontId="5" fillId="0" borderId="15" xfId="5" applyFont="1" applyBorder="1" applyAlignment="1">
      <alignment wrapText="1"/>
    </xf>
    <xf numFmtId="0" fontId="5" fillId="0" borderId="0" xfId="5" applyFont="1" applyAlignment="1">
      <alignment wrapText="1"/>
    </xf>
    <xf numFmtId="0" fontId="18" fillId="0" borderId="1" xfId="5" applyFont="1" applyBorder="1" applyAlignment="1">
      <alignment horizontal="center"/>
    </xf>
    <xf numFmtId="0" fontId="18" fillId="0" borderId="2" xfId="5" applyFont="1" applyBorder="1" applyAlignment="1">
      <alignment horizontal="center"/>
    </xf>
    <xf numFmtId="0" fontId="18" fillId="0" borderId="3" xfId="5" applyFont="1" applyBorder="1" applyAlignment="1">
      <alignment horizontal="center"/>
    </xf>
    <xf numFmtId="0" fontId="4" fillId="0" borderId="0" xfId="0" applyFont="1" applyAlignment="1">
      <alignment horizontal="left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2" fillId="0" borderId="24" xfId="0" applyFont="1" applyBorder="1" applyAlignment="1">
      <alignment horizontal="center" vertical="center"/>
    </xf>
    <xf numFmtId="0" fontId="6" fillId="0" borderId="7" xfId="5" applyFont="1" applyBorder="1" applyAlignment="1">
      <alignment horizontal="left"/>
    </xf>
    <xf numFmtId="0" fontId="6" fillId="0" borderId="0" xfId="5" applyFont="1" applyAlignment="1">
      <alignment horizontal="left"/>
    </xf>
    <xf numFmtId="0" fontId="11" fillId="0" borderId="7" xfId="5" applyFont="1" applyBorder="1" applyAlignment="1">
      <alignment horizontal="left" wrapText="1"/>
    </xf>
    <xf numFmtId="0" fontId="11" fillId="0" borderId="0" xfId="5" applyFont="1" applyAlignment="1">
      <alignment horizontal="left" wrapText="1"/>
    </xf>
    <xf numFmtId="0" fontId="6" fillId="0" borderId="0" xfId="5" applyFont="1" applyAlignment="1">
      <alignment horizontal="center" vertical="center" wrapText="1"/>
    </xf>
    <xf numFmtId="0" fontId="6" fillId="5" borderId="7" xfId="5" applyFont="1" applyFill="1" applyBorder="1" applyAlignment="1">
      <alignment horizontal="left"/>
    </xf>
    <xf numFmtId="0" fontId="6" fillId="5" borderId="0" xfId="5" applyFont="1" applyFill="1" applyAlignment="1">
      <alignment horizontal="left"/>
    </xf>
    <xf numFmtId="0" fontId="6" fillId="0" borderId="8" xfId="5" applyFont="1" applyBorder="1" applyAlignment="1">
      <alignment horizontal="center" vertical="center" wrapText="1"/>
    </xf>
    <xf numFmtId="0" fontId="11" fillId="0" borderId="7" xfId="5" applyFont="1" applyBorder="1" applyAlignment="1">
      <alignment horizontal="left"/>
    </xf>
    <xf numFmtId="0" fontId="11" fillId="0" borderId="0" xfId="5" applyFont="1" applyAlignment="1">
      <alignment horizontal="left"/>
    </xf>
    <xf numFmtId="43" fontId="5" fillId="0" borderId="0" xfId="5" applyNumberFormat="1" applyFont="1"/>
    <xf numFmtId="166" fontId="5" fillId="0" borderId="0" xfId="5" applyNumberFormat="1" applyFont="1"/>
    <xf numFmtId="41" fontId="15" fillId="0" borderId="8" xfId="4" applyNumberFormat="1" applyFont="1" applyFill="1" applyBorder="1" applyAlignment="1">
      <alignment horizontal="center"/>
    </xf>
    <xf numFmtId="166" fontId="5" fillId="0" borderId="0" xfId="0" applyNumberFormat="1" applyFont="1"/>
    <xf numFmtId="9" fontId="5" fillId="0" borderId="0" xfId="5" applyNumberFormat="1" applyFont="1"/>
  </cellXfs>
  <cellStyles count="7">
    <cellStyle name="Incorrecto" xfId="4" builtinId="27"/>
    <cellStyle name="Millares [0] 2" xfId="3" xr:uid="{CEFB39C0-EF78-4B2C-9B4F-61B093F11D5B}"/>
    <cellStyle name="Normal" xfId="0" builtinId="0"/>
    <cellStyle name="Normal 2" xfId="1" xr:uid="{6D8F7C91-CE0E-4BA5-A4CA-DCB14190280A}"/>
    <cellStyle name="Normal 3" xfId="5" xr:uid="{F69A5F2F-882E-4FA8-8FB0-7BF6FF735AC7}"/>
    <cellStyle name="Porcentaje 2" xfId="2" xr:uid="{82780E07-BBB6-41C8-8720-0ABA441921B3}"/>
    <cellStyle name="Porcentaje 3" xfId="6" xr:uid="{9F9A3677-E6FD-429E-AD25-3F70CC2A156A}"/>
  </cellStyles>
  <dxfs count="0"/>
  <tableStyles count="0" defaultTableStyle="TableStyleMedium2" defaultPivotStyle="PivotStyleLight16"/>
  <colors>
    <mruColors>
      <color rgb="FFCCECFF"/>
      <color rgb="FFFFCCFF"/>
      <color rgb="FFCCFF99"/>
      <color rgb="FFCCFFFF"/>
      <color rgb="FFCCCCFF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5</xdr:row>
      <xdr:rowOff>0</xdr:rowOff>
    </xdr:from>
    <xdr:to>
      <xdr:col>9</xdr:col>
      <xdr:colOff>304800</xdr:colOff>
      <xdr:row>6</xdr:row>
      <xdr:rowOff>146685</xdr:rowOff>
    </xdr:to>
    <xdr:sp macro="" textlink="">
      <xdr:nvSpPr>
        <xdr:cNvPr id="2" name="AutoShape 2" descr="data:image/jpg;base64,%20/9j/4AAQSkZJRgABAQEAYABgAAD/2wBDAAUDBAQEAwUEBAQFBQUGBwwIBwcHBw8LCwkMEQ8SEhEPERETFhwXExQaFRERGCEYGh0dHx8fExciJCIeJBweHx7/2wBDAQUFBQcGBw4ICA4eFBEUHh4eHh4eHh4eHh4eHh4eHh4eHh4eHh4eHh4eHh4eHh4eHh4eHh4eHh4eHh4eHh4eHh7/wAARCADHAd4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7LorhPsfgX/nzn/7+zf8AxVH2PwL/AM+c/wD39m/+KqrIm8ux3dFcJ9j8C/8APnP/AN/Zv/iqPsfgX/nzn/7+zf8AxVFkF5dju6K4T7H4F/585/8Av7N/8VR9j8C/8+c//f2b/wCKosgvLsd3RXCfY/Av/PnP/wB/Zv8A4qj7H4F/585/+/s3/wAVRZBeXY7uiuE+x+Bf+fOf/v7N/wDFUfY/Av8Az5z/APf2b/4qiyC8ux3dFcJ9j8C/8+c//f2b/wCKo+x+Bf8Anzn/AO/s3/xVFkF5dju6K4T7H4F/585/+/s3/wAVR9j8C/8APnP/AN/Zv/iqLILy7Hd0Vwn2PwL/AM+c/wD39m/+Ko+x+Bf+fOf/AL+zf/FUWQXl2O7orhPsfgX/AJ85/wDv7N/8VR9j8C/8+c//AH9m/wDiqLILy7Hd0Vwn2PwL/wA+c/8A39m/+Ko+x+Bf+fOf/v7N/wDFUWQXl2O7orhPsfgX/nzn/wC/s3/xVH2PwL/z5z/9/Zv/AIqiyC8ux3dFcJ9j8C/8+c//AH9m/wDiqPsfgX/nzn/7+zf/ABVFkF5dju6K4T7H4F/585/+/s3/AMVU1ppfge6nWGO1dXY4XfNKMn67qLILy7Ha0VzF/wCFfCtlaPdT6fL5aYzslmduTjgBsnrVDQ9N8Da1I6adaTy7C6sxa4VQyNtdckgZDcEUe73D3ux21FcnZeHfCF5e31nBYyGaxkWOcGaYbWZA4wS3PysOlXP+EL8N/wDQPb/wIl/+Ko93uF5djoKK4aGz+H81jd3kMZlis7k2tyElnLwyggbWXOQckdu4PStn/hC/Df8A0D2/8CJf/iqPd7heXb+vuOgorn/+EM8Nf9A9v/AmX/4qo7bwl4XuIvMj0+Tbkr800ynIODwW9qPd7heXY6Siuf8A+EL8N/8AQPb/AMCZf/iqa/g7wwiszWJVVGSTcy8D/vqj3e4Xl2OiormbPwp4Vu7WO5gsJDFIu5S00ykj6Fsipv8AhC/Df/QPb/wJl/8AiqLR7heXY6Ciuf8A+EL8N/8AQPb/AMCZf/iqz7/Q/Btjpw1C5sZ0t/OSDO+fO9pBGOM5xuI56d+lHu9wvLsdhRXP/wDCF+G/+ge3/gTL/wDFUf8ACF+G/wDoHt/4Ey//ABVHu9wvLsdBRXJ6r4d8IaZFDLeWMipNcR26FZpm+eRgqg4bgZIGauf8IX4b/wCge3/gTL/8VR7vcLy7HQUVzdt4S8L3EImj0+TaSQN00yng46Fs9qk/4Qvw3/0D2/8AAmX/AOKo93uF5djoKK5//hDPDX/QPb/wJl/+KqO28JeF7iESx6fJtJI+aaZTwcHgtntR7vcLy7HSUVycXh/wXLq0ukxwq19DEs0kIuZdyoSQCfm9Qagm0rwHDey2cwjjliV2fdcygAIoZhndjIUgkdQDml7vcPe7f19x2dFcNJZ/D6O1a5kAREd0cNNMGQqAzblzkAKQSTwAQe9aGoeGfCdjptxqNxYv9nghaaRknlY7FGSQA3PA7Ue73D3ux1NFcbNo3gqK1a4azlKLZm8bbJOSIgM54PX0HU81ds/CfhW7tIbqCwdopo1kQm4lGVIyP4vQ07R7heXY6Wiuf/4Qvw3/ANA9v/AmX/4qj/hC/Df/AED2/wDAmX/4qj3e4Xl2Ogorn/8AhC/Df/QPb/wJl/8AiqP+EL8N/wDQPb/wJl/+Ko93uF5djoKK5/8A4Qvw3/0D2/8AAmX/AOKreijWKJIoxhEUKoznAFJ26DV+p5X+OPf0ryXRvFXiBtJ1K+l8QLdSwb1jgdIASouRH5q7ATwvGGAyWyK+gz4PbH/H8P8Av3/9esi7+FOiXFs9usVpbJIymT7NbLEZArBgrFcErkDI71rTnGL1RnVhKS91nlT/ABGuS2pNFpEXlWsVzJGZJWQ/uTgh8rj5sHG3ODgHrVjT/HGoy6tFZXenaZGrXcdo7xXxch5YvMjIBUZGOD79K9Zk+HenSSTySR2LvcDbOzWikyj0b+9+NM/4VtpQbcsOno4YMHWyQMrAYDA9iOx7U+enbYnkqX+I8Xm+IGpXXh+eby7Cwnls7ma3kt7oTPC8B5EiMuAG6D6+tbVj40lm1yCx+y2jW0l2tluFz/pBk8vf5nl4x5fvn3r0PRfhPo2k6a1hCYZ43BEj3ECyPKC27DsfvDPrWhH8P7GK6W6j+yJcKgjWVbVQ4Ufwg9ce1U50+iEoVbayPIviN4t1HS/7Rs9La0tZLKCGeSe4mVXbe+AI0ZSH6HOcdeKt6T41lv8Axc2jLpoFv9oltxLubeGjXJYgjbtPbBJ5Br1K9+H1jfMrXos7plBCma1VyAeoGaWPwDZx3ZvI2tUuSoQzLbKHKjoN3XFSpw5bNFOE+a6keQeIvEmsWXiPVYUu7SOztGsI0QOu/wDfSYdjlTzjjGeB70n/AAsG5t5bl77TbM2yNexxG2uy8jvb8nKkDAYe9euz/DvTbiWSWeOxlkkIMjPZqxcjpknrjt6Ukfw50yORZI4bBHVmZWWzQFS33iD2J7+tCnC1mhOE73Ujx5/H2qRvdRGx0OWWD7JjydRLI32h9o528Y71JdePb6OGxC2Wk/aZb2aznR74hVaNwGdTj7mMnJx2HU16ynwz0VFKpZ6YoJBIFgnUHI7evNK/wz0Z8b7TTGwxcZsUOGPU9OpwOfanz077C9nVt8R5GPiFevdQiLTtMaG4W6aFGv8AbOogB4dSMKWI9eK19J8VXN94J1HXRa2wurIS77cO4UMihirEqCDj0BHTmvR3+G+lPO9w9vp7TOSXkayQsxIwcnqeKbc/Deym0W40iO4S0tLiNo3S1iEWA3XGOhNJzg1oioxqJ3b0PIX+I1xFbKJNNspLiZbd4TbXTTRKs27AkKrkMNp4AOcirVj441C7miWPSLRVOnTXsge82sDGxTAyMYYgYJxgZz0r1Kx+Gel2el/2bGLVrYqFkV7ZT5uBjL/3j7mpx8PNPBDBLIEReSD9kXIj/uf7vt0pynT1shRhV0vI8bh+I11NZBlsdNS5jjmmuEnu2iVVjC5jBZeZDu6dMYOeatQ+PLk6r5c2m2i2H2uO23Lckz5kh81fkxjP8JGeter/APCt9K+zx2/kaf5Mb+ZHH9jTajf3gOgPvTm+HWmtMZ2jsTKZBKZDZpuLjo2eu7360OdPsChV/mPEr/x/qlxplyYBpdizaS+pQTQ3YmkjAZQqOjLjdzz+OK0z4/mOtXNjDpSSwwtLEHMpRmdI9+4kjYEOMdcgEHpXqx+GejFpGNpphMmd5Nih3Z659c1L/wAK80/zmm2WXmtH5TP9kXcUxjaT/dxxjpQ6lPsJU6l/iOC8Da/J4i0mS7mhhgnimMUkUbMdhABwdwHPPbI6YNct4RfTEtvHtmurmzsob98zx3G5raMxDLKSTjnd+INe1WXgS3sofJs5be2iyW2Q24RcnqcCoo/h3psaTpHHYotz/rwtmoEv+9/e6nr61PPG8rdf+AXyStG71X/BPE/hLfaNDNrl7Y6ilro22Boba4u/MdR8y+e+SdhkP8Oc8cjmmfFC60qHXbbULa+VtTsry1S5i+1Os8cZcYEEf3W3ZO71Fe2wfDfSYIpYoLfToo5ceaiWSKr4ORuA6496km+H9lNeRXk32SS5i/1cz2yl0+jHkVp7aPtOcz9hL2bhoeVfEjxnf+FNV0S3stFk1ZdQeVZIYc+aNu3BXHHc9a6+xnee0huWt5rV3UOYpQA8Z9DgkZ/Guv8A+EN+cP8AbV3AEBvK5A/Op7PwlDHMr3Fy0qg52BcZ+tYuUeVK2psoy5m76djorVma1iZvvFAT9cV5/J4W8TL4JvNHgFkt1dalezllvZUCRzNK6MGVQSwLrkYxxnnArtfEOqW2haFeatdKxt7SEyuF64FcRo/jK+g1/VNMms5dQupdQdoIY7kMsUCxQbtrEAHmTOOO/NYtJu3l+qNVdK46Pwr4m/tCS8nlt5IpnR57dbx1MxFokW4uFByrqSPUHPBAFa3grw3q2l6rPe61fG/m+yW0EU/2mQ5ZYlWVjGflG5lznkmqvjTxLImr2+k6e7RSWup6et2/m7CUmk+6Fx8wIBB6de+KrzfEy3jsIb06POYZ7Nb6Nlk3BIC5UtIFUlCvBIAbAz/dNCau35/oKzsl5Dr7wbqk10dWsZbXTtTkvCLtVcyRXtp5u4B/lGJFGSrYODkZINVR4V8V3GoXUt1Jbpb3F5aTNGmpTEbY5ZDJ1GfmjZBjODjHGBW34r8Yy6LNELbShqETWD37st0EPlIyBgg2nc2HBAyM4xmqd18QlSe/httLW4e3a2WLF2oEvnTNCMnBCkMvON3HvxSstF/X9aDu9WYkPgLxEsFlHcPBcRwvaSTRtqUx8x4ppCxyV4/dsg99uD61XvtN8R2Ot6fa3UN7fxwt5zpb3sozm7d1CMVwxCEBgSPlGAa27zx7NZyz3Gr6d9ltrLUZrVzbXYkZvLtGmbcpQZHBxgjnB6ZqzrnjObS5BcS2CygWEt1HHBfK0ciLJCoJOzIP73I7cHrkGiNrq3r+Fwd9U/61JvEHh/XL/wAT3V0t1N9gezCW3k37QNBLtdWBUIQ27cpBzwR0OBWNpnhHxRZz3F3OtjeXctlFbCT7ZLFws7swKjjJjYZwQMgjABrSf4geRNHbXmkiG5XUVsbhFuw4Xc6qsifLl1+deoXuOoxRd+OoP7O03Wvs7/2bcyM0TW9wrSOqwyuQ6beP9X90HOcc8EUe7a/9f1qGt7f1/Wg+DRfFVt4C0rTUmt7jUbOdTcxyXbhbqEM2U83buB2lTnB6Y96qX3hPxJLLOLa9WBWlDwEXsp8qH7N5Zt+nI3/Nv6856gVNN8QpFuYbOPRQ91Mscig3gEex4JJlO8KecRMCMdweQaWP4iLcW0t1Y6DeXUMEMUkxSQbkaSJJAu3q3yuPu5JwcA05W1uCvoZ1v4P8WWywiC/iXy57aXa17JJGxWFUm3gqDgkMRgjnB9RUd34Q8XTQpazyWd3B50c0XmX8mbdkvmmz9z590ZReehTHStnxD4gu5bfwpqmjMky307v5Iudkc6/ZpHClyvTIB6du1Q23xIguLdJl0mVNxxsknCuM2huRkY9AV+vPNDau2+gknZJdSrYeD/EEkdgmq3LTPHfiS+YapLtuI1SRQyqqjaSWUlc4+XrwKitvCfiya8ke+kt1glvbW4kij1KYjaiyLKASM/NlD1wcc4xWmvj/AMr7ENS0tbE3tn9qgd7oGNsgsED7Qu/aASCR143YNZUfjy9GlOPsbyLHYX9zczteKsyvBOYyEHl7SM9MgYGMjjlOydv60/4Yer/rv/w41fCHjB4NLtb2ezu1tBYOsrXshMDwSZkwCn7zcMEE4ORg+tdD4J0LXdLu1m1O+Eqrp8dvMoneQXNwrEtP8w+UkHoPX2FZen+L7i08QanpfkXOpzy37tBF5qr5UKRQFgCeODJnHHfkVt6N4wt9Q0HUNUa2+ytYymKa3mlCsjYUgMWAAzuHTIIIIJyKatv8xPX8jm7Twd4qjltppruJpIPs20/2jMcbLuSSTjbzmFgnPXGOgBqa48HeIo7JbeHUXuIlvnUxi+kid7MiTywZCG+dWkznHIVeeBVS78eX5urbWLO1BV7KWNrCW6Kxeat9Hb7923PG5udo47Vsy+PJ/s009toLzIl6tjG7XSorzGfySvIyAG5zjkeh4pK1l/XX+vvG73b/AK2KU3gnUpNTjvpwl08euLdASajN/wAeoiKBemAwY7sYwfWrvhLwvrNnrltfaxMs0dvayRx7b6V8SNPIwO0gA/u3C5PpjsDS2njwtezW95pcdqsf2pRJ9tUgvbuisDlRgHzBg+3TpWbdfES5m0+aaPSRFCmm3d1O6XoWVGglMRCZjIOSMgkDr0pppW/rp/wBau/3fib2p2OsWni3UfElna2txGNHFvBE07K8kquz4ICHAO4DIyfauc1XwJq2tWc0E0sNoktzdahGS5ZxLPDt8pgBjCszZIPIA4rfXxni81Kzk05I5NOkEcvmXQUHfs8lvu9HDnpk/KQATxUWg+PrPUrnTIrizNgl/Zm5WWaX5MjdvQNjBK7cnJU4OccHArf194Xf9fcZt/4L1m51XVNZVrRbnVYLm2kt2lJSBZYYY1cHb8xBhyRgZDY7Vf8AGfhrWrzRbHSdKeC5s49Pms54Z7hodzNEFjlyoOdpByp/vZ7VY+J2sanp2hgaCZH1Lm6RIo/MLxRYZ1I7BuEz235q9eeKLVbHRLmwjF2NadVtCZNiYMTSZZsHHyqex5pWVmvT+vzGm00/6/rY5keEfFBt3ha/hLETZf7S+14mtvLWArtwAr4O7H8OcZJqtdeEvGUizxwy2luDo8thGY9RmH7wxwiOT7vy7WSToBjPuaveKfE15feGfC+raK11aHU9RihaEOiuyskmUy2R95Rz7e9bvgrVG8ReCbSaTUS19La7LiaJBG6SDKMwXkD5lbHY4yOKe9/u/D/gi2t/XX/gGDN4Q1z7XqUcV1cRWrwqtg0OpuDCCihkKsh3YYMwYk53YwKu6toXiW68LaJY/aYWuLdgNRjt7l4BMuxl+RyGIIJVsH069KqeHtSvLebxFeXmrXV2mm6ubG3hmnRUZWji2hjtznc56ZPYA8Cq2m+OmuNbtb8RTeTqmn2KwWbTDZFNLNOpJbHAwmM45wBjJoVnbzt/mg1V/L/hjS0Lwzrlh4sTUpLlWtvtNyzhr6WRmheOMRrtIxkOrE+meDyao+IfC/iy81HUxZ3MS208l08Eh1CVCBLbLGq7QpxtkXdwe+RzWx4Z8Yya9rX9n2+kmJI4TJcyvcD92RLLCQqgfON8J5yOCD7Vg+KPG9/Lo2sW8NhJp7JHeLbXkN0HYSW0gVtw2jaDkEHJ7g47p2a+Q1dP5jdT8J+LvsdzZ6fLbLG90LiBm1KcNEQsPA+XuySdc43e5r00dOetcrZ+M7ebXL/TDYzSC0hWVZLY+e0n71oyNqjghl7E8HnBBFdSp3KGwRkdxVra5ItFFFABRRRQAUUUUAFFFFABRRRQAUUUUAFFFFABTQ6EkB1JHXnpTq82uPhxfEXT2moWNtNOLncyW7KZPMulnVXIOSoClT7McYpNu4z0gMuQNwyRkc9aGZVI3MBk4GT1rhbfwTfQ+IdG1CGTTLe202QSCGKJy3KSrIodiTgmQEduOnTGvq+g3154qi1JLizksjbrE8FxCWeB1YsJYWzhW+bnI/hWi7A6LzEwTvXAODz0oDocfMvIyOeorzyH4c3Cw2cc19Zyi2FmjqYCVuRBKXMkgzzIwOM+561WPw11RbJYLbWoLZlsntSY4iVcb2ZBtJygG7adpGVJB7YLsLHphkjGMyKM9OetLvT+8vXHXvXFWngKzbUoLi/s9Me2TTpbVrdYmfY8khdmRnJI+8w9eT9KoXfw+1J9G0ywi1GweW1dJZ7iW1/eSSRyxMhBB4+SIIcc989QRX6iPRAysSoYEjqAelUND1a31aze5hSSJUuZrYrLgNvikaNuhPGVOPaqPhHw8mhyapMy2rXF/fS3LSxRbWKsxZVY9TtyfbmubuvAurSy2e3UNO2W2pvqALW7bwzXnn7Qc8fKSpxj8uKLu6G9meghlbO0g4ODik3pgncuF6nPSue8EeHbnw9Z31tJdpNHPOZYEC58oED5Sx+ZhnJG4kgHGTiuasvAevWrTTrqGkPJLdw3Etu1q32efbCYnV1B75DA8nI5z1ouwsd/fyQfZXSaH7SjgK0QUNuVjg5B6jnn2zVSLQfD0IjWLRtLjEEgkjC20Y8t8YDDjg4AGa5aXwTqUkF9ayXGkukl3HcWs5tW86JFljkMJOfuDZtXHbHpzW1D4c3V1aXFv/aVvudLlBK8JLT+dOsoM3PzbNuB+fHSgDuLnTNIu7yK+udPsbi6TAjnkhRnXByAGIzwefrR/ZOjyJIv9m2LLI+6QeSpDNzyeOvJ/M+tcbZeALi316O8a4sZbFbmaZLXy3RYN0olVowrY3AjBzwePfO54K8OXOgaLd6dJfCRZZWeEovMKlQNu48tggkFsnGBk4zSW2wdRklro2pfEANNHK17pNiuxXWMw7JnOCOCwYGH27da1BougCRmGk6ZvkO5j9nTLHduyeOfm5+vNcTY/D/WLeJJJL7SmuolsAsi27r5zWsrsXk5zudXwT6+oqXS/h9eWMUknn6TNeLpwtLeR7QkRMJpHJ5PAKybcD07jihX/MH/AJHatpujNcG6awsDNI/mGUwpuZtu3dnGSdvGfTisvUvDHhjVNDuNHgtbK0tyrW7GyiiVogWBZB8pAyQMjHNcrJ8M7uTSorN7zTS0NtdwwubYnyzNcLMjLzxt244x14xVi5+Hk8l5NIJNMeCbU7i7mgMToJkmX+MqQS6HO09ME9KF6B8ztJNF0VhCZtLsHMIAiZ7dCU+bdxxx83PHfmlg0fRIJC8Gl6dE5mMxZLdATJjBfgfewTz15rK8b+G5tfXTVjmgMNtKxntrjf5c6MhQ52kEMM5H4/WsiXwPfxaxqmo6fcaXH9vhZfJltmZIpPlAkXngsq4f+9hT2OX12DodYul6KsUarp2nhAxZB5KYBI25HHXHH04qKDS/Ds6rcQafpcgkiEKyJDGd0a9EBA6DHA7VyvhzwPqmk3dp5t1pd5YoZd9vLbEiLdcPMrxc4Vvn2njHyrjGMVVs/h7qNrZ6DaQ3GjxRaTNFLmO0Ks7JLuJz2LKcHGOeuR0S6aA+p3k1lpVxFDbzWtnLHAw8mNo1IjOMDaO3GRx2qO40nQ5bhrq40zTpJiAjSvAhbABGCSPQkfQ1wlj8MZbV7eVLjTBNF9mPmraENuiu2mLA56lW2Z/pxUtt8OJha2sV3LptzJBdNJLNJE7m6Ty5UUuGYgP+9yccHH5F3bYdlfc7R9O8Pzs1u9jpkhihEbRmJDsjI4UjHC4zx0pToWheWAdH03YA4A+zJgB+X7fxYGfXvXDD4cX8cLGO801pzDYI7tAwM32ddrI5B3bGAB68EDrXUa14fupvClnpOk3FvZy2bwPGkiM8DiMg+W4zuKEDHXPTrTfUXYu/2doc1yxk0ezzDIsyTPbJtLlcblP94AAZ+lWRpulCzexFjZi2n5eHyl2SfVcYPQflXH3PgKW41EXLnSUgN1aXDWq2p8sCGN0ZQM4wd/HsKrWHw/1aHTX0ubVrKWB9MS0jn+zt59pIsbR7oTnhSDkjr1554WtnoGh2i6HoTQtGuj6aYmVkZRbJtILbiDx0LDJ9+ag1Cy0Cwt7m9fR7WTMiyTCGzWSR3GNrEAZJHr1FQ+EtBk0afULiSWEG9eJvIt0KwxbIwmVB7tjJ/D61y1v8PNQa+kuL660qVZby0upI1tSFYwmTPGerK6jJyeOSab3VgW2p2iaZod3AsraTZEXCs5ElsoZg+C2QRnJwM+uOacND0Fk2jR9NZVDrj7MmAH++Onfv61xth8O7yC1tbeTVYX8qG0jEqxEPB9nlZ/3PPyhgQpHt36VqeFND1zw3cxWcE1pc6dcXUss6sh3wIYxtCv1b5x/Fk4bGfloXoB0txYabcI8NxZ2kqSbA6PEpDbfu5B647elVbnw/oUtnJZtpdjHFLE0JVYEHyNnco46HJ/M1mXOgxXXxDj1fyWWOKzUT7ohsmkVj5JB67kBk/wC+lpPEnhibVvFFlqjS28trDD5bW82/5HDh1kQqR83GDntilutg2NuOx0qLydttaZih+zRMyqWWPgbATzjpxS/2fpa2CWH2GzW0hxsg8pRGnphcYFeZXPw+vPtenaLcRW99aPa38ZuZbfeLRZBAIwG6s4KMVZueBk8ZOrL8Op5or6G4urO7M15HMlxco7yPEsySmKQbtp+7tBA6fq7thZI7m50/S7yKG3ubGzuY4MNFHJEriPjAKgjjj0p9vaWFpKXt7W2t5HRYyUjVSyrnavHYZOB2zXM6N4VvLDxxJrvnaelr9nlto4IICjCNmjKAnvt2EenPGOlZ/i/w/qreLLPVYQl/aS6lZuU8kmW1WPcHKtnGw5yfcnrRfbzC2/kdi2l6O0NxG2nWJjuJBLOphTEj5BDNxycgcn0pqaNosMTImlWEcewIQLdANobcB06Akn6815/D8N9XjhgjbUdOkSCK3gMPlSKlxHE03EhDZ5WUdOhUdq7PXtFnvPDUOkWLWkYTylInjMiGNcZUAk9umc0umwdTSgtNMtZhNDbWkEvliMOiKrbByFyOw546Vz+h6f4fs9Y1bw+LU3M1z/xMbiS5iiZZRPI52jAGQGjPBHpya5+z+Gk6DTmvLjS7l7SPT4yXtSxZbYSBhkn+MOB+HepbL4bzILCO6u7KUWlpaQJMkJEsLW87yhozn5ch9vsB36U+v9bf8OD2+77/APhjubXTtJs7mS6tbGyt52JEkscSqxyckEgZ5PP1q7XmbfDvV5I79pNT0+K4uZoJ0kggKrHJGrqWKHKuCGGQwOe5zg16WgKoqk5IGCcYoWwnuLRRRTAKKKKACiiigAooooAKKKKACiiigAooooAK86Tx/qEd5ci6g0pbSOa5t/NWZ827xTrGnmjB4cMMdORjpyPRawrB/DOhQX0Meo2cCCZ7m78+7B2PIxJLFj8oJz7UnuM5HSviReajdaPaJDpME17DHI6y3WM5eVH2DOSQY1wOSd3tUUHxRmnhtvLtdO8y5itiHe62xQySxzMUkY/dw0W0e7DvwegMnhy98QavNqUUNuLGW2Vp5rvEM2EEsbbSQoK7j+Wa0fEPiPS9L0W6voHtL54VLm3jnXc4WQKx7/dY88cHilr1YaGNoXjO+vfFiaRdW1hHE9zcWw8qYs4aKKOTPPBB3kfhWJ4t1rxDaeN9Si02SaeNLeX7KiH5kmW0ZxG0f8UTHDeYOd4216Xb31jcXU1rb3lvLcQY86JJVZ489NwHIzg9arPrGkiC5uY9RsXFsTHKwuEwjYzsY54PsaUlpuOO5zfg7U7pV1+4WW41HTbaKGa1bcXaRzAGlVT35xx2LEVzGmeLpNQ1u9eG8tjBq6WaiaK6YRWYMErkM38LErs4xz6Gu+0TxRpN54fsNUubqz08Xdot15MtwgKIRnOTjI96t2ut6Bdu8Nrq2mXDBWdkiuEY4U4YkA9AevpVSV2xR2PM4fHk2nQazrXlxQ3E1tayxWV3O5CsLZ3Kr7kJ1OPXk8VuXnj+9he+mWDTDZw3kFnHI1wQFaWJZA8jHCqnzFevXFddpet6bqVrbzfaLVDcs4gjNxG5k2sRkbSQTx0GcdDzVi81LSbaX7NeX9lDIVJ8uWZVOACScE9AAT9BS13uBg+EfFF1q2tX2mX1nDbzW0KSr5Enmo4PUhxx97IwQDwDgg5rAg+Iep3djaXVtaaTEt5O8SLLclnhKwyyFJFX7rAxhSOPvdBjnvDq2jxq8h1KxVQwR289AAxAIBOepBBHtUk97YWtxDbzXVrBPcsRDG8iq0rf7IPLHjtQ07bgmrnO33i6OHwxoOqSLbwLrJiQyzSYhtzJEX+ZvTI2jpyRXHeD/GF9p/hi1lEKXy2tjpzXcnnySPslMilgvPKsFz3IPPQV3um+KtLuPC9hrmqTW+lwXriNFuJhjzCxULuOASSKnHiPR0e6W6vrK0hglEIkmuo1DtgnGN3HQ9cE4NN6t/18gWiOL1zxlPayavpN4tpaXUhMBuGuX8lH+xrLt5PysSSFAxnaT1qto/xAv4PDDGG3sZP7Ns7ZJDc3eJnZkhw+3klG8xsN6jqe3oJ8ReHGm+znXdJaXcF8v7XGW3btoGM9d3H14psOv6NvVbjUNOtp5JGjRGu4yz4coMYPOWGMdQeOtJbvXf8Ar9Qey8jzvxf46nu9B1DSZZLOxu0aYees7Ksvk3KoREcg7sYYjPAI7VszePtRVJGg0mGVtl0RD522SEwzLGBJuwAXDZXkZ4Gec13MN5YXVy9vDdW008Wd8aSKzJzjkDkc8VlSeJNMXxPLoryWuEsjczzmdcJiQJscduvc+1FnpqMzNY8ZNaeGNF1a3hgZtVdY0e5YwRRkxs43lsFcldoz3I694PDPjO+1LxOmlXdtYRxySXcS+TMWdWg8v14IIkP5V0Gla1b6nq2pafHFG0NmkEizrIHSZZFLAj0xt96sprWjSZ2atYNhtpxcIcNtLY69doJ+gzT6tk9EcH4u8ZalNY+I7OxFjZmwkFuWmuMTAmSJdxQchGV2IbjtjOeH2vj77JE0Mlvp1nZwXn9nebJc/wDHq6s6hpl6ojbBtJIzuX612J8Q6LHJM9xqWmwRDZtne7jAk3JvHfj5eeeo5HFKmv8Ah2S4ubddX01pYAjXC+emVDgFCee4Ix9RSS8xnHr4u1SXXWsLhtIkKatBaQLDNIh/eWvmBzz8yljgcYP1FS2/jrVJNPsribTba0NyJ1Lzs6xxywJmSMnHUuGVfUIxrtp9Q023sf7RnvrSG0KhvtDyqsZHY7icYqgfEWmNr66KHheRk37xcQkA43Y279+cYb7uMHOaLO1rgu5j+KfGkmkeCbPXfssNvdXdt5yWt2zKdwiMhj4H3sAjnH49Kh8P6o7weM763ulJjmE0O6TekebSJh34Gcnj3rp7jVbFtJvL+zmtr9bWJ5CsUqsCVXdjIzjI/nUWl+INLu7G2me8tLaaazS7a3edd8cZUHJHoMjnpQ1fm/q39WBaWPPPDfi2/sbaxs41017u7Wy82Z7mQoWmgllL7STg7k5xjO76Vdl+IX9oW+m2u2yjGp6czzhJ28yB2tmlXBwBjKkDv346V6DPqem29gNQn1C0isyMid5lWP8A76JxSSahpcdwYpL6zWYJ5hVpVDBB/FjOccjn3okrpq4RdmmcnB4mXR/B3hTzri3jbUbWKMXl5IRCjiDcN7erEYHPJ96p3nxIW11W/tXWwkgto1PnRytiNvtCwuZMgYVd4YkDgA9etdhHrmlTNN/p1ibaNY2877VGVJYtjvxyvGevboaeusaG13HarqmnNcTAFIhcIXkDDIwM5OQCfcCm3eVxJWVjzrw742bTRa2JurC8a71yaOU+exIjkunjVkJyNo4xyfTjrXU+KfF/9j+KdM0ZPsbfapY0mEkhDosnmBX6Yxujx1Oc9u+9HqmjSGMR6jYOWfy02zIctx8o568jj3FVde16z0nVdJsrqGRm1K4+zrKoG2JtpK7vQMwCj3IpJaJX/rsN9WcJ4X8cXqwq0sccr3/2KcO928kdqtw0oO7dyFUx9sDLqOK7fwh4hi12wUzLFBfBWaS3V8nYJHRZB32NsJB9K0r3UNNtZPIvL60gcxmTZLKqkoCAWwT0yQM+4rC8VeMbTw7rEFhcWE8/nWrXG+EqTtWRIyoUkFmzIpAHbNNdgZyNrqGp2cVvbzXt1q2iajqoS0vIZS0ljMJ8GCRlOTEQDtY9Pungg1al+J0kTeW9rY7+UkPn4Fu4umgzIT91cBW5x1rvtR1jSNNkji1HVLGykl/1aXFwkZfkDgMRnkgfUil+36UZZ4PttkZIlLTp5q5QDqWGeB9aSW2o299DgdY+IGsWsxtPsul2s4+yt5ryma3KySRLId6kYx5nRsZGCMjOHax8Q9Q07StXv3j0ci0uri2to/NfdMYULt2wMgcc8cnnpXTaJ4r0XUYpHmurC0Y3s1nCr3KH7QYn2ZTpnJxwM4zU8HibQ5LVrm61HTrWHzpI42mu4sPs+8RhsDr06gdcZo6b/wBaf18w+X9alHxd4g/s19GnhSGQXQndC07KBttnkB44YfLjn1BFYNp8QNWktFuG06ylAltUk8hnbYLmDfFx/wBdCqH2Oa7661DT7Qot1fWtuXRnQSSqu5VGWIyeQB1PaoZ9b0WHeJ9W0+PYwV99yg2k9AcngnBx9Kb3Ylsjibzx9qqSXkMNnpKSW1/Hp7rPdFWSRpUj3lB82whi4PGQB1zw+98bXSanJp95YxCa11K2hAhmYCVXZ13KwOCdykbGwfUYwa6XWvE2mafHps0EtrdnUrqCCLy7hcusjbRIvXcB14/Orj67oMOGk1jTY98nlgtcoNz8fL15PI468ikr9/60/r5g/wCvxOJj+IWpTHTkisbBTfi1YSNI2y3MxkBif/pouwccd+lVYfiRP9kOp/YIGLWdlNOEuGfYsnnbysZI3bSg4X5iD0OMV6Imq6QVRk1KxxNJsQidfnfjgc8nkce4pLjVtHi1GPTLjU7BL1yNls86CVickYUnJ6E9Oxp/5/0gOAvPiPe6fZXs102jvNFqU0EcCu6v5Mciqcg9G2uGycfQ9vThyKzJtb8PxQPcTavpiQowV5HuUCqxB4JJwCQD+VaSsrKGUgqRkEdCKFsJi0UUUwCiiigAooooAKKKKACiiigAooooAKKKKACuJl8D3j6HLov/AAkT/ZDNK0Ra0UyLFIJN0ZfOTzIcMMHjBzk57avNL/xh4qjkuoILMmaFp1P/ABLZmAK3caIcg4OYnLcemfapaTdmUm1qadv4DubTUoNStPEDx3MQjQhrRWjdFgWFlK56kICDng56g4pl78PDczXn/E7dIZ/tWxBbLlPPljlbnPOGj44HBq0+ueII/AOs6iLfzNVspbmO3H2KQCbZIRGwjzuO5cdDz1FYdx4p8a2k90q2X9oKj3ccYXTZY+IzEUkzk5+V34/i2cc0XTlf5/eJLRI6fw/4Wm0zxBe6xNqzXT3UBh2fZ1QIPMd1xg443kdBnr1zWTafD66t7kXi+I5GuxcRThzaLsJSJ4iCm7GCr9sbSBj0rP1fxT4yhkvRZ2qyQW8V1LbzDTZW+1+WICgwD8u4vKnvsyKnXxF4qj1S/gkz9m/tC4jSVtNci3jWEPEOD84ck/N7Y6kUtLfK/wCI9RyfDGFdNubA6sJI7jT0sy8lorPGyxmPzEOflyp5GOueeTV648Bs93cXUOstDNLLdSgi1RgrTxxoeCeceWD75qfVdY8RLoHh64itRZX1+6LfRm1ecW+YWZuARjDBRk+uK5mXxd41vND1CWG0XT7y30xbhI206ZpJHMKsXQEbeH3LsJJ46U3ZN/15gru39eR0GleAxY6hY3v9rzNLaXc9xvSMo0iyyNI0bHcdybm7gngEYOTVXxH4Pvp/EUU0F08+n31/JPdRsqBrctaPAWVicsPu/Lg457VY0zX/ABHNrtvaSWglgN75D/6I8e638jeLkMTgZf5dvbOOorJ8davq0nie3hh0u4lfSdRWa2hWzdhcqbWQh/NHygbzsx7c9aTtZdv+GBXu/wCu5dg+G5W6gurjWUuZIyiuktkpikjEKwlSm7qQinOeDngg4rZ8ReFpdX1uw1BdUa3is5IJVgEAYM8bMck5B5DEYOcdRjJzN4O1C+1bw8bzU5IyZclfJglhZV2jKkOA24HIyKwPBesWel/D3SrTXv7SSa4S5UI9vO0r7GdivTdu2cgdT2zVPR3fqJaqxrJ4R8vwvpWjR6mwbTbuO5jnaEHeUkLYK575I61S0nwBDYJp8f8AaEcv2C+FzG5tF8yRAsqqkjZ+bHmt83H061ycMTNo2zT01N9Nl/tGRbf7POn2e4kRTBGodQ3HzYI+UMTg9K1vC0HiT/hJNNOpLcnUIryb+0JCG8trY2yhBn7pHmbcAdw3vSW/4/l/l9wPb8DRn+HccqTL/a7r5izrn7MvHm3S3B79iuP1pZfh4shnJ1hwZhIM/Zl433QuT39Rt+nNa9rfa83ji80qZYf7OiiS5imWE/NGwK+WTu++HVjnH3SKozzNZfE+7vJFvjZpoW+QrHK8e9Zc4UAEbtvYcmhWVvn+o3fX+uxa8PeD7fR9StrtbyWYWkVxFbKVAKrNKJG3H+IggAdPzrDk+Grssa/8JDIy22Ra77VTtH2gTASfN+85BU9Mg+vNV/ErXusaz/bXhkm/Muizi2ZoHRrSQxFopI2OAd+8Agg8gHPBFZrw6h/aM7C31A+GpQwSMRybvP8AsgGdv3gN+Rn+/wA9aT0W23/BGtXvudtb+ELeK31q3N2Y4dUsktGS3iEQhVUZMpjp98n2rB07wbq0mo3cl7qSIYbq2ntbxbdNs4S2aFsxhvl4c9xzzjHFaN/qOtaV4R8PW2oRSNc3UKW+o3It2n8l/IJJZV5O5wFz0Ga5Xw5ea5HoejWkmjSH7La21okMlrIGaB7YGabPRSrZXaRn5cfxCidlzIUbtI6PTvh4lr9jZdZaQWwg25t1+byrZ4B37iQn8Kfpvw++wm2aPWHZrV7WWHdbjHmQQGHLDPIZD04weQa57SPE3iHTNH0vTLLT7grbaEQyS6ZNlZ0tUeMZ75bcpGByMZyDWuviHxct39jZbQSJp63SyTWE6rcMyOSBt3bdjBAQTnGeORVOyb/rv/kLVpf1/W5rXXgtW8IW3hy01OW3iiaQySmIMZA4fcO23lyRg8AY5FUJPhxDPCYbjV5Wjcx+ZshCMQtobbg54yp3exrX8FeJP7Xt47S/hntdWWEzTQSwFMJ5jIGU8qwyvUHoQcDOK5238SeLzPZpKlvGt5d3UaPJps6rEIpgsaHGTmRMsGOBxxSaW3f9Au9+x0OmeFFs7fVA980lxqFpHaPIIgqqkcZRSFHf5iT+A7Vkf8K73yxm41j7TBHZvZrDJagKUaOJDnDD/nkDnrzjPAxmXPi7xUTBat5FhcTXs9usjWDyxyBYGkjMY3BjyuDkAg5HoTJB4y8WLHcT6jpAtfs0kUd1bR2c0skKP5eZ1IGJFAZztXJ49jRdNv8Ar+tx2at/X9bG/qfg+a88IWvh7+3bkCJHjluJYxJJKrIy4JJyMbuucnHOcmqn/CC3i2N1ZxeJJUjknhu4CbVS0NxH5Zzkn5oyYx8h9SM9MZx1nxC+o3Uc8n2+3TUNOFup0mRB5UhTfKDnPB3Hn7uOaXUPE3i+y8N3lxPa7dRhmltYVj02SRZpIw7CQANwjgIB+I5NK61f9dAs9EbM/gySfXI9bl1b/TYmgkXbbBY98azKSVzyCJ24zwQDms6H4ZWkMPkR6rOsRaBmHlLu/d+bnB7ZMzfTAAqnfeJ/GD3cxs4xFBvkWMNpMzkAWazK2cjOZMp+nUUn/CXeLrizvriKxjtZYPJC2z6fO8hDmL94OgIw0nGcjHPQ07J6W8wu9zWsPAEdsmkN/aSpc6dIrfabe2EMkyqEG18Ng7lQBs5B6gDAq54s8HJ4ie8kuNQaKV0hFlIsWWs3jfeHXn5iWwefQVzF14r8Y2tzNIYXmjt7e6AiGlyATtHchBJnkjER37Rndg4613HhrU5by2jgvZFlvPJ85nitpI4mjZmCkFx1wOR174wRTT5lf5/19wnoVtd0Yapruh3EisfsLSSS3COqhwVA8or1IZtreg8vrVPxp4Mi8S6qt1NqIgX+zp7Ex+QrsFlZC0isT8rjYMHHHWsNNPstJ8Z+JruLSZRBYabZzWZW1kdBIpmLbMfeblMgHPTNUG1zxFNe2et/2VNPqFtb6hbZFjIi7PtMAVyvc+WC+0H5tpxU3T0fmPVfh/mdL4q8L3Wsa9YW+0/2V/ZN1Y3cz7XciQxYHJzkhD82Dg1WvPhvaz20drDrFxD9kknmsiEDNE8sqyneT/rFDJ0OMjr2NSafrnii88RWdgUjhsmubkG6NhIRPFH5RQjnEZbfIuT12ZAqrrl1q2l/Ea6v7C3ke3lTT7e4H2KSQSIZJgxV16FAQT17ZxTutH3/AOHF38v+GNC08DyQ3f2yTWBJP/px3fZFwGuijEgEn7pQYBznPNVE+HH7mVZtceRpWuXZvsw6z26wN1Y9Au4fXFaPgLX9U1oaqdQgeOOF42tWezeAsjxBjlWJyQ24dc8c81z2h+I/FWNNi+wrb25FkkkQ0uYYMpkWQ5J+UJtQ+2eetJpbd9Bpvf5nX6p4YttRs9GgnuJFfS5EdZEUAyqE2Ojf7Lg4IrKt/AUUL5XUFOzU1vonNqplAErS+Wz5+YbmODxgep5rNPiXxnHY2f2mzgtp5rqSzkmeylaOOSMMN+EJOyRgNp9B15FMk8SeLJdegs5IzaWy6k0Ms0envLFLCY5SgycMpyqhsgYJGCQRTclfm/rp/wAAVrK39dSxb/DUwRRW8fiCY2wNu0qG3XLNC7MpU5+TIbBHPTIxzVzSfAcOnxaVvv4JDppf5/saqZlMRiXfyckL37+grntN8bavbzaXZXK2unRi0t3miawmyWeN8xKM5Vy6qFU9QT3xTNU8V6/qXhzUbC6sZ1juhdwR3A0uU5X7OjxIUGcFi7jdnHyY6mk7JOxSu2rm/pPw7gsL6zuV1M3ENvvX7PPB5sSxlkdVj3MSm1kyOWxnGOBiTVvCc+t+MNUk1CPy9Int7Iq67d8ksEkj8NncmCy84555qv4V1vxEbrTNPk01ktxKLeSJ7d1ZLcW4ZZ9545f5duO+OoNS614n1yG/1W3s7OVZrKeNEgawkcSwOY83CyDg7dznYOfkxTaWi/r+v67kpvcWD4ewxzabM2pu76etpFFmBcNFblygYZ5Y7zlvbgDmu4rzO+8VeM4p7jybINBAsrxONOlb7UqzxqpGD8u5Hfjn7m4cV6ZTT0E1qFFFFMAooooAKKKKACiiigAooooAKKKKACiiigArAh8ZeHZbeWcagUSKWaJt8LqcxEiQgEZKrjlhwPWt+uUbwXpSy7RqF7HM7XZjIkTcI7ghpowNvK5wQTkg45pO/Qat1JNS8X2Ftr+m2MNzbSWs6ztc3G47YVji8zO77vQ889K2dO1bTdQjne0u0cW5AmBypjyoYbgcEZBB57VzC/DXQFRrZZ9QGnkTBbHzV8pPNi8t8HbvGRz97g8ityy8N2EEWpLM893JqcaxXckzDdIipsC/KAB8uenck0a6hpoEnijQY03yagqLtdgWjcBlRN7EccgKc5Haqt94r0+DTNSuo7q1ka23rCiF2LsIRKAVC56EHjI2kHNVrjwLa3GkWWm3GtavMLJJIoZneLzPKeIxGMny8EbT1xuyM5pkvw/0xm8yPUtUhm3s3mpJHna0CQMmChG0pGnbORkEUpX1t8hxtpcv6P4r0m7tLX7VeQW93JYLeyxEkLGu1Gf5jx8u9c85GR61V0zxpp0txqy388VtFZ3bQwnY4aRFhjkZypGQBv5OMdPWqk3w70UxSfbNT1SWAWMlliWdAI4WSNTghQRjylYc8HPrip4/Amnmea9fVdTnu7gSCW5Z49zpJFHG64CBcERIemQRkU3e7sJWsrm/qesaZpum/wBpXl5HHaFd4kGWDLjORtySMAnjtzWdd+NPDNrcPbzaookXqFidv+WYk6hSCdh3Y9OafrXhex1PQLfQxcXdnZQIIlS3kA3RhCmxtwORg/mAaop4E01XD/2hqRYMr53x8kW32f8Auf3P159qHfWwK2lxbLxrpjeIrzTby6t4IQYfsM2W2ziSHzOWxtBwDgZ5Aq/F4i8O3UkEkd7FJL5728Q8tt4kAG4YxkcEZPTBHY1nxeA9LjQxi81ApsgAHmKCrwx+XHICFyGA59MgHFRRfD3SFt0hkvNQm23wvg7sm8SgIMhggK52DOMZyw6GjqHQ6DVta0rSmVdQvY7clGkw2eEBALHHRQSMk8c1Th8XeG5r2ayTVYfPh8zerKyj5GCuASMMQSAQCeo9aPEPhfT9buWuLmS4ieSzksZvKYDzYHILIcg9x1GDya5lPBOnNDeWniK+WBri+uZtNWG5CtArFX3ISoO9QgJzuAwe1K7DQ6C313QbfU7p1nt4WmWOSUsrrNI5cxKNhXJ5TAxzkHjuZJPFnhmRordtUhf7Sq7QFYghnMYycYX5wV5xzxVa48HWV7eQaldapqNzeRJD5VwzRghonZ1fCoFz87A8YIPSqlx4J8P27oJNRurZrhkjAMyAzSC4NzkZXli+SQO3QCmr6J/12B9bGvH4o8NpJ9li1O33xuIhFGCTn5sBQByPkbkcDafSl8Za9D4f0C9v2aNriK1lmghYMfMKIW6Lk46ZPbNZTfD7SH0c6S91eNaC4M8S/uw0J3FgEcJuGCThslh0zirXi/QdJ1u5t0vNVnsLn7PPbL5EyK0sMoCuhDg5HCnIGQR1pPmt5jVr+RoaPr+m6jOtnFeQtfCESyQKclem764LAH0zzVO48YaHZef/AGhqNvD5c00Y2B3wIgC+75eCoYE9gOc1J4Z8MWfh+e5ks7m5eO4cuYpdhCMcbiCFDckZwSQCTgCqN94D0q8e6aS81EfaTdlwroMfaUVJMfJ6KMenvVNvoTHzNT/hJtC3TqdSiHkM6S5DAIybdwJx/tp9dwxnNV/+Ez8Mbwv9rwkmIzcKxCoCy5Jxgcqw57jHWqeseEfDxtdSkvrqW2GoR28M07TKm14yBG65G0OSE7c7VGO1WT4Ssne6ea7uZmurJLOYOkWxkVmbOwJtyS7ZGMYPSk7jXmFx4j0yG4upIpLV7gQxeUhLLLIz7yikFcgHacYyeG44qS28XaBLLaW51S3a4uViKiIMyEyZCfNjAyVYDOORjrWfZ/D/AEi0ltZre71FZrQQi3dpVYx+UJAuMrzkSuCDkYIxjFLD4B0e32fZ7m/iCG3YKJFwWhkeVScqeS8jE/XjFGv4/gBs+IDo1pHDrWsCJF09i8dw4J8kt8pPHTIOPxqyup2Jspb37Qq28TsjyMCoDK20jnrzx7msx9Jv28FzaLdXK6rcywyQvJdNtEiuSPmKr2U4yBzjtmpL3w3Y3fhNPDkktzHbpFGiTRyYlVoyrK4Y5+YMobJzk9c0dw7D/wDhJtD8xI21BEd2VdroylSzlFDZHy5YEDOMnpUFv4w8NXCSNFqsbCMLu+RxndIYxtyPm+cFeM8jFVm8I6Zeu11PqF5e/aVt/tTs6YuvIcvGW2qAME/w7QRxVZvh7ozWklrJdXssUlu1u6ymNwUaZpjwU67mOD247jNGoaFzU/Flja6Rqt4lxbSSWnmiGNd7MzJEJMMu3IOCCcZwCOaW18ZaD/ZyXF9qVtbzLaLc3CZJEQIUt25xvXPcZGaoyfDzSiv7vU9WikzJmUTIzFHhWF0JZDkFUU5PORnNPg8AaXBpuoabHfagLW/VRIuYsqwCgsrbM5OwZBJHXAFGuoaaGzYeItGvr6Kxtb0PcyxGZIyjKSoxnqByNy5HUZHFSXuuaTZ30djcXiJcSOsapgn52BKqSBgEgHANUYvC9rH4oXxG+o38twiyKscjoY1V1UMANuQPkB69c1lat4ZTUtdttc0TUhIkmpW9zewmdTC/kqU3LhSd+NoxuAOBmjXQO5sf8Jd4b+z/AGj+1oPL8qOUHB5RwxQgY5yEfp/dPpV661jTbW3tZ5ryMR3ZAtyuW83Klhtx1+UE/SuVi+HWjW72gXVtSWe3ES2jO8LFFi83ChSmGG2Zwcg8YPUZrf8AEvhux1/ToLC9eZYoJFkQx7QwZehDYypHquDQrg7XG3Guf8UvqmsWhtp2skuSoVmKlotw2tkAg5XB9O2aqaZ4z0e9itGF/aRyOp+1RyF0aJhD5pABX+7zk4BXJBNXrbw7ZwaFqGjia5e3v3uGlZmG8GYsX2kDA5Y44P41kXfgPQrhI4726u5HeJrdmaRVaZTbtDtOF7IWIxjkk0tbP5f8Eel18/8AgF9/GvhdNu7V4vmz0RztwyqS3HygF1HOPvCp/EGtNpWp6PAywi3vZ5Y55JGx5SpC8m4dv4Oc+tZl14F0+7tVhutS1GRhZvZtIPKQsjOjkkLGBuzGvOPX1rT8S6Jaav8AY2ur+6tHt3k8mSCRUbfJE0eckHnDkjHem720Eh1n4m0O8khjttQSSSaR40QIwbcjBXBBGRgkDnHUVYv9Z0yxvraxu7xIri6cJChB+ZjnAyOBnacZxnBxXPWPgTRYbmBlvryeWzvmvlLPHvSVsE8qoIBxyO4ODkYq/wCIvDNjqurWmp32o3sQtpImjhWRREXVjjgqTltxU4IzxRroHcbJfeEzeyak3kvcZVjIsLsZNqnDLgfPgA/MM49alTxXoqRyNd6laR7JZV+VmO1Y32Mz5UbcEgEngHvVG08DW1pFpqW+u60jaWzCzfzIi0ULDBh5jwyYA5bLfKPmqvD4N8N35vJLfU7i4+3Lcx3JjuEbzYpZcyR8DgBwwyORlhmhXuGhsr4s8Otc3Fv/AGpEsluJTLuVlC+WQH5IwdpYZAPcVPp3iLRdRuUtrG/juJWBbagJK4LA7uPlOUYYOOhrEvvh7ot4k8c11qGyVrhtqyIApmKFiPl/hMalfpzmr9v4TsY9asNYkubma8somjSQiNN4YEHdsVcjnO37uQDjNCvoAviTxLFout6Np8sAePUbjyJJd+PILAiMkd9z4X6mt+ud8Q+D9N1z7c19PdF7oQhJF8vfbeW25TExUlTu5Oc10KAqgUsWIGMnqfeheYmLRRRTAKKKKACiiigAooooAKKKKACiiigAooooAK8wMnju1E8lvDqN7dI2pFBdQQlV/eKYBGwAOCmcDOCRg16fXGXvjizt/E0MRmA0k2kzNMYj+8mSaOIKjZ55YjGOvepe41sZf2nxyt7FJDcarcWwFs6q9jDFv3XBEquCNwxER0I6ZqJLr4gXENu8k2p20rzTJdRRWMIEO2KUqUZgdylxFg4/mcasXj6yi164W9aWLSWgtGt5zauoieVpVIlJ+6CYwASB19627PxXo11od7rUc0q2VmhkmkeFh8uwPuHHzDBHT6UrJp6jWj2KWoXniKPwtoV4lvc/bmltjqUUUKs4RhiUbTnoTnjpiue0i88fvcafNeLqQUNZLPE1tCFYM0gnLYGRgCM8EY7eldMPGujeQkzLfJG179iLNbMAsm8JyemNzAZos/Gmj3Us0UKXxeJJHANq/wC8CSmJtvrhxj8QelU2r387/wBeQktLFDxh/wAJNJqupppsl6tnHozvbxR28Lxz3R3gIS6knjYccD9RWU954+e11J4xc29xAwW3tvsK+VImVKlZBkgldwPB2k9MAV1OjeLdJ1e9tbXT1vJmubRLxX+zsESJ920s3QElGGPUVDqHjfQbEXJuJLkfZjcCXbbscGAKZPrgOp96Vrdf6v8A0h79DibfxN4wur+6hhmvVuQ0kUFsbWNkcq0XmYcLt8yNPOGC2GbHAxiuta91+28F+I728mkhltxcvp08kaCXyljyjOuNuQ27qOQBkVetdb0JdL1XXo7VrdbFpRfMbXbKCgDNkAZbjB754qlf+OfDa2kyX0d0UFu0s8ElmzFE2lsOuDjKqSAeoI9aT+Hfp/TBb/MxNGm8b3l1pjf2jqLaZcyiYztawLIEMCtsf5MBPN4BA3YJ56GkS6+IUi2CyC9i8z7MNQK28OYZDMRMIsggx+Xk5OTwuDya2dU8Zadb+G9QfS45Y721hnWG1a1IZWijD5KcfIAyHr0YUyLx7ptrZmTUWuJJVDF0t7Rzs2QJLJnrnCvnI7cdRVO17/MSvZI563vviPBbW6zjU5Vlig+0ymzhaSBt8yuUVQAxwISQc8EkelJry+MLzUovOsdRmuNPa5+zyR2sXkSK1kwjkwc/MZCQVJwM4xjmuqk8daKsivJcyWsMbTLOJ7ZgfkjWTg9vldSOuc08+PNBE0UZ+3AvtJJtXAQNL5QLHHA3kDPvnpU2v7tx3+0ZMN/4zguopZrS4MMU6F4Ehj8trQW2WIPUS+bkBcgdBjHNX/FMtxq+leG9U0ywvJl+3Q3vl+WBJGnlOfmUkYOWAxnqakg8d6FPpzXU0N9CgW4d45bYlhFC+ySUgZ+QHvWrrXiHTNItbe6umlME7IqSRRF1AZlVSSOAMsv51V79e39f15itbQ4qx1Lx+6JI1rqDL/aa5imgjSRrZo4ifnC4G1zJ1HIBG7gEnxg0TUtX1qy+xafc3Ma6TfRM8cIdTI5hMcZJIK7ih+YcjrkV0jeOtBWWdJDeR+QXVma2YKxSYQvg98Oy/gc1O3i/R1eBWN0POvTYhvs7bVmEhjwx6D5hj9elLRpa/wBbD2/r5lXxHc+KIY9Ck061JkZ0GoW0WCADtziQggBcseQNwB5BxnAW6+Ici2YcXkRcwC/KW8WYnM+JBFkHKeXk5OTwvOSRXSeG/ERl8I22raxIglluHtwIkI3v5zRoqrzycCqXhLxtbX0Vvaak7DUprmaMRxwMNiiaRI94GduQnX1B6UXu/wCvuFayKurQ+INT+FXk31vdzat50e9RGglZUuVO7aPlzsUNwPw7VVa98dW19Y25XUrqEX+Xn+yxfvLRpGAEgC8OFweNnGDySQOquNYu4vHNnoPkQfZrnT57oS7jv3RvGuMdMfvPfpSeEtautWg1V7yCGF7HUZrQCElgypjB5780Le/z+52B7W/rVHHW9348E9pcXyawwgS9DrawxbLlgkbQkoygrk+YME/eH3iCKSS8+IUumYj/ALVimR9QKsLaEu6hA1sDlMck7eAM859a6TT/AIgeH754Y4jepPcLG1tDJasr3CuG2sgPUfI2fTHNXdE8W6RrWoLZ6b9qnYwLM0gt2EaKSwAZj0OVYY65U0W038gvqcgLjx4l9cJ5mrxxXOoMDIbSOUW8ZgQx7FwMpv3hsk4wOmSa6vxD/bj6/ocFjcXkFi3mtfvBDGwO1VKKS4OATkcevXvS3virT41hkjkkW3e6SD7S1uzQuS5QqGHfKkZ6DrVR/iD4dW3W4Q300bB2Ux2rncqR+YWHHI2c0XTQWdzndGuvH7WgguFudPki05WiC6bG8ckhjYNu242sHwdo4IxgHJqinifxmdUFpNJc2tyirGsBgSWJ52jk2RO4TKhm8ttx2EKQCOprtbbxvo9xdzWscN+ZEuPIi/0cn7Q3lCUmPHUBCCelS3Gv+GorXTdd/cyDUyiWc6QjfKWUkDPXpnj8KGr9R3OanvfH6Q+bbRXc8Ye2PlywRpNISh89AQpVQG2kEjBO4ZAwahn1T4gOuqSWtpqKhXgktYZ7eNWYZlEsasFIXO2MgkOBkc4JI2fFHjqzttGuZdJm3Xa7mtzJAxjnEcyxyhDxuILY/Xmra+PdAM3kt9tR0EzTh7Vx9nEJAkMn90DK/UMMdaLpvcNuhf1Mrq/hnVLS6sdSjR4pLeRFAWWQFcFoznB68H1FcKLj4g6bpLwQw3VwViuo7aeCxjWSdlERgklQ5CMR5inoDgHAyK6vXPFKt4I1DXdFJ32xCr9ohYDO5c8HGRg9QamvvGuhWNxeQXcs8L2nlb98JUN5jmNSpPBBZSM/4ih7iWxS+IEviRI7SXQIJ3mFpdkmOCNykvk/uvvjgl8Djg96ob/HXlv5E16+zUxCPOhhVntpYEHmfdx+6lZj0GQpBzxXU6/4g0/RNMXUb8XAtyAxKQsxVeOWx0xkVG/ifTFlEafaJQ0rQxPHCWWWVSd0anuw2tx/sn0p9Q6I5O8vPHwt9Vkha6+029wUgtzZpsmjDkqySgHlkwCdpCk8gVSu7zxhp+n3V/cPqIeG/vJSbu3hkjt4PsshiKkAcB9g4PqOma61fGGmpdXNvM1wZ0kKrbLaOJlCwpK2R3wHU5GPvAdaik8d+F5C8Us8jWrL81w8DeQwMHnj5sYOYsn8COtTbR6j67HJweIfF9xpxWxOtXF8l0jzRtYxqII90J8piUG7KNIcgD6ggA65vfFt1FC7WN+l9FqiRzW8ttEbYRB3w8b43FduzLZyPY5rb0LxT4dub6HSNNVoZ5AzrCLcx4AOC2MDI6cjPareo+J9KsZJ1madlglEMskcRZFlbbtjJH8R3rge4pv1EjjLL/hOVks9sV5apcvatqUiWsIkWZhIJ9vykFBiPDHJ6YJ5rd87xJL4G0Sa4tp31Y3Np9tRoIy20Sr5pKkbR8uTkdO2Knu/Hvh+13iRrwtEJjOq2zEwiJkWTf6Y8xD9DkVpa74gs9Ju7SzmjupLi7WRoRDA0gATbuZsdANwoukr/wBf8MFnc4qHUPiBa/vZoNTuonyZl+zQ74kF4VzGABlvIIODnpnrwaWiN4v0WCP7PpOpyWm+Vpz9mi+0BXvpWLLxy3lsjbemCSBmusg+IHh1bFZp75n2WqzzSpbuEUFFfnrs4YHBPGetTT+OvD8FwIZpp0+TfI5hOyMeUZfmPb5ATSta2uw73vpuUdOvvEzeNLG2aLVW0gROk8lzbxKHby1ZHJUZB3bgeQM8bRwapeJtb8T23idNPj+1WiT3xgs2WKNoZ4zaSOPmYEh/NXpxwB2NdXYeItNvIb54mnV7GNZbiJ4isioyb1OO+QDj6EViL458M3z2hazvprkyxG1iewYy5kjZ0kQEcAqr/N/skU5LpcSfUw49V8fzQput9Sto5HgSSY2MbSQk23zlU7r5w59M+lelw7xCgkbc+0bjjGTjnjtWFZeMvDty6D+0I7dJYfPhkuP3STR7tm5GbAIzj8x610A5GRyKrzEFFFFABRRRQAUUUUAFFFFABRRRQAUUUUAFFFFABXLS+APDMjSMbW6G9nZAt7MBCzyLKxjAbCHeob5cYPSuprzC70PxwZbmaG41TzCbloh/anybvtStD8u7GPK3Ajp2Pape+w+h2c/hXQ5LiS6ureW4Z4o45hNO7rKsZYoWUnDEFmOff6VQsNN0fUPA9xofh7UpGtbmy2wySzSTGOJ1KrjcdwXAIAyMYrGgsfHKJ5119vuWN+VvIEvI0WW3zJtaA7gU+9HkErkKR7mp4b0Hxpp1np1pItzHY28VolxbpervYKkwkCMG4O4wk8jcFP4rdbbj2+RuWHw+0xYVXU7m9vPJkD2yfa5dsABRgq5bJ+dA3JPJI6cU3T9E8DaxII7CZp3AlYeVezdPtHmSfxc/vevoePatnwgNdt9Lt7HXYzLcRW6l7vzFYSOS3yYHOVULlsYJPFcVpGg+LrHwjeafBbajBfzXM8kZW+hVIVa7aX5Cp3Asjc59KfUXQ7nQfDOj6HIsmmwzRststqN9xI48pWZlXDEjgs3PXms6+8HeFr3U7tbmKZri7SWSWEXkqgrKFSQhQwA3bFBx6Uyz0rXpPBuraZNeXdtfNPdfYLg3O+RELs0OXyTwNoIJzjisq+0vxs8RaG6uopptOVpPLut6R3RmDlFDMDtC5TIIO3oc0X8v63Bf1+R1f/CO6T/Z2paf5Mpt9TZ3u1M75kLqFbnOVyABwRVTUPCmgSLe3FzHcrHcWYt7tVu5VWWJVIBYBuWC5G7rjvXGz6N46TTNXWGC/GoX0ivHJHrBMcP+iqBt3NkYlBz0zkE7hxXVeK4PEVxpelx2dvLMrZXUYIrhYpSGiYAh8gcOQSARkdM9CpfC9P6/4A47oavhHwprVpHqEMdxJFdhp1nivJkMiyxKjDIYHayKmV6cA4zU7eB/DjB91pcHesit/pkvIeJYm/i7oqj8M9eaxfh1pHijTrm2g1o3cVtaWcMUKR3EbQYEKKUZc7i4cMcgYOevas3xQ/i4eJDpwuLm3mvpL1dPlivAsUifZiYl2g5VlcckjrznnFVKyvoKN9DrLnwN4ZufM8+ymkEu7eGupSDuiWIn73XYij2xnrzUdz4f8Mz6pFpt291PfmzUgS3kxd4Y5lcEtu5xJt569B0rn47Dx3camjXB1K20+W5LMsV5EZYv3cO0kliNm5ZcqM/eHB7bHi7T9ck8Sw6jpdnJPGunPbM0dysTbnniJAJIP3FY8Y9AQTml1X9dA6f13L3/AAhfh7yDD9lm2ETqf9JkyUmbdLHnP3CedvQdqn17wtouuC3GoQSlbZNkSxTvGFGVPRSOhRcemK57wfYeNbfUtGbV5ZpLeOyMN6s1wGxIu/a6lWO8tlQdwPQEHOQYfE1v49fxHc3WiwTC1WKSNUa+UJMMxMNq5+RiBKoOMgnJOOhougas3b7wb4Za2uGubeZY2ScyMbuUbRI4lkP3uDuUNntjjFRxeB/DMrwXiRXUhWUXMb/bZTlzIJd/3uTu5rLls/FUk17EtlqkdvJZFtPf+1F328xWQMk3z/OdxUggsBgcjFU7nSviBJYyKt3creHcVkW7AQxG02iPGeJPO53/AI5xxS26bDtfrudfL4X0WTQF0M28os0m8+MLcSCRJBJ5gdXzuBDcjn9Kh03wnoWjXg1GzS7glRX8xvtcrCQF2c7wWO/DOxGc4ya5X+yfHKMtv9o1P7E9ypkMd8jXCg20YLKzt90TCQlc/wAQIBHFdH4QtfEVqmrJrLSXKtKWs3eUGRlOflIyVGDgAjbkYyB3p6N2EtUrlrTW8Oa7q8PiDTr2O9ure3MKSQ3LFVikIY5QHGG2AgkduKu6Xo9lpUd4uno8ZvJ3uJfMleTdK3VvmJx0HAwK4r4ReGte8PiP+0rdYE/sqC3lEkqSSedGz4CMnSMK3Q9z9aZBpfj0RtHc3FzNbhrkKY7vy53LIvkux3FQFbeCFIByrbe1J7bd/wA/1Bb/ANdjb8OeBdOsNE0+11Am7vrNU2XiyOrqVLbdnzEqPnbjOOTWxonh3SNFuJJ9NtmgaSJIWHmuylVJI4JxnLMc9Tk5rlvDel+NLbxDa3Oq3VzPF9pcXLC7BhaI20YBWPPH74ORxkA+hxU2s2njG4u9ZS2SdH8xW065jvQkLQER74imciXiQByuAWByOlMDXj8GeH445IVt7jyHuxeCA3cpiSXcWJVN2FBYklQMHPSoX8JeGrezstPmFyYoxLb2iSX0x2rJGVaNfm6bMgDsOlc1qmi+O5JruS1utQEPl3LWMY1AK0bF4TEsh3fN92brkbWAOasS6f4/F3O1vPJt+3vLBJLcAYjaKYBXTcVKq7R4wBkDlcjJnS2w+u5t2Xh3ws+pXVvZ+eLy0ljlkC3MoaBzCIwQSeN0YAOOuOea0b7wxot5olvok1n/AMS6BVRLdHZU2joDg89O/fmuAtdD8b/b5br7NqVnHetbi98u/je4ysBQsrFsbQ+DjjIPTtV3V9H8bf2XqwsX1SS9uryf7O/9qBViiCkwkLkAfN1Ax2yCOKfcVtjZuNC8EzWOqGRP9GsTMt0FlkAtSxWaXaAflydrHb/9atGLwx4du1N4LYzrd2skTs0zkTRzYL7hnBLYXnqMDGK5S78M+JprzWp4FuYPtjzs0RulMNzG9msaqUzgOJQDuwMAHnBpsei+ODbyQvLqMTRyWywLb3qJCbcNDvXg7g6qsgPTOepzwLs1/XUH3R27eHtNk8PNoM/2q4smUKwlupGkIBBHzlt3Yd6oHwN4dL3rG3uSb1GjuA13IQ6l2cqQWxjLN+BxXKro/j61gk+zTahJlGDrLqIkdlF5lQhZvlc25Izkc4yc81at9E8YR6ukn2vVZLX7RGuZ9QXPkG1dX3KrY3eaUORzxkH1Td1zWHa2lzqdb8J6HrGn2the28ptrWIxRRx3DxgIVC4+UjPAHXpiqF94M8LwwyyTi7t43u1ulK38yCGcnG+PDfIzFjnbjO456msfwPo/i2yu9Jh1WTU47S2sYAc3yygzKrrKsuWLNklWUjOMAfLjFW9a0rxRLqutXlnNqA3XFp/Z6LfbYxEDGZvkzgZ2t16gkDrVPe4vI2pfCGhSXUl2becXMjl2mF1JvyY1ibndwCiKCO+AevNQzeB/C8yNG+mkxMQTEJ5AnEBgA2hsY8slcdO/XmuaGmePv7OExub06it4Glie6T7PMgL8qVYOikMD7FRlDzWV4UuvE+qXGUudXn/exyXIN0uyS3WSQEIQ/wC7kOYyVIQ7UIAHNTo9LD21PQoPCukRT6fO63VxLp53Wz3F1JKyNgrnLE5OCR9KbdeENCur2+uprectfMklxGtzIsbSJt2yBA20ONq/MAD8o5rlbTT/AIhWkm+eSbUENoyNH9rWNkbf8u1s4ZthwxIByuQwzSadB470qPT727jub1LOG4F1bS3i/vAGkaMq+85YjYuHB45yCDl3FY2PEWieCNPgd9bYWyTw3CyySXUieYkhRpmYhu+2Pk9AABgVrrbaHrssGqRyPcNaJLbo6TOu0OBvBAIySAvJ59KpeO7S/wDEHw21S0sLF/t1/pzJFbysqMrOv3WJOBjPP0qp4ht/FEmv6NJpltcpZwSQPdFLtFVl+YSIyZG7AKnJ3dOMEcj35bBfS/qWPDnhvwu+mi80NrkWV5bxoPLu5djqihVbaW+9tULkjJAwaz4fhzZQasZLe4aDTSiQG0jZ9r26xlDCylirKck5xn3rN0DQfG1jp9lab5LfyRaCIR3K+XCqysbhXUH5yyHg89R0xWzp2l+I7f4ZXVo1xfv4imtZMPJe73WcrhSrk4UdDxxQ+rsNb2ubcHh+ys7C+g09Sk13D5TzSu0jEBNqAknJCjtn19aoeHvBmm6dp+kpdeZc32nJFi586QFmSMxg43fd2s2FOR8xrDudJ8bQ3F2mn3d8FjsQdPaW8V4/NMbBkm3EsTvOQwBA45AGKyon8XahNq0el/2mHt7ie3e2fUVLwM9nGYzu34IEuTwcjJ460N6vQSV0j0DSfDOi6XMstnZhSkRhiDOziKMtuKICSFXPOB6D0FbFcR4d0/xkb29k1K/uLaXpA7lJrZkO0j5AwYOMMCeByTk5FdsuQo3HJxycdaroIWiiigAooooAKKKKACiiigAooooAKKKKACiiigArkH8ZxvNGw07UoIBqE9mHKxETvFHMzAfPkD90cHA5x2zXX1lnw7oTRrGdKtSizyXAXZwJXBDv9SGYE+5qZX6DVupg/wDCZi4Ph6T7He2EWqTR7VkELOUkB8vIDkgHHJAJHHStPxN4ps9BnaG5tbqYrZveExBcbEdEYckc5kB+manPhfw8ZrWb+yLXfaJGluQn+rWM5QD/AHSTj0zU2taBo2tPG+q6bb3bRqyIZFzhWxuH0O0cewpiM7SvFtrqHiFtGXT7yFxJcxpNJs2O0DIHAwxI++pGR61HqnjO10/Vr2wl02/cWrwRGZAhWSWbHloo3biTk84wMH2rWtdC0e1vVvbfTbaK5V5HEqphg0mN5z/tbRn1wKbe+HtEvRefatMtpftpQ3JZOZCn3CT6rgYPajWyHpdmInjuzGoJaXGkanagvEkkkyooiaSN5FDLu3dEYHA61nWfjC4ufExP+lppt2NPNmuyJs+cJjuPOQrBF7kj0611Q8OaF563H9lWplV43DlMndGpVDn1AJA+pqCy8H+GLJka10OyiKOjptj+6ULFMemNzY9MmlZ3DSxjad8Q7S9ltVGianFHc/ZtsjmLAW4ZkjJAcn7yEH04PSjTvHtnLp8ckdjqt6yWYurh1gQeUpR2XfhtoJCEcHGSK3IvCvhyJY1j0WyQRiMIBGBtEbFkx/usSR6E0kfhTw5GymPRrRNtubUBUwPKOfkI7j5m/M+tGtg0uYyeP4ZJLVI9Ev8AdNcrDIHkiBjRrf7QJPvEEbO3Xr+Or4c8U2WuXK28NvcwPJZRX8PmhcSQSEhWGCcHjkHB5FTr4Z8Pq8brpNorRyxyoQmCHRNiH8F+X6cVa0zSdM0wsdPsYLYsoU+WuPlGcL7AZOB0GTVdf6/r+vuXQ4/VvHKW3iKzmj+0/wBj+VdxPtRD588c0UICj7wIdmXnAOa6+yvJr/SBdRW01lM6tiK6jwyEEj5lB9s9emKoT+DvC889zNNodk8l1v8AOJj++XxvP1JUEn1ANa0FnbQ2S2UUKrbqmwJ2x6VNny26j0uebah8QtQs/AfhzUZF/wCJhqMdrNczCyleJUeVFcLtBAY7jgE9u/Ge48Sa5/Y4sVTTbq/mvpzBDFAUU7xG8nJdlA4Q/jirMOi6TDpMOkxafbJYQlDFbhBsTawZcDtggEfSq3ibQIddl0triYpHYXgutgXIkPlum0nsMOTx6U3fp3EY2mfELR9Rht7i2tb4281xFa+YyKNk8kYkWNhuznBAzjGT171o2Hiq0m8HDxTd2lzYWTRLMiz7C7IwG04ViBncOCfrV4aBoouBcLpdqsigAERgYwu0ceoUkA9hxUi6Rpa6L/YosLf+zfJ8j7KUBj8vGNu3pjHajXUemhhal4ui0zUzDqFnf27eQrJb7Y38xnmESYKsTkkjjpg+vFNj8cW7anFYSaLqkDu8EbGVY18tpg5QMN2esZB47jtWkfCXhtrT7K2jWjReQLfDLk+WG3hcnn7wB+ozUw8OaEJ1n/su1MqtEwcplsxgiM59V3HH1NFmGhzth8RrKbSY7+60m+tR9mhurhd0b+RFLIUjYkNzkgnA5AHSt7xF4isdDu9Pt71JQL6UxRy8CNW44ZiQATngdTg454pYPC/h6BIUh0e0RYRiMBOFG7eB9A3IHY1dv9MsNQkhkvbWOdoGDR7xnacgg4+qg/UCjUNDitY8d/arfTP7HhvIZrqa0uIVZY/9JtpJthAJJCk8dcEZHvVxfiLp/ktNJpOpxRQ2rXN0zrH+42yyRFCN+WbzIyvy5HIOcVunwx4f8oxf2RaBCyPgJjBRiy49MMSRjoTT5PDuhyCVX0q0YTW32SQGMYeHJOw+oySfxNLUNCCfxHb2vhubW76yvbOOJ9jQyx4lLbwi4GedxIwfeuV1rxPrB1Oc2zXenxCPTmFtcQoHQyX7QyZ4PDIOOemCMV2x0XS20VtFexhfT2jMbW7jcpX0OetQHw1oJC7tKtm2pGgLLk7Y33oMnrtb5h780+qF9mxi33xA0uzfUVuLO8VbBoRLJ8hTbIXUOWDYRQY2BLYxkZ6110MiyxJIpBVlDDBB6/SsWPwj4ajEwj0a1UTDbLhcbhljg+2Xfj/aNaNrpthaw3ENvaxRR3DFpVUYDkgKT+QA/ChXtqN2voc14Q8T3Gp+LdZ0q6I8kKl1preSyb4MmNxkj5sOu7I4xItXtV8XWGnrqMzW9xNbabJ5N1NHswkpVSqYLAkneozjHPWtG20LR7e4sriDTreOaxgNvauqYMMRxlF9AcDj2FR3HhzQrjULm/m0q1kubuLybiRowTKmMYbseOOaNbBpcwdQ+IVjZT3VvJpOpPPZiZrpF8v90IhGzHJfB+WVSMZ796dJ40zdSK+m30EUGqS2KupicXBjgeU/xZUYX65x2Jxsy+F/D0yFJdHtJAySI26PJZXxvBJ652rn6CnN4Z0BpXkbSbVnebz2JTrJsKFvrtJXPoaTUrBoY2m+PbG+FuBpmoQyXEsMcaP5eT5sBmRuGIwVUj1B9uaaPiJoyx2U81vdwW11YPfCV9h8tFiEpDKGLA7T1xjIIzWufCnhwwiH+xrQIDEwATGDEu2Pp/dGQPbimW/g/wAL28iSQ6FYoUTy1xGMBfL8vGOmNny/Tim762BW0uZ+r+MItLu4ft9pfWyyW7yRR7YnEp8yFE5DZBLSqAOB1zjAqk/j+DTreWG8sdRvLqzW5a8KRxJ5fkeWX434PyzIRgnI966CDwn4bgto7aPRbMQxxNCimPIVGILKM9iVX8h6U+bwx4fmjMc2j2kilJIzujByshBkB9d20Z9cCjUBPEviGz0CKzlvI5THdzrAsgwERiOC7MQFB6DPUkDvSeGfEVvr4lktLO9jtl5iuJY9scw3MuUOecFf1FXdQ0vT9QhjhvbSKeOI5RHGQPw7/Sm6VpGmaV5/9m2UVqJ5DJIIxgMxOScduSTx60dRdDlpfiLaRKzS6HqygtIsBHlHzzHcrbuBh+CHdT82Mg5HpVuTxzaRxX0r6Rqvl2AK3LpCHWORdm5CVJ5G/JI4wrHPFWNG8G6RZafPaXcEWoefdSXDvNGM5eYygfQMQR9Aa0D4e0U3V3df2dCJrzb9odQQZCuME47/ACjnrwKS5rFaXME/ELTG0+91C20/ULu0soDLLPAqPHkIjlA+7aTtcY5wcHmpLfxus2sJpy6JfKR9q+0O0kQ8nyPLzxu+YESrjB/rWonhPw0iXMaaLZLHcxLDOgjwsiAAAEdDwAPoKdN4W8OzSPJJo9ozOZS5Kfe81QsmfXcFUH6CjW4tDBl+I1glo1wukajJsN15io0R2i3Clznfg5DgjBOea0/F2rTWH9g3NvcGG3uNQVbj5Ad0PkyuQcjI+6DxzxU6+EfDKxtGNEsyjCQMCmciRQr9f7wVQfXFaNzpun3K2q3FpDKto4ktwy58tgCAR6HBI/Gnr+X/AAQ/4Jy8/wARtIgtEuZ7O+iSS2gu0LKm3yJiwSRm3YQZXB3EYyPWuxjYSRq69GAI5zWUPDHh8WzWw0m1ELgKyBMAqAQF/wB3DNx05NayKqIqIoVVGAAOAKaELRRRQAUUUUAFFFFABRRRQAUUUUAFFFFABRRRQAUUHkYrm/8AhEbAgsNZ8RYBOSNauOP/AB+gDpKK5lPCenOcJrfiFj7a3cH/ANnpx8H2I66x4jH/AHGrj/4ukB0lFc2fB9iASdY8RgD/AKjVx/8AF0DwhYsARrHiMg9CNauP/i6NQOkormh4R08qWGteIiozk/21cY46/wAdaeh6RBpYkMF5qNyJcZN3eyXGMZ+7vJx17daANKiikZlXG5gMnAye9MBaKRmVRliAM45paACiiigAooJAGSQKKACikZlXG5gMnHJ70tABRSBlKhgwKnoc8UtABRRRQAUUm5dxXcNwGSM80tABRSKyt91g30NLQAUUU1pEU4Z1B9CaAHUUUhZQwUsAT0GetAC0UUUAFFFIrBlDKQQeQR3oAWikDKSVDAkdRnpS0AFFFFABRRRQAUUUUAFFIzKo3MwA9SaWgAooooAKKKKACiiigAooooAKKKKACiiigAooooAKKKKACue0rS7+2i1WMpaGLUJZJlUSH92WjRQvCAMCQxzwQMfeOTXQnpXDRaL41MSAa/b+X8nEUgUYBiJxiLvtl/76H4TJX0Gh2geF9c0uwCRz2UV5Ho/2OOdJNx8/Aw5/dgbQR3BPAzmkk0HxtJOqS65byW28tywMiEF9hB8rHAKgjv1yMcyRaN43aEef4gQS7IwwjkAXdvJkI/dZAK4x6c/WrNraeMobW/a61KxMrQRLbnedquv3yTsG3cPrg9qHqGxSk0fxtLYpCus2k0TRCKZXlP7xdiKQHEfBDCQ7schgMDHFzSNJ8WWOmTW39p2ZdLIw2owSiyAAIfu5AAGD1z1x2pnhrRPE2mWF1aS6hbhBaulmsb7hHIxJy2UycE5z7/d4qKbRvHGGWLxBH8uNhZxyBER837rr5nPHUenSn3APD2h6/aw6lZX19aNbTxz+RAk27a8ru/zkoCfvdR6nipNO0fxXDoV7p82p28cxSFbIwzH92qYDjOwEZAHY9ap/8I94xOozXy6lYwzTTR+bIkhJaNdw4BjO07T0+vJqQaL47X7PnXLRypIldmG8qRHnafK45Vz07j8EgJRpvjzzHk/tWyKl5CsZlOApVQvzeWOQQT0I+b6Umu6L4vvtN0qGPULD7RaxxyTSyMQPtCEHfgJ8wPPHy4Pr2adH8bNdyOniKEqvm7VMmdrMH2ZAjGQAY+PUE/W7d2erXvhy40241GzNz56yRP5xIdBNv8qTCg42gIWGc5Jx2JYdyHWdH8SahpOmW0V/ayGNkluWklJzIkqSKQQnzABWGMLnIOeKjg03xzFJC82rWk0W1ftMbS7TnJ3FHEfHryD0xnniW9sPFT3TS6PcabZ2jqMwpNwGw4Jz5Z5OUP8AwGqf9leOHtts2uWNwJoVjdDLgP8ALGG2kR8E4lOeeo/AYJdCQaX49dGH9u2gQhvLdHG7O0BGP7rGM5JHvweKUaN43WR2/t6JgU2qDJ05lwf9X1+aIk9whHfNWtD0fxPZWLWs2qW+xLIwQCPkI4VQhGV424bPXdkcDFO03T/GCabfJfatateOiLbOn3FwBuJBXIJ55yexxTtqK+g3XrPxZJfQyWt3C1oI4kkjXG538xCz7SuAAA38XQ1RfR/H8keyTXbYcAHZJtJwI+QRGMElX7Hhqjj0vxxcXt7G+tSxRxTJ5XzKqyRko21WEecgBlLdyTx3q7c2vi6PQDDLeGS+m1KPD2rg+Xbsy7gWaPjA3c7T2pAVrrRPGl5Ii3d9YSwJercohmIKbWjZRkR/MPlfjjGR17X/ALD4y/sS1g/tG0+3LdmSeUycGHfkJ/q+fl+XoPrTLTSfGQvrM3evxSW8cmbry1CNMoBxgbDt5xkZ59RTdW0rxpcT3ZtNbhgjkkkEKhsBYyhCfwZDAn1IOM49DZBuwGgeIodI0+xs9Qt4FtrXY8YOUeTepB5QkrtDDtyRxWdqVp4+gs/Mh1aG5lICyxxOPlYuPmU+XwNueDnHati10/xYtrqqT6jb75Y0Fj+83+Wwzu3Hyx1G3se9Y8PhnxVHeSzR6lYxySWnlNGknylgfkLL5eCAMjoKGCZfNv4xh0DU7iS8aS7axf7LEgUyCbkp/DtBAKqeoJBNRS6Z47jD+Vr1s0JyVMzAOAW+6SI+oHG717UJpHjyOOb/AIntvK0kTKN0mNjHZhhiLth/zH4T+INH8UanDbWovLL7P9kEd2rucSS45YAJ0DAEcjvxQBXg0HxguuG+fU7TDmOKaRZPnkhRpCMDy8KfnXI74PIzT9es/Gj6s4s9Q8qzuLhVh8hgTAoSTLNujOBny+OenvS2ejeNE/dz68pjDR/MsoLFfMy/WLqV4HpnHbNRnSPHu1Y/7dtipJLyeZ83KEYGIvU5Hpil0GLpWh+K9Pu2EV7p7WjPK7IkhRg7SySBs+WePnAK+5weOVj0vxwttum162WcbRGN4MZPmuSG/dgn5DGowf4T68zWuj+LoC0n9sQtmIjyy+dziOMKS/l5+8JMnB4K/SpW0/xFeeHYtOv/ALI99azWsgujMSs5jdXZsBBtPy46U2hBLp/jL+woYotWt/7S81zNIzDYVKkDb+77Ng4x7ZrMuvDPiueQSPqVpLJGztC8z7mUnzwP+WfTbJGMHONp/HSj07xaNMs/O1OA3kNxNJLtmKo8ZVtik+XztJXt261RGm+PfsnlJrtg8zRDaxk5UhyQw/d8grtByPxoGSS6b462Rxx6zZxOTOzEz7vvKwRRmLkKdhz7H1xUL6F4ybUbe4uNWsXa3Mot5DId+xz90jy8Ftoxu7Z6cZNnxHpHie78QLe2N/YwrEpW23SFXVWCb1xsIz8rYbJ6jjil8U6L4qvr6ym02/s1FoqvG0zkMJfLkRyQEIOQ64PGMHigRLqOl+LntLX7Lq0QuUt5Y5SZNil2ddjY2HcVXIzgZPOOaqvo/jp2DHX4FO4NgPwCAe3ljI5yR3x2qdtM8aiaZF1i3e3dMRs0m2SN9mA2RHhhuHTAznrxUR03xyzFrjXLWFCV2+XIBjMmWUkxc/JgA8YI980dRl5tP8VNYQQ/2pD5n2vfMd3PkbfuhtnJ3c/dHBxmo4NH8QWWlaVa2eowRfZbD7PLCGwjyqoCFW2kgdc8dMcVWs9J8aQyI1zr1u25o85fI3BYw2BsHB2y/Lx98HjFO1mw8ZS6tM9pfQJbSSH7MAQ3k4ilAZspxljH0z0+tAivZ6B4zgeScatZLczrH5sikku6hQGPyYPyhhjAzkHtVm8s/FSLoNjHq0on8pze3IKFGlBjIz8nII8wAALx9KiOmeN5ZkkOtWpRJAzRpNjpIx27hH02lQcjtVeXQvHEz2UtzqOnzSWkjyxN5zKVLCVf+eXPyumDxjafXNAFg6T45jhH/FQW5ZI4yWdhtLbsybsRjjHQgjjjFRy6P47ktj/xUUCSPCyHbIAN5VxuX91kcmMjk4weve3qmmeKr7R7Cxj1CyZ1t2h1FmkOJmKFSMBOnOe30p+p6P4mf7KNN1S3gS3toUWN8FPNXduYgoSeNuOR0PSi24ySHTfFX9kXUMurILx7lDFIrghIQ4JH+r4Ypx0PPORWemj+PGgQza/bi5R2wUf92R5TBSV8vkhiCexxnjpVbVrbx1bwwm11JbneFSRI5V3o43FsMY8EdAMjqBnjNasFp4qfSbyM61am8kEfkMCCEYMS2cLwCuBgZxgkGgRNcWPiv7FBFBqNsJd0+92Ygpk5h52HftHDAhd3XPHOfcaP45kZjFr8Ma4+RN4+Xh+CfKO7kpzxwCPrdt7XxSmjkXGp2k12bsGRhLsTys4IVtmUPQ4IbkYzzmqraT44Zoz/AG9AApBcAgbyDyf9WcAj+Ht6nNFgJZNH8R3ekXtnqWoWlzLL5LRDkKGWUszcLkArtAHOCvXmnLp3i9tMQTalB9rW/Mw2TEKYdhAjLeXzhiD06DrUJ0bxkstsy65BIAAk7kBXZQxwVOw4O3aSOmcjgc02LRfGkdwJG15ZA7R+aDKPlAaQsEHlYHBj7c7SPejcPIiOl/EEWjIutWRmaMqGLn5G3sQQfL5+UqDkdq7dN2xd+N2OcetcnrGm+L7u9uZdO1uCC3Mn7hQ4ACiMjDDy25EmCTnkV1ibti78FsDOPWmhPcWiiimAUUUUAFFFFABRRRQAUUUUAFFFFABRRRQAHpXGeHNL8Q2sN3p39q2IhgsTaxR28pYwTkAhiNgK8NnqeMHFdmeh5x71x+g+FdYsNVS9utfNwpk8ydER085xGiBid55+Q5HT5uBSauxp2IBY+NYbmKNtcsV3GMRQyTljJsVt+T5YPOQeP7tO1bR/FN34Vi0+81GxeVpZPtTvKVBQtmMBgnOOARgZ9fUn8H6xJcm6/wCEkl+0DzVVyr/ceRG24D4Hypt4HfPFSP4U1mQwM/iFzJCzgSfvcupdCu4eZgsAhXOOQelLVhsXIbHxUulRxzahby3Zuy0zCTaPJwRhCE+Ug4bBB7jPNUJ9F8bTQSI3iBEJt5FXyn2kzFVCtnyyQuQxwOme9XLfw1qcFzA48RXbxxy7irliSokyB97n5BsOc55PBqknhjXLu6u7ibXb2yD3krJGk7sDHucxkfPgY3LxjGFAINAFw2Xi2HQrlTqEM18Z964fAMQz8qnZ8rEY7Hkdeaoadp/j2aK2kuNWhjjcRtIjECUDksP9WQCCQMcg7e2alfwvrhZ0TxDdxkwPiQMxjVyV2gKWzxhyeed/sMPbwtrREZ/t7dJDK7RO3m52tGyhWxIM7S3B44AzzzR5h0JJtP1q38XCa0v7GC2u7sXEsJlxLNGsSIw27DnB54PHHrVTUvB11Nd301rDpqCXUYLiEElSsaRhWU4XgkjOBke9M/4Q3xARG0niYSyxWxgjmeKTeoYKG5En+znPXJ5JrRj8O62ulXdq3iOVp5pYpI5ihzHtA3D73IYjp7nn0LDuU/CnhvxBoPhe506K7s5Lt3hdJfMYAgKiyJ9zC8KQGA7gkZ65EWha5Z2Vhpt54i063ms5U+yBbkAxjyjGMBo8lt8i9fvAgcEiteTwj4haGLZ4uuUuYw2ZdrkMxYfMV346AjHTk0t34O1O6vI7qXWYgY/LZY/JdlRlaNjt3SEgEx9Pf2o31FsXLfTvFq6EkM2rwPqQuld5RxG0YPKgbQVyOcc4PcisqfT/AIgG4gtRrKxuY3YXCBWiVlWIDeDGCdxEh2j+914FSnwd4gkT974sn3ZcjZ5oA3b/APpp2LDr/dFPfwjr0kCrJ4ruTKHdmceYNwLqR8ocAYVSv/As0aj0HzaT43+yP5OtRCdoolUNKNqOC5kb/VZPVAPYH8ZNUsvFS6Ra20OpTG9n1CQyzxMu2GErJs6p91T5fGMk9+al0nw3qlppV9Zza9NLJPCsUEoLgwALjjLHPOeevrS2fh/XINKvbeTxA093O0ZjnZGCqqkZXbu4B5GQQcEc8U2hdClaWXjK5mlvE12zntHDtbiGYbWJChcnyzxwx4J5PepdWtvGUOj6WkF7HLcRqkd48R+ZnLqDIMphht3ZHy9c1WsfBeuWmnraw+KZY2jkUxOkbbUQAjZsLYPJyD16ZzU1x4X8RyYMfic2+YgHVEkKl+ckBpDgHI+nalbQC1oOn+MItRhk1jVbaa2VG3JE3JbaBz+7GRnJ7Y96qRaT4os7TVdSuLyO51N9LeGBoCC3mgsy7QUAAyRgHOCccig+ENZEwlXxLO+2XzESVpWAI37c/vMnAYfXbVnQvDWs2OoW11deI5rpYgVeMh8OCJOMFyOrpzg/cFG6C9mVLPT/ABbI1wq+JI5WQoPIaRd8QYO21yI+GG6PB7hTxzmn/wBm+NnVvJ11AVmcBpYwuQEGGwFOV37hjjK7ecjl+i+FdYstYS+udfM6mTfPGiOnnMFVVYneeflOR05PFOk8NeIJL27lbxJ+4uGkKxBJB5WRhWUiTIK4HHQ5PHSgEMbSfGZM0kesRQmUKVRpzII28thwTGMgOVbGPmAxx3m1O28UXHiCZdN1uzW0QxGSDeBLH8rZ/hbAJweeoB5qunhTX3b/AErxTPIu5WKp5iYHm72UEPnBX5eTxjj0psPg/Wkubic+JHWSYgM6RsGOAQrE7+WAPT7vXimBbaw8Zf8ACNi2XUrQambln87zDtWLJIXPl844HTp3rN1yHxnZaXdXs2qwpstmCrBMPmmLYUjfHgA5XjPykHk5rV1Xw/rN5e3MsevNBFI5MSqrhkUx7cHDgHa3zg4HPBzUcXhfUv7M1GzuNdkuvtbIyNKjN5ZWUv0L9wVXjA+X8KQFMaH40V3T+3IriGS4VmM0vPk9DHtEeM4yCeMnB4qvY+FfFdmbFodWtgYLcWzEt86R/JlUby8YyhIyO+PetZPDmsNpDWs+uGW4/tAXayYkAVRj939/djOT1x7VQbwl4l+yyRDxY4eSN0LFJDt3OWBX95kEZx1PAHpQlb+vIbLXibQ7nVdX0m6ubq0spIopUjAnJZp9yPHt+UbgPLJYcHGR0zUun2niKzvRNq2vQLbtG0UMZYEGd9oXOVG7ndgZHUDBqLxN4Y1rVbq1mt9fFt9njXZmFiVkCSKzDDAfMHGcgkbeDT/EfhjVNTtrGC11w2y20acujSN5qMrCQHcMngj5s9c0CK0Wi+NTc75vEChCkSlUkxtw8ZkIzHglgJMdMbgPerMmi+IrnSrm1vtQtbmRpoJIt2QoKSbmbIXjIC4XnBHXmmW/hnXIdQt5/wDhInltlRVntpBIQ5HVlYOCvPIHIqtF4S8R/OJvF1w4MJjTaJFKNsVQ+d+TnBJHqeKAILvQPHV4lv5+q6eXgnNxE5cnym+bHHljdw2B0xjvmtl4/EyaTd2LT2yXDY+zXbz4xuc4Q/J1VcYbHzE9B1rPi8H61GLjb4nuMyscN+8JUbWC9XPK5Uj1I5z2t63oWu3OtC8ttZdLZjEnkKXTaoZSzE7sE4DcAD71FtLBfW4yy0XxLbaaI0v7WO6mvxcXckbffTygrYJTAbeM4xgjjIzWVqdn420+GOSbXhKJp44dqSqGy7xj5SYsDgP69elWk8H+IGMZuvFUswUoWQiQK21kP9/IztbPP8XtRN4Q8QzEGXxLHKFuftCK8MhWNgVI2/vM9Qep78YofT+uwdxNP0HxjYfadur2biTfIWDbN8rYBZ/3Z7DPGMEe9WbG18Tnw5cTN4gtJ7qcQfZ51lBhCBUDkMEGCx3kHB+8Knfw/rh0TTrBfEBE1tcebNOVcmVd+4J9/OMfLyTxTX8LagLKwt4Nclg+yWiwjyw6qziRWL7Q+D8qlcHP3qPL+v66B5/1/XUik8L6k2gJDHdW6anBqUl7BOclfnkYsGwByUdgcDGapN8Pw15dTb1iD3iNbGC4ZGhiEcY3jC/6wPGCOowTzyct1fwr4qFjb/YvEU084GycMzKJMn7w+cbT7A/yre8O6RrNhOJ7vVjciRQJYpNz4+Zm4YnqNyrnHITkZoSBlMaPrcvhu50O6WxkmbEv2xSUSVzOXOUwdp2hTwTySO1SaRp/jGPUBNf6paPbkzExgltoZRsx8i5wwPXsa6minYLnDXWiePJrMKviCKOYwbX2y4G/EmSpEWQMmPHpg/jYutL8cCYvZ6zbAGSZsTSbgFKkRrgRdvlJPqD1rsaKLBc4O30Dxpa25t7HU7K1jxO4Xzi+ZJJjICcxgnAJBPHU13Ue4RrvwWwN2OmadRTSEFFFFABRRRQAUUUUAFFFFABRRRQAUUUUAFFFFABRRRQAUUUUAFFFFABRRRQAUUUUAFFFFABRRRQAUUUUAFFFFABRRRQAUUUUAFFFFABRRRQAUUUUAFFFFABRRRQAUUUUAFFFFABRRRQAUUUUAFFFFABRRRQAUUUUAf/Z">
          <a:extLst>
            <a:ext uri="{FF2B5EF4-FFF2-40B4-BE49-F238E27FC236}">
              <a16:creationId xmlns:a16="http://schemas.microsoft.com/office/drawing/2014/main" id="{F363C133-9BAC-4D62-B53A-D1DD0A8FA82F}"/>
            </a:ext>
          </a:extLst>
        </xdr:cNvPr>
        <xdr:cNvSpPr>
          <a:spLocks noChangeAspect="1" noChangeArrowheads="1"/>
        </xdr:cNvSpPr>
      </xdr:nvSpPr>
      <xdr:spPr bwMode="auto">
        <a:xfrm>
          <a:off x="8168640" y="685800"/>
          <a:ext cx="304800" cy="3219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60944-94D0-413D-8D53-263AAE149E88}">
  <sheetPr>
    <tabColor rgb="FFFF0000"/>
  </sheetPr>
  <dimension ref="B2:V114"/>
  <sheetViews>
    <sheetView tabSelected="1" topLeftCell="A78" zoomScale="70" zoomScaleNormal="70" workbookViewId="0">
      <selection activeCell="Q103" sqref="Q103"/>
    </sheetView>
  </sheetViews>
  <sheetFormatPr baseColWidth="10" defaultColWidth="11.44140625" defaultRowHeight="13.8" x14ac:dyDescent="0.25"/>
  <cols>
    <col min="1" max="1" width="11.44140625" style="3"/>
    <col min="2" max="2" width="7.5546875" style="3" customWidth="1"/>
    <col min="3" max="3" width="36.109375" style="3" bestFit="1" customWidth="1"/>
    <col min="4" max="4" width="9.88671875" style="3" customWidth="1"/>
    <col min="5" max="5" width="12.33203125" style="3" customWidth="1"/>
    <col min="6" max="6" width="12" style="3" customWidth="1"/>
    <col min="7" max="7" width="12.6640625" style="3" customWidth="1"/>
    <col min="8" max="11" width="11.44140625" style="3"/>
    <col min="12" max="12" width="13.33203125" style="3" customWidth="1"/>
    <col min="13" max="14" width="12.6640625" style="3" customWidth="1"/>
    <col min="15" max="16384" width="11.44140625" style="3"/>
  </cols>
  <sheetData>
    <row r="2" spans="2:20" ht="16.2" thickBot="1" x14ac:dyDescent="0.3">
      <c r="B2" s="124" t="s">
        <v>89</v>
      </c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</row>
    <row r="3" spans="2:20" ht="16.8" thickTop="1" thickBot="1" x14ac:dyDescent="0.35"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2:20" ht="16.2" thickBot="1" x14ac:dyDescent="0.35">
      <c r="B4" s="121" t="s">
        <v>0</v>
      </c>
      <c r="C4" s="122"/>
      <c r="D4" s="122"/>
      <c r="E4" s="122"/>
      <c r="F4" s="122"/>
      <c r="G4" s="122"/>
      <c r="H4" s="122"/>
      <c r="I4" s="122"/>
      <c r="J4" s="122"/>
      <c r="K4" s="122"/>
      <c r="L4" s="122"/>
      <c r="M4" s="122"/>
      <c r="N4" s="122"/>
      <c r="O4" s="123"/>
    </row>
    <row r="5" spans="2:20" ht="15.6" x14ac:dyDescent="0.3"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2:20" ht="15.6" x14ac:dyDescent="0.3">
      <c r="C6" s="120" t="s">
        <v>95</v>
      </c>
      <c r="D6" s="120"/>
      <c r="E6" s="120"/>
      <c r="F6" s="120"/>
      <c r="G6" s="120"/>
      <c r="H6" s="120"/>
      <c r="I6" s="120"/>
      <c r="J6" s="120"/>
      <c r="K6" s="120"/>
      <c r="L6" s="120"/>
      <c r="M6" s="120"/>
      <c r="N6" s="120"/>
      <c r="O6" s="120"/>
    </row>
    <row r="7" spans="2:20" ht="17.399999999999999" customHeight="1" x14ac:dyDescent="0.3"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8" spans="2:20" ht="14.25" customHeight="1" x14ac:dyDescent="0.25">
      <c r="B8" s="100">
        <v>1</v>
      </c>
      <c r="C8" s="110" t="s">
        <v>93</v>
      </c>
      <c r="D8" s="110"/>
      <c r="E8" s="110"/>
      <c r="F8" s="110"/>
      <c r="G8" s="110"/>
      <c r="H8" s="110"/>
      <c r="I8" s="110"/>
      <c r="J8" s="110"/>
      <c r="K8" s="110"/>
      <c r="L8" s="110"/>
      <c r="M8" s="110"/>
      <c r="N8" s="110"/>
      <c r="O8" s="110"/>
      <c r="P8" s="110"/>
      <c r="Q8" s="110"/>
      <c r="R8" s="110"/>
      <c r="S8" s="110"/>
      <c r="T8" s="110"/>
    </row>
    <row r="9" spans="2:20" x14ac:dyDescent="0.25">
      <c r="B9" s="100"/>
      <c r="C9" s="110"/>
      <c r="D9" s="110"/>
      <c r="E9" s="110"/>
      <c r="F9" s="110"/>
      <c r="G9" s="110"/>
      <c r="H9" s="110"/>
      <c r="I9" s="110"/>
      <c r="J9" s="110"/>
      <c r="K9" s="110"/>
      <c r="L9" s="110"/>
      <c r="M9" s="110"/>
      <c r="N9" s="110"/>
      <c r="O9" s="110"/>
      <c r="P9" s="110"/>
      <c r="Q9" s="110"/>
      <c r="R9" s="110"/>
      <c r="S9" s="110"/>
      <c r="T9" s="110"/>
    </row>
    <row r="10" spans="2:20" x14ac:dyDescent="0.25">
      <c r="B10" s="5"/>
      <c r="C10" s="80"/>
      <c r="D10" s="80"/>
      <c r="E10" s="80"/>
      <c r="F10" s="80"/>
      <c r="G10" s="80"/>
      <c r="H10" s="80"/>
      <c r="I10" s="80"/>
      <c r="J10" s="80"/>
      <c r="K10" s="80"/>
      <c r="L10" s="80"/>
      <c r="M10" s="80"/>
      <c r="N10" s="80"/>
    </row>
    <row r="11" spans="2:20" ht="14.4" thickBot="1" x14ac:dyDescent="0.3"/>
    <row r="12" spans="2:20" ht="15.6" x14ac:dyDescent="0.3">
      <c r="C12" s="7" t="s">
        <v>10</v>
      </c>
      <c r="D12" s="8"/>
      <c r="E12" s="8"/>
      <c r="F12" s="8"/>
      <c r="G12" s="9"/>
      <c r="I12" s="7" t="s">
        <v>11</v>
      </c>
      <c r="J12" s="8"/>
      <c r="K12" s="8"/>
      <c r="L12" s="8"/>
      <c r="M12" s="8"/>
      <c r="N12" s="9"/>
    </row>
    <row r="13" spans="2:20" ht="15.6" x14ac:dyDescent="0.3">
      <c r="C13" s="10" t="s">
        <v>12</v>
      </c>
      <c r="G13" s="11"/>
      <c r="I13" s="10" t="s">
        <v>12</v>
      </c>
      <c r="N13" s="11"/>
    </row>
    <row r="14" spans="2:20" x14ac:dyDescent="0.25">
      <c r="C14" s="12" t="s">
        <v>13</v>
      </c>
      <c r="E14" s="6" t="s">
        <v>14</v>
      </c>
      <c r="F14" s="6" t="s">
        <v>15</v>
      </c>
      <c r="G14" s="13" t="s">
        <v>16</v>
      </c>
      <c r="I14" s="12"/>
      <c r="L14" s="6" t="s">
        <v>14</v>
      </c>
      <c r="M14" s="6" t="s">
        <v>15</v>
      </c>
      <c r="N14" s="13" t="s">
        <v>16</v>
      </c>
    </row>
    <row r="15" spans="2:20" x14ac:dyDescent="0.25">
      <c r="C15" s="14" t="s">
        <v>17</v>
      </c>
      <c r="D15" s="15"/>
      <c r="E15" s="15"/>
      <c r="F15" s="15"/>
      <c r="G15" s="16"/>
      <c r="I15" s="130" t="s">
        <v>1</v>
      </c>
      <c r="J15" s="131"/>
      <c r="K15" s="131"/>
      <c r="L15" s="17">
        <v>4000</v>
      </c>
      <c r="M15" s="17">
        <v>4000</v>
      </c>
      <c r="N15" s="18">
        <v>4500</v>
      </c>
    </row>
    <row r="16" spans="2:20" x14ac:dyDescent="0.25">
      <c r="C16" s="12" t="s">
        <v>18</v>
      </c>
      <c r="G16" s="11"/>
      <c r="I16" s="106" t="s">
        <v>2</v>
      </c>
      <c r="J16" s="107"/>
      <c r="K16" s="107"/>
      <c r="L16" s="76">
        <v>1650</v>
      </c>
      <c r="M16" s="76">
        <v>1650</v>
      </c>
      <c r="N16" s="77">
        <v>1650</v>
      </c>
    </row>
    <row r="17" spans="3:14" x14ac:dyDescent="0.25">
      <c r="C17" s="12" t="s">
        <v>19</v>
      </c>
      <c r="E17" s="3">
        <v>300</v>
      </c>
      <c r="F17" s="3">
        <v>500</v>
      </c>
      <c r="G17" s="11">
        <v>380</v>
      </c>
      <c r="I17" s="125" t="s">
        <v>20</v>
      </c>
      <c r="J17" s="126"/>
      <c r="K17" s="126"/>
      <c r="L17" s="78">
        <f>+L15-L16</f>
        <v>2350</v>
      </c>
      <c r="M17" s="78">
        <f t="shared" ref="M17:N17" si="0">+M15-M16</f>
        <v>2350</v>
      </c>
      <c r="N17" s="20">
        <f t="shared" si="0"/>
        <v>2850</v>
      </c>
    </row>
    <row r="18" spans="3:14" x14ac:dyDescent="0.25">
      <c r="C18" s="12" t="s">
        <v>3</v>
      </c>
      <c r="E18" s="3">
        <v>500</v>
      </c>
      <c r="F18" s="3">
        <v>400</v>
      </c>
      <c r="G18" s="11">
        <v>550</v>
      </c>
      <c r="I18" s="106" t="s">
        <v>21</v>
      </c>
      <c r="J18" s="107"/>
      <c r="K18" s="107"/>
      <c r="L18" s="79">
        <v>200</v>
      </c>
      <c r="M18" s="79">
        <v>230</v>
      </c>
      <c r="N18" s="19">
        <v>250</v>
      </c>
    </row>
    <row r="19" spans="3:14" x14ac:dyDescent="0.25">
      <c r="C19" s="12" t="s">
        <v>4</v>
      </c>
      <c r="E19" s="64">
        <v>700</v>
      </c>
      <c r="F19" s="64">
        <v>600</v>
      </c>
      <c r="G19" s="75">
        <v>800</v>
      </c>
      <c r="I19" s="106" t="s">
        <v>22</v>
      </c>
      <c r="J19" s="107"/>
      <c r="K19" s="107"/>
      <c r="L19" s="79">
        <v>300</v>
      </c>
      <c r="M19" s="79">
        <v>300</v>
      </c>
      <c r="N19" s="19">
        <v>300</v>
      </c>
    </row>
    <row r="20" spans="3:14" x14ac:dyDescent="0.25">
      <c r="C20" s="21" t="s">
        <v>23</v>
      </c>
      <c r="D20" s="22"/>
      <c r="E20" s="22">
        <f>SUM(E17:E19)</f>
        <v>1500</v>
      </c>
      <c r="F20" s="22">
        <f>SUM(F17:F19)</f>
        <v>1500</v>
      </c>
      <c r="G20" s="23">
        <f>SUM(G17:G19)</f>
        <v>1730</v>
      </c>
      <c r="I20" s="106" t="s">
        <v>24</v>
      </c>
      <c r="J20" s="107"/>
      <c r="K20" s="107"/>
      <c r="L20" s="76">
        <v>350</v>
      </c>
      <c r="M20" s="76">
        <v>360</v>
      </c>
      <c r="N20" s="77">
        <v>400</v>
      </c>
    </row>
    <row r="21" spans="3:14" x14ac:dyDescent="0.25">
      <c r="C21" s="12" t="s">
        <v>5</v>
      </c>
      <c r="G21" s="11"/>
      <c r="I21" s="127" t="s">
        <v>25</v>
      </c>
      <c r="J21" s="128"/>
      <c r="K21" s="128"/>
      <c r="L21" s="129">
        <f>+L17-L18-L19-L20</f>
        <v>1500</v>
      </c>
      <c r="M21" s="129">
        <f t="shared" ref="M21:N21" si="1">+M17-M18-M19-M20</f>
        <v>1460</v>
      </c>
      <c r="N21" s="132">
        <f t="shared" si="1"/>
        <v>1900</v>
      </c>
    </row>
    <row r="22" spans="3:14" x14ac:dyDescent="0.25">
      <c r="C22" s="12" t="s">
        <v>26</v>
      </c>
      <c r="E22" s="64">
        <v>750</v>
      </c>
      <c r="F22" s="64">
        <v>900</v>
      </c>
      <c r="G22" s="75">
        <v>800</v>
      </c>
      <c r="I22" s="127"/>
      <c r="J22" s="128"/>
      <c r="K22" s="128"/>
      <c r="L22" s="129"/>
      <c r="M22" s="129"/>
      <c r="N22" s="132"/>
    </row>
    <row r="23" spans="3:14" x14ac:dyDescent="0.25">
      <c r="C23" s="21" t="s">
        <v>7</v>
      </c>
      <c r="D23" s="22"/>
      <c r="E23" s="22">
        <f>+E22</f>
        <v>750</v>
      </c>
      <c r="F23" s="22">
        <f>+F22</f>
        <v>900</v>
      </c>
      <c r="G23" s="23">
        <f>+G22</f>
        <v>800</v>
      </c>
      <c r="I23" s="106" t="s">
        <v>27</v>
      </c>
      <c r="J23" s="107"/>
      <c r="K23" s="107"/>
      <c r="L23" s="76">
        <v>150</v>
      </c>
      <c r="M23" s="76">
        <v>250</v>
      </c>
      <c r="N23" s="77">
        <v>300</v>
      </c>
    </row>
    <row r="24" spans="3:14" x14ac:dyDescent="0.25">
      <c r="C24" s="14" t="s">
        <v>8</v>
      </c>
      <c r="D24" s="24"/>
      <c r="E24" s="24">
        <f>+E20+E23</f>
        <v>2250</v>
      </c>
      <c r="F24" s="24">
        <f>+F20+F23</f>
        <v>2400</v>
      </c>
      <c r="G24" s="25">
        <f>+G20+G23</f>
        <v>2530</v>
      </c>
      <c r="I24" s="133" t="s">
        <v>6</v>
      </c>
      <c r="J24" s="134"/>
      <c r="K24" s="134"/>
      <c r="L24" s="78">
        <f>SUM(L21:L23)</f>
        <v>1650</v>
      </c>
      <c r="M24" s="78">
        <f t="shared" ref="M24:N24" si="2">SUM(M21:M23)</f>
        <v>1710</v>
      </c>
      <c r="N24" s="20">
        <f t="shared" si="2"/>
        <v>2200</v>
      </c>
    </row>
    <row r="25" spans="3:14" x14ac:dyDescent="0.25">
      <c r="C25" s="12"/>
      <c r="G25" s="11"/>
      <c r="I25" s="106" t="s">
        <v>28</v>
      </c>
      <c r="J25" s="107"/>
      <c r="K25" s="107"/>
      <c r="L25" s="76">
        <f>+L24*0.3</f>
        <v>495</v>
      </c>
      <c r="M25" s="76">
        <f t="shared" ref="M25:N25" si="3">+M24*0.3</f>
        <v>513</v>
      </c>
      <c r="N25" s="77">
        <f t="shared" si="3"/>
        <v>660</v>
      </c>
    </row>
    <row r="26" spans="3:14" ht="14.4" thickBot="1" x14ac:dyDescent="0.3">
      <c r="C26" s="26" t="s">
        <v>29</v>
      </c>
      <c r="D26" s="27"/>
      <c r="E26" s="27"/>
      <c r="F26" s="27"/>
      <c r="G26" s="28"/>
      <c r="I26" s="108" t="s">
        <v>30</v>
      </c>
      <c r="J26" s="109"/>
      <c r="K26" s="109"/>
      <c r="L26" s="29">
        <f>SUM(L24:L25)</f>
        <v>2145</v>
      </c>
      <c r="M26" s="29">
        <f t="shared" ref="M26:N26" si="4">SUM(M24:M25)</f>
        <v>2223</v>
      </c>
      <c r="N26" s="30">
        <f t="shared" si="4"/>
        <v>2860</v>
      </c>
    </row>
    <row r="27" spans="3:14" x14ac:dyDescent="0.25">
      <c r="C27" s="12" t="s">
        <v>31</v>
      </c>
      <c r="G27" s="11"/>
      <c r="L27" s="17"/>
      <c r="M27" s="17"/>
      <c r="N27" s="17"/>
    </row>
    <row r="28" spans="3:14" x14ac:dyDescent="0.25">
      <c r="C28" s="12" t="s">
        <v>32</v>
      </c>
      <c r="E28" s="3">
        <v>400</v>
      </c>
      <c r="F28" s="3">
        <v>350</v>
      </c>
      <c r="G28" s="11">
        <v>400</v>
      </c>
    </row>
    <row r="29" spans="3:14" x14ac:dyDescent="0.25">
      <c r="C29" s="12" t="s">
        <v>33</v>
      </c>
      <c r="E29" s="64">
        <v>250</v>
      </c>
      <c r="F29" s="64">
        <v>200</v>
      </c>
      <c r="G29" s="75">
        <v>310</v>
      </c>
    </row>
    <row r="30" spans="3:14" x14ac:dyDescent="0.25">
      <c r="C30" s="21" t="s">
        <v>34</v>
      </c>
      <c r="D30" s="22"/>
      <c r="E30" s="22">
        <f>SUM(E28:E29)</f>
        <v>650</v>
      </c>
      <c r="F30" s="22">
        <f>SUM(F28:F29)</f>
        <v>550</v>
      </c>
      <c r="G30" s="23">
        <f>SUM(G28:G29)</f>
        <v>710</v>
      </c>
      <c r="H30" s="22"/>
    </row>
    <row r="31" spans="3:14" x14ac:dyDescent="0.25">
      <c r="C31" s="12" t="s">
        <v>35</v>
      </c>
      <c r="D31" s="6"/>
      <c r="G31" s="11"/>
    </row>
    <row r="32" spans="3:14" x14ac:dyDescent="0.25">
      <c r="C32" s="12" t="s">
        <v>36</v>
      </c>
      <c r="E32" s="3">
        <v>350</v>
      </c>
      <c r="F32" s="3">
        <v>400</v>
      </c>
      <c r="G32" s="11">
        <v>500</v>
      </c>
    </row>
    <row r="33" spans="3:8" x14ac:dyDescent="0.25">
      <c r="C33" s="12" t="s">
        <v>37</v>
      </c>
      <c r="E33" s="64">
        <v>400</v>
      </c>
      <c r="F33" s="64">
        <v>300</v>
      </c>
      <c r="G33" s="75">
        <v>370</v>
      </c>
    </row>
    <row r="34" spans="3:8" x14ac:dyDescent="0.25">
      <c r="C34" s="31" t="s">
        <v>38</v>
      </c>
      <c r="D34" s="22"/>
      <c r="E34" s="22">
        <f>SUM(E32:E33)</f>
        <v>750</v>
      </c>
      <c r="F34" s="22">
        <f>SUM(F32:F33)</f>
        <v>700</v>
      </c>
      <c r="G34" s="23">
        <f>SUM(G32:G33)</f>
        <v>870</v>
      </c>
      <c r="H34" s="22"/>
    </row>
    <row r="35" spans="3:8" x14ac:dyDescent="0.25">
      <c r="C35" s="32" t="s">
        <v>39</v>
      </c>
      <c r="D35" s="33"/>
      <c r="E35" s="33">
        <f>+E30+E34</f>
        <v>1400</v>
      </c>
      <c r="F35" s="33">
        <f>+F30+F34</f>
        <v>1250</v>
      </c>
      <c r="G35" s="34">
        <f>+G30+G34</f>
        <v>1580</v>
      </c>
      <c r="H35" s="6"/>
    </row>
    <row r="36" spans="3:8" x14ac:dyDescent="0.25">
      <c r="C36" s="35"/>
      <c r="G36" s="11"/>
    </row>
    <row r="37" spans="3:8" x14ac:dyDescent="0.25">
      <c r="C37" s="36" t="s">
        <v>40</v>
      </c>
      <c r="D37" s="37"/>
      <c r="E37" s="37"/>
      <c r="F37" s="37"/>
      <c r="G37" s="38"/>
    </row>
    <row r="38" spans="3:8" x14ac:dyDescent="0.25">
      <c r="C38" s="39" t="s">
        <v>41</v>
      </c>
      <c r="E38" s="3">
        <v>500</v>
      </c>
      <c r="F38" s="3">
        <v>750</v>
      </c>
      <c r="G38" s="11">
        <v>650</v>
      </c>
    </row>
    <row r="39" spans="3:8" x14ac:dyDescent="0.25">
      <c r="C39" s="39" t="s">
        <v>42</v>
      </c>
      <c r="E39" s="64">
        <v>350</v>
      </c>
      <c r="F39" s="64">
        <v>400</v>
      </c>
      <c r="G39" s="75">
        <v>300</v>
      </c>
    </row>
    <row r="40" spans="3:8" x14ac:dyDescent="0.25">
      <c r="C40" s="40" t="s">
        <v>43</v>
      </c>
      <c r="D40" s="41"/>
      <c r="E40" s="41">
        <f>SUM(E38:E39)</f>
        <v>850</v>
      </c>
      <c r="F40" s="41">
        <f>SUM(F38:F39)</f>
        <v>1150</v>
      </c>
      <c r="G40" s="42">
        <f>SUM(G38:G39)</f>
        <v>950</v>
      </c>
      <c r="H40" s="6"/>
    </row>
    <row r="41" spans="3:8" x14ac:dyDescent="0.25">
      <c r="C41" s="35"/>
      <c r="D41" s="6"/>
      <c r="G41" s="11"/>
    </row>
    <row r="42" spans="3:8" ht="14.4" thickBot="1" x14ac:dyDescent="0.3">
      <c r="C42" s="43" t="s">
        <v>44</v>
      </c>
      <c r="D42" s="44"/>
      <c r="E42" s="44">
        <f>+E35+E40</f>
        <v>2250</v>
      </c>
      <c r="F42" s="44">
        <f>+F35+F40</f>
        <v>2400</v>
      </c>
      <c r="G42" s="45">
        <f>+G35+G40</f>
        <v>2530</v>
      </c>
      <c r="H42" s="6"/>
    </row>
    <row r="43" spans="3:8" s="46" customFormat="1" ht="13.2" x14ac:dyDescent="0.25"/>
    <row r="44" spans="3:8" s="46" customFormat="1" ht="13.2" x14ac:dyDescent="0.25"/>
    <row r="48" spans="3:8" ht="14.4" thickBot="1" x14ac:dyDescent="0.3"/>
    <row r="49" spans="2:22" ht="30.6" thickBot="1" x14ac:dyDescent="0.55000000000000004">
      <c r="B49" s="117" t="s">
        <v>47</v>
      </c>
      <c r="C49" s="118"/>
      <c r="D49" s="118"/>
      <c r="E49" s="118"/>
      <c r="F49" s="118"/>
      <c r="G49" s="118"/>
      <c r="H49" s="118"/>
      <c r="I49" s="118"/>
      <c r="J49" s="118"/>
      <c r="K49" s="118"/>
      <c r="L49" s="118"/>
      <c r="M49" s="118"/>
      <c r="N49" s="118"/>
      <c r="O49" s="118"/>
      <c r="P49" s="118"/>
      <c r="Q49" s="118"/>
      <c r="R49" s="118"/>
      <c r="S49" s="118"/>
      <c r="T49" s="119"/>
    </row>
    <row r="50" spans="2:22" ht="30" customHeight="1" x14ac:dyDescent="0.25">
      <c r="B50" s="100" t="s">
        <v>48</v>
      </c>
      <c r="C50" s="100"/>
      <c r="D50" s="100"/>
      <c r="E50" s="100"/>
      <c r="F50" s="100"/>
      <c r="G50" s="100"/>
      <c r="H50" s="100"/>
      <c r="I50" s="100"/>
      <c r="J50" s="100"/>
      <c r="K50" s="100"/>
      <c r="L50" s="96" t="s">
        <v>14</v>
      </c>
      <c r="M50" s="97"/>
      <c r="N50" s="98"/>
      <c r="O50" s="96" t="s">
        <v>15</v>
      </c>
      <c r="P50" s="97"/>
      <c r="Q50" s="98"/>
      <c r="R50" s="96" t="s">
        <v>16</v>
      </c>
      <c r="S50" s="97"/>
      <c r="T50" s="98"/>
    </row>
    <row r="51" spans="2:22" ht="17.399999999999999" x14ac:dyDescent="0.3">
      <c r="B51" s="102" t="s">
        <v>49</v>
      </c>
      <c r="C51" s="103"/>
      <c r="D51" s="103"/>
      <c r="E51" s="103"/>
      <c r="F51" s="103"/>
      <c r="G51" s="103"/>
      <c r="H51" s="103"/>
      <c r="I51" s="103"/>
      <c r="J51" s="103"/>
      <c r="K51" s="103"/>
      <c r="L51" s="99"/>
      <c r="M51" s="100"/>
      <c r="N51" s="101"/>
      <c r="O51" s="99"/>
      <c r="P51" s="100"/>
      <c r="Q51" s="101"/>
      <c r="R51" s="99"/>
      <c r="S51" s="100"/>
      <c r="T51" s="101"/>
    </row>
    <row r="52" spans="2:22" x14ac:dyDescent="0.25">
      <c r="B52" s="48"/>
      <c r="C52" s="49"/>
      <c r="D52" s="49"/>
      <c r="E52" s="49"/>
      <c r="F52" s="49"/>
      <c r="G52" s="49"/>
      <c r="H52" s="49"/>
      <c r="I52" s="49"/>
      <c r="J52" s="49"/>
      <c r="K52" s="49"/>
      <c r="L52" s="50"/>
      <c r="M52" s="49"/>
      <c r="N52" s="51"/>
      <c r="O52" s="50"/>
      <c r="P52" s="49"/>
      <c r="Q52" s="51"/>
      <c r="R52" s="50"/>
      <c r="S52" s="49"/>
      <c r="T52" s="51"/>
    </row>
    <row r="53" spans="2:22" x14ac:dyDescent="0.25">
      <c r="B53" s="52" t="s">
        <v>50</v>
      </c>
      <c r="L53" s="12"/>
      <c r="N53" s="18"/>
      <c r="O53" s="12"/>
      <c r="Q53" s="18"/>
      <c r="R53" s="12"/>
      <c r="T53" s="18"/>
    </row>
    <row r="54" spans="2:22" ht="15" customHeight="1" x14ac:dyDescent="0.25">
      <c r="B54" s="113" t="s">
        <v>51</v>
      </c>
      <c r="C54" s="114"/>
      <c r="D54" s="114"/>
      <c r="E54" s="114"/>
      <c r="G54" s="87" t="s">
        <v>90</v>
      </c>
      <c r="H54" s="87"/>
      <c r="I54" s="87"/>
      <c r="J54" s="3" t="s">
        <v>52</v>
      </c>
      <c r="L54" s="53">
        <f>E20</f>
        <v>1500</v>
      </c>
      <c r="M54" s="17" t="s">
        <v>53</v>
      </c>
      <c r="N54" s="54">
        <f>L54/L55</f>
        <v>2.3076923076923075</v>
      </c>
      <c r="O54" s="53">
        <f>F20</f>
        <v>1500</v>
      </c>
      <c r="P54" s="17" t="s">
        <v>53</v>
      </c>
      <c r="Q54" s="54">
        <f>O54/O55</f>
        <v>2.7272727272727271</v>
      </c>
      <c r="R54" s="53">
        <f>G20</f>
        <v>1730</v>
      </c>
      <c r="S54" s="17" t="s">
        <v>53</v>
      </c>
      <c r="T54" s="54">
        <f>R54/R55</f>
        <v>2.436619718309859</v>
      </c>
      <c r="V54" s="135"/>
    </row>
    <row r="55" spans="2:22" x14ac:dyDescent="0.25">
      <c r="B55" s="113"/>
      <c r="C55" s="114"/>
      <c r="D55" s="114"/>
      <c r="E55" s="114"/>
      <c r="G55" s="90" t="s">
        <v>91</v>
      </c>
      <c r="H55" s="90"/>
      <c r="I55" s="90"/>
      <c r="L55" s="55">
        <f>E30</f>
        <v>650</v>
      </c>
      <c r="M55" s="17"/>
      <c r="N55" s="56"/>
      <c r="O55" s="55">
        <f>F30</f>
        <v>550</v>
      </c>
      <c r="P55" s="17"/>
      <c r="Q55" s="56"/>
      <c r="R55" s="55">
        <f>G30</f>
        <v>710</v>
      </c>
      <c r="S55" s="17"/>
      <c r="T55" s="56"/>
    </row>
    <row r="56" spans="2:22" x14ac:dyDescent="0.25">
      <c r="B56" s="113"/>
      <c r="C56" s="114"/>
      <c r="D56" s="114"/>
      <c r="E56" s="114"/>
      <c r="L56" s="57"/>
      <c r="M56" s="17"/>
      <c r="N56" s="56"/>
      <c r="O56" s="57"/>
      <c r="P56" s="17"/>
      <c r="Q56" s="56"/>
      <c r="R56" s="57"/>
      <c r="S56" s="17"/>
      <c r="T56" s="56"/>
    </row>
    <row r="57" spans="2:22" x14ac:dyDescent="0.25">
      <c r="B57" s="58"/>
      <c r="L57" s="57"/>
      <c r="M57" s="17"/>
      <c r="N57" s="56"/>
      <c r="O57" s="57"/>
      <c r="P57" s="17"/>
      <c r="Q57" s="56"/>
      <c r="R57" s="57"/>
      <c r="S57" s="17"/>
      <c r="T57" s="56"/>
    </row>
    <row r="58" spans="2:22" x14ac:dyDescent="0.25">
      <c r="B58" s="52" t="s">
        <v>55</v>
      </c>
      <c r="L58" s="57"/>
      <c r="M58" s="17"/>
      <c r="N58" s="56"/>
      <c r="O58" s="57"/>
      <c r="P58" s="17"/>
      <c r="Q58" s="56"/>
      <c r="R58" s="57"/>
      <c r="S58" s="17"/>
      <c r="T58" s="56"/>
    </row>
    <row r="59" spans="2:22" x14ac:dyDescent="0.25">
      <c r="B59" s="115" t="s">
        <v>56</v>
      </c>
      <c r="C59" s="116"/>
      <c r="D59" s="116"/>
      <c r="E59" s="116"/>
      <c r="G59" s="87" t="s">
        <v>92</v>
      </c>
      <c r="H59" s="87"/>
      <c r="I59" s="87"/>
      <c r="J59" s="3" t="s">
        <v>52</v>
      </c>
      <c r="L59" s="53">
        <f>E20-E19</f>
        <v>800</v>
      </c>
      <c r="M59" s="17" t="s">
        <v>53</v>
      </c>
      <c r="N59" s="54">
        <f>L59/L60</f>
        <v>1.2307692307692308</v>
      </c>
      <c r="O59" s="53">
        <f>F20-F19</f>
        <v>900</v>
      </c>
      <c r="P59" s="17" t="s">
        <v>53</v>
      </c>
      <c r="Q59" s="54">
        <f>O59/O60</f>
        <v>1.6363636363636365</v>
      </c>
      <c r="R59" s="53">
        <f>G20-G19</f>
        <v>930</v>
      </c>
      <c r="S59" s="17" t="s">
        <v>53</v>
      </c>
      <c r="T59" s="54">
        <f>R59/R60</f>
        <v>1.3098591549295775</v>
      </c>
    </row>
    <row r="60" spans="2:22" x14ac:dyDescent="0.25">
      <c r="B60" s="115"/>
      <c r="C60" s="116"/>
      <c r="D60" s="116"/>
      <c r="E60" s="116"/>
      <c r="G60" s="94" t="s">
        <v>54</v>
      </c>
      <c r="H60" s="94"/>
      <c r="I60" s="94"/>
      <c r="L60" s="55">
        <f>L55</f>
        <v>650</v>
      </c>
      <c r="M60" s="17"/>
      <c r="N60" s="56"/>
      <c r="O60" s="55">
        <f>O55</f>
        <v>550</v>
      </c>
      <c r="P60" s="17"/>
      <c r="Q60" s="56"/>
      <c r="R60" s="55">
        <f>R55</f>
        <v>710</v>
      </c>
      <c r="S60" s="17"/>
      <c r="T60" s="56"/>
    </row>
    <row r="61" spans="2:22" x14ac:dyDescent="0.25">
      <c r="B61" s="115"/>
      <c r="C61" s="116"/>
      <c r="D61" s="116"/>
      <c r="E61" s="116"/>
      <c r="L61" s="12"/>
      <c r="N61" s="56"/>
      <c r="O61" s="12"/>
      <c r="Q61" s="56"/>
      <c r="R61" s="12"/>
      <c r="T61" s="56"/>
    </row>
    <row r="62" spans="2:22" x14ac:dyDescent="0.25">
      <c r="B62" s="58"/>
      <c r="L62" s="12"/>
      <c r="N62" s="56"/>
      <c r="O62" s="12"/>
      <c r="Q62" s="56"/>
      <c r="R62" s="12"/>
      <c r="T62" s="56"/>
    </row>
    <row r="63" spans="2:22" ht="29.25" customHeight="1" x14ac:dyDescent="0.25">
      <c r="B63" s="59" t="s">
        <v>57</v>
      </c>
      <c r="G63" s="95" t="s">
        <v>58</v>
      </c>
      <c r="H63" s="95"/>
      <c r="I63" s="95"/>
      <c r="J63" s="3" t="s">
        <v>52</v>
      </c>
      <c r="L63" s="60">
        <f>L16</f>
        <v>1650</v>
      </c>
      <c r="M63" s="17" t="s">
        <v>53</v>
      </c>
      <c r="N63" s="54">
        <f>L63/L64</f>
        <v>2.3571428571428572</v>
      </c>
      <c r="O63" s="60">
        <f>L63</f>
        <v>1650</v>
      </c>
      <c r="P63" s="17" t="s">
        <v>53</v>
      </c>
      <c r="Q63" s="54">
        <f>O63/O64</f>
        <v>2.75</v>
      </c>
      <c r="R63" s="60">
        <f>O63</f>
        <v>1650</v>
      </c>
      <c r="S63" s="17" t="s">
        <v>53</v>
      </c>
      <c r="T63" s="54">
        <f>R63/R64</f>
        <v>2.0625</v>
      </c>
    </row>
    <row r="64" spans="2:22" x14ac:dyDescent="0.25">
      <c r="B64" s="58" t="s">
        <v>59</v>
      </c>
      <c r="G64" s="94" t="s">
        <v>60</v>
      </c>
      <c r="H64" s="94"/>
      <c r="I64" s="94"/>
      <c r="L64" s="61">
        <f>E19</f>
        <v>700</v>
      </c>
      <c r="N64" s="56"/>
      <c r="O64" s="61">
        <f>F19</f>
        <v>600</v>
      </c>
      <c r="Q64" s="56"/>
      <c r="R64" s="61">
        <f>G19</f>
        <v>800</v>
      </c>
      <c r="T64" s="56"/>
    </row>
    <row r="65" spans="2:20" x14ac:dyDescent="0.25">
      <c r="B65" s="58"/>
      <c r="L65" s="12"/>
      <c r="N65" s="56"/>
      <c r="O65" s="12"/>
      <c r="Q65" s="56"/>
      <c r="R65" s="12"/>
      <c r="T65" s="56"/>
    </row>
    <row r="66" spans="2:20" ht="39" customHeight="1" x14ac:dyDescent="0.25">
      <c r="B66" s="52" t="s">
        <v>61</v>
      </c>
      <c r="G66" s="95" t="s">
        <v>3</v>
      </c>
      <c r="H66" s="95"/>
      <c r="I66" s="95"/>
      <c r="J66" s="17" t="s">
        <v>62</v>
      </c>
      <c r="L66" s="47">
        <f>E18</f>
        <v>500</v>
      </c>
      <c r="M66" s="17" t="s">
        <v>53</v>
      </c>
      <c r="N66" s="137">
        <f>L66/L67</f>
        <v>45</v>
      </c>
      <c r="O66" s="47">
        <f>F18</f>
        <v>400</v>
      </c>
      <c r="P66" s="17" t="s">
        <v>53</v>
      </c>
      <c r="Q66" s="81">
        <f>O66/O67</f>
        <v>36</v>
      </c>
      <c r="R66" s="47">
        <f>G18</f>
        <v>550</v>
      </c>
      <c r="S66" s="17" t="s">
        <v>53</v>
      </c>
      <c r="T66" s="81">
        <f>R66/R67</f>
        <v>44</v>
      </c>
    </row>
    <row r="67" spans="2:20" x14ac:dyDescent="0.25">
      <c r="B67" s="88" t="s">
        <v>63</v>
      </c>
      <c r="C67" s="89"/>
      <c r="D67" s="89"/>
      <c r="E67" s="89"/>
      <c r="G67" s="94" t="s">
        <v>64</v>
      </c>
      <c r="H67" s="94"/>
      <c r="I67" s="94"/>
      <c r="L67" s="62">
        <f>L15/360</f>
        <v>11.111111111111111</v>
      </c>
      <c r="N67" s="56"/>
      <c r="O67" s="62">
        <f>M15/360</f>
        <v>11.111111111111111</v>
      </c>
      <c r="Q67" s="56"/>
      <c r="R67" s="62">
        <f>N15/360</f>
        <v>12.5</v>
      </c>
      <c r="T67" s="56"/>
    </row>
    <row r="68" spans="2:20" x14ac:dyDescent="0.25">
      <c r="B68" s="88"/>
      <c r="C68" s="89"/>
      <c r="D68" s="89"/>
      <c r="E68" s="89"/>
      <c r="L68" s="12"/>
      <c r="N68" s="56"/>
      <c r="O68" s="12"/>
      <c r="Q68" s="56"/>
      <c r="R68" s="12"/>
      <c r="T68" s="56"/>
    </row>
    <row r="69" spans="2:20" x14ac:dyDescent="0.25">
      <c r="B69" s="58"/>
      <c r="L69" s="12"/>
      <c r="N69" s="56"/>
      <c r="O69" s="12"/>
      <c r="Q69" s="56"/>
      <c r="R69" s="12"/>
      <c r="T69" s="56"/>
    </row>
    <row r="70" spans="2:20" x14ac:dyDescent="0.25">
      <c r="B70" s="52" t="s">
        <v>65</v>
      </c>
      <c r="G70" s="87" t="s">
        <v>9</v>
      </c>
      <c r="H70" s="87"/>
      <c r="I70" s="87"/>
      <c r="J70" s="3" t="s">
        <v>62</v>
      </c>
      <c r="L70" s="60">
        <f>E28</f>
        <v>400</v>
      </c>
      <c r="M70" s="17" t="s">
        <v>53</v>
      </c>
      <c r="N70" s="54">
        <f>L70/L71</f>
        <v>36</v>
      </c>
      <c r="O70" s="60">
        <f>F28</f>
        <v>350</v>
      </c>
      <c r="P70" s="17" t="s">
        <v>53</v>
      </c>
      <c r="Q70" s="54">
        <f>O70/O71</f>
        <v>31.5</v>
      </c>
      <c r="R70" s="60">
        <f>G28</f>
        <v>400</v>
      </c>
      <c r="S70" s="17" t="s">
        <v>53</v>
      </c>
      <c r="T70" s="54">
        <f>R70/R71</f>
        <v>32</v>
      </c>
    </row>
    <row r="71" spans="2:20" x14ac:dyDescent="0.25">
      <c r="B71" s="88" t="s">
        <v>66</v>
      </c>
      <c r="C71" s="89"/>
      <c r="D71" s="89"/>
      <c r="E71" s="89"/>
      <c r="G71" s="94" t="s">
        <v>64</v>
      </c>
      <c r="H71" s="94"/>
      <c r="I71" s="94"/>
      <c r="L71" s="63">
        <f>L67</f>
        <v>11.111111111111111</v>
      </c>
      <c r="N71" s="56"/>
      <c r="O71" s="61">
        <f>O67</f>
        <v>11.111111111111111</v>
      </c>
      <c r="Q71" s="56"/>
      <c r="R71" s="61">
        <f>R67</f>
        <v>12.5</v>
      </c>
      <c r="T71" s="56"/>
    </row>
    <row r="72" spans="2:20" x14ac:dyDescent="0.25">
      <c r="B72" s="91"/>
      <c r="C72" s="92"/>
      <c r="D72" s="92"/>
      <c r="E72" s="92"/>
      <c r="F72" s="64"/>
      <c r="G72" s="64"/>
      <c r="H72" s="64"/>
      <c r="I72" s="64"/>
      <c r="J72" s="64"/>
      <c r="K72" s="64"/>
      <c r="L72" s="47"/>
      <c r="M72" s="64"/>
      <c r="N72" s="65"/>
      <c r="O72" s="47"/>
      <c r="P72" s="64"/>
      <c r="Q72" s="65"/>
      <c r="R72" s="47"/>
      <c r="S72" s="64"/>
      <c r="T72" s="65"/>
    </row>
    <row r="73" spans="2:20" x14ac:dyDescent="0.25">
      <c r="L73" s="12"/>
      <c r="N73" s="56"/>
      <c r="O73" s="12"/>
      <c r="Q73" s="56"/>
      <c r="R73" s="12"/>
      <c r="T73" s="56"/>
    </row>
    <row r="74" spans="2:20" ht="17.399999999999999" x14ac:dyDescent="0.3">
      <c r="B74" s="104" t="s">
        <v>67</v>
      </c>
      <c r="C74" s="105"/>
      <c r="D74" s="105"/>
      <c r="E74" s="105"/>
      <c r="F74" s="105"/>
      <c r="G74" s="105"/>
      <c r="H74" s="105"/>
      <c r="I74" s="105"/>
      <c r="J74" s="105"/>
      <c r="K74" s="105"/>
      <c r="L74" s="50"/>
      <c r="M74" s="49"/>
      <c r="N74" s="66"/>
      <c r="O74" s="50"/>
      <c r="P74" s="49"/>
      <c r="Q74" s="66"/>
      <c r="R74" s="50"/>
      <c r="S74" s="49"/>
      <c r="T74" s="66"/>
    </row>
    <row r="75" spans="2:20" x14ac:dyDescent="0.25">
      <c r="B75" s="58"/>
      <c r="L75" s="12"/>
      <c r="N75" s="56"/>
      <c r="O75" s="12"/>
      <c r="Q75" s="56"/>
      <c r="R75" s="12"/>
      <c r="T75" s="56"/>
    </row>
    <row r="76" spans="2:20" x14ac:dyDescent="0.25">
      <c r="B76" s="52" t="s">
        <v>68</v>
      </c>
      <c r="L76" s="12"/>
      <c r="N76" s="56"/>
      <c r="O76" s="12"/>
      <c r="Q76" s="56"/>
      <c r="R76" s="12"/>
      <c r="T76" s="56"/>
    </row>
    <row r="77" spans="2:20" x14ac:dyDescent="0.25">
      <c r="B77" s="88" t="s">
        <v>69</v>
      </c>
      <c r="C77" s="89"/>
      <c r="D77" s="89"/>
      <c r="E77" s="89"/>
      <c r="G77" s="87" t="s">
        <v>70</v>
      </c>
      <c r="H77" s="87"/>
      <c r="I77" s="87"/>
      <c r="J77" s="3" t="s">
        <v>71</v>
      </c>
      <c r="L77" s="47">
        <f>E35</f>
        <v>1400</v>
      </c>
      <c r="M77" s="17" t="s">
        <v>53</v>
      </c>
      <c r="N77" s="67">
        <f>L77/L78</f>
        <v>1.6470588235294117</v>
      </c>
      <c r="O77" s="47">
        <f>F35</f>
        <v>1250</v>
      </c>
      <c r="P77" s="17" t="s">
        <v>53</v>
      </c>
      <c r="Q77" s="67">
        <f>O77/O78</f>
        <v>1.0869565217391304</v>
      </c>
      <c r="R77" s="47">
        <f>G35</f>
        <v>1580</v>
      </c>
      <c r="S77" s="17" t="s">
        <v>53</v>
      </c>
      <c r="T77" s="67">
        <f>R77/R78</f>
        <v>1.6631578947368422</v>
      </c>
    </row>
    <row r="78" spans="2:20" x14ac:dyDescent="0.25">
      <c r="B78" s="88"/>
      <c r="C78" s="89"/>
      <c r="D78" s="89"/>
      <c r="E78" s="89"/>
      <c r="G78" s="90" t="s">
        <v>72</v>
      </c>
      <c r="H78" s="90"/>
      <c r="I78" s="90"/>
      <c r="L78" s="12">
        <f>E40</f>
        <v>850</v>
      </c>
      <c r="N78" s="56"/>
      <c r="O78" s="12">
        <f>F40</f>
        <v>1150</v>
      </c>
      <c r="Q78" s="56"/>
      <c r="R78" s="12">
        <f>G40</f>
        <v>950</v>
      </c>
      <c r="T78" s="56"/>
    </row>
    <row r="79" spans="2:20" x14ac:dyDescent="0.25">
      <c r="B79" s="58"/>
      <c r="L79" s="12"/>
      <c r="N79" s="56"/>
      <c r="O79" s="12"/>
      <c r="Q79" s="56"/>
      <c r="R79" s="12"/>
      <c r="T79" s="56"/>
    </row>
    <row r="80" spans="2:20" x14ac:dyDescent="0.25">
      <c r="B80" s="58"/>
      <c r="L80" s="12"/>
      <c r="N80" s="56"/>
      <c r="O80" s="12"/>
      <c r="Q80" s="56"/>
      <c r="R80" s="12"/>
      <c r="T80" s="56"/>
    </row>
    <row r="81" spans="2:20" x14ac:dyDescent="0.25">
      <c r="B81" s="52" t="s">
        <v>73</v>
      </c>
      <c r="L81" s="12"/>
      <c r="N81" s="56"/>
      <c r="O81" s="12"/>
      <c r="Q81" s="56"/>
      <c r="R81" s="12"/>
      <c r="T81" s="56"/>
    </row>
    <row r="82" spans="2:20" ht="14.25" customHeight="1" x14ac:dyDescent="0.25">
      <c r="B82" s="88" t="s">
        <v>74</v>
      </c>
      <c r="C82" s="89"/>
      <c r="D82" s="89"/>
      <c r="E82" s="89"/>
      <c r="G82" s="87" t="s">
        <v>70</v>
      </c>
      <c r="H82" s="87"/>
      <c r="I82" s="87"/>
      <c r="J82" s="3" t="s">
        <v>71</v>
      </c>
      <c r="L82" s="68">
        <f>L77</f>
        <v>1400</v>
      </c>
      <c r="M82" s="17" t="s">
        <v>53</v>
      </c>
      <c r="N82" s="69">
        <f>L82/L83</f>
        <v>0.62222222222222223</v>
      </c>
      <c r="O82" s="68">
        <f>O77</f>
        <v>1250</v>
      </c>
      <c r="P82" s="17" t="s">
        <v>53</v>
      </c>
      <c r="Q82" s="69">
        <f>O82/O83</f>
        <v>0.52083333333333337</v>
      </c>
      <c r="R82" s="68">
        <f>R77</f>
        <v>1580</v>
      </c>
      <c r="S82" s="17" t="s">
        <v>53</v>
      </c>
      <c r="T82" s="69">
        <f>R82/R83</f>
        <v>0.62450592885375489</v>
      </c>
    </row>
    <row r="83" spans="2:20" x14ac:dyDescent="0.25">
      <c r="B83" s="91"/>
      <c r="C83" s="92"/>
      <c r="D83" s="92"/>
      <c r="E83" s="92"/>
      <c r="F83" s="64"/>
      <c r="G83" s="93" t="s">
        <v>75</v>
      </c>
      <c r="H83" s="93"/>
      <c r="I83" s="93"/>
      <c r="J83" s="64"/>
      <c r="K83" s="64"/>
      <c r="L83" s="68">
        <f>E24</f>
        <v>2250</v>
      </c>
      <c r="M83" s="64"/>
      <c r="N83" s="65"/>
      <c r="O83" s="68">
        <f>F24</f>
        <v>2400</v>
      </c>
      <c r="P83" s="64"/>
      <c r="Q83" s="65"/>
      <c r="R83" s="68">
        <f>G24</f>
        <v>2530</v>
      </c>
      <c r="S83" s="64"/>
      <c r="T83" s="65"/>
    </row>
    <row r="84" spans="2:20" x14ac:dyDescent="0.25">
      <c r="L84" s="12"/>
      <c r="N84" s="56"/>
      <c r="O84" s="12"/>
      <c r="Q84" s="56"/>
      <c r="R84" s="12"/>
      <c r="T84" s="56"/>
    </row>
    <row r="85" spans="2:20" ht="17.399999999999999" x14ac:dyDescent="0.3">
      <c r="B85" s="70" t="s">
        <v>76</v>
      </c>
      <c r="C85" s="49"/>
      <c r="D85" s="49"/>
      <c r="E85" s="49"/>
      <c r="F85" s="49"/>
      <c r="G85" s="49"/>
      <c r="H85" s="49"/>
      <c r="I85" s="49"/>
      <c r="J85" s="49"/>
      <c r="K85" s="49"/>
      <c r="L85" s="50"/>
      <c r="M85" s="49"/>
      <c r="N85" s="66"/>
      <c r="O85" s="50"/>
      <c r="P85" s="49"/>
      <c r="Q85" s="66"/>
      <c r="R85" s="50"/>
      <c r="S85" s="49"/>
      <c r="T85" s="66"/>
    </row>
    <row r="86" spans="2:20" x14ac:dyDescent="0.25">
      <c r="B86" s="58"/>
      <c r="L86" s="12"/>
      <c r="N86" s="56"/>
      <c r="O86" s="12"/>
      <c r="Q86" s="56"/>
      <c r="R86" s="12"/>
      <c r="T86" s="56"/>
    </row>
    <row r="87" spans="2:20" x14ac:dyDescent="0.25">
      <c r="B87" s="52" t="s">
        <v>77</v>
      </c>
      <c r="G87" s="87" t="s">
        <v>78</v>
      </c>
      <c r="H87" s="87"/>
      <c r="I87" s="87"/>
      <c r="J87" s="3" t="s">
        <v>71</v>
      </c>
      <c r="L87" s="60">
        <f>L17</f>
        <v>2350</v>
      </c>
      <c r="M87" s="17" t="s">
        <v>53</v>
      </c>
      <c r="N87" s="69">
        <f>L87/L88</f>
        <v>0.58750000000000002</v>
      </c>
      <c r="O87" s="60">
        <f>M17</f>
        <v>2350</v>
      </c>
      <c r="P87" s="17" t="s">
        <v>53</v>
      </c>
      <c r="Q87" s="69">
        <f>O87/O88</f>
        <v>0.58750000000000002</v>
      </c>
      <c r="R87" s="60">
        <f>N17</f>
        <v>2850</v>
      </c>
      <c r="S87" s="17" t="s">
        <v>53</v>
      </c>
      <c r="T87" s="69">
        <f>R87/R88</f>
        <v>0.6333333333333333</v>
      </c>
    </row>
    <row r="88" spans="2:20" x14ac:dyDescent="0.25">
      <c r="B88" s="88" t="s">
        <v>79</v>
      </c>
      <c r="C88" s="89"/>
      <c r="D88" s="89"/>
      <c r="E88" s="89"/>
      <c r="G88" s="90" t="s">
        <v>80</v>
      </c>
      <c r="H88" s="90"/>
      <c r="I88" s="90"/>
      <c r="L88" s="62">
        <f>L15</f>
        <v>4000</v>
      </c>
      <c r="N88" s="56"/>
      <c r="O88" s="62">
        <f>M15</f>
        <v>4000</v>
      </c>
      <c r="Q88" s="56"/>
      <c r="R88" s="62">
        <f>N15</f>
        <v>4500</v>
      </c>
      <c r="T88" s="56"/>
    </row>
    <row r="89" spans="2:20" x14ac:dyDescent="0.25">
      <c r="B89" s="88"/>
      <c r="C89" s="89"/>
      <c r="D89" s="89"/>
      <c r="E89" s="89"/>
      <c r="L89" s="12"/>
      <c r="N89" s="56"/>
      <c r="O89" s="12"/>
      <c r="Q89" s="56"/>
      <c r="R89" s="12"/>
      <c r="T89" s="56"/>
    </row>
    <row r="90" spans="2:20" x14ac:dyDescent="0.25">
      <c r="B90" s="58"/>
      <c r="L90" s="12"/>
      <c r="N90" s="56"/>
      <c r="O90" s="12"/>
      <c r="Q90" s="56"/>
      <c r="R90" s="12"/>
      <c r="T90" s="56"/>
    </row>
    <row r="91" spans="2:20" x14ac:dyDescent="0.25">
      <c r="B91" s="52" t="s">
        <v>81</v>
      </c>
      <c r="G91" s="87" t="s">
        <v>82</v>
      </c>
      <c r="H91" s="87"/>
      <c r="I91" s="87"/>
      <c r="J91" s="3" t="s">
        <v>71</v>
      </c>
      <c r="L91" s="60">
        <f>L26</f>
        <v>2145</v>
      </c>
      <c r="M91" s="17" t="s">
        <v>53</v>
      </c>
      <c r="N91" s="69">
        <f>L91/L92</f>
        <v>0.53625</v>
      </c>
      <c r="O91" s="60">
        <f>M26</f>
        <v>2223</v>
      </c>
      <c r="P91" s="17" t="s">
        <v>53</v>
      </c>
      <c r="Q91" s="69">
        <f>O91/O92</f>
        <v>0.55574999999999997</v>
      </c>
      <c r="R91" s="60">
        <f>N26</f>
        <v>2860</v>
      </c>
      <c r="S91" s="17" t="s">
        <v>53</v>
      </c>
      <c r="T91" s="69">
        <f>R91/R92</f>
        <v>0.63555555555555554</v>
      </c>
    </row>
    <row r="92" spans="2:20" x14ac:dyDescent="0.25">
      <c r="B92" s="88" t="s">
        <v>83</v>
      </c>
      <c r="C92" s="89"/>
      <c r="D92" s="89"/>
      <c r="E92" s="89"/>
      <c r="G92" s="90" t="s">
        <v>80</v>
      </c>
      <c r="H92" s="90"/>
      <c r="I92" s="90"/>
      <c r="L92" s="62">
        <f>L15</f>
        <v>4000</v>
      </c>
      <c r="N92" s="56"/>
      <c r="O92" s="62">
        <f>M15</f>
        <v>4000</v>
      </c>
      <c r="Q92" s="56"/>
      <c r="R92" s="62">
        <f>N15</f>
        <v>4500</v>
      </c>
      <c r="T92" s="56"/>
    </row>
    <row r="93" spans="2:20" x14ac:dyDescent="0.25">
      <c r="B93" s="88"/>
      <c r="C93" s="89"/>
      <c r="D93" s="89"/>
      <c r="E93" s="89"/>
      <c r="L93" s="12"/>
      <c r="N93" s="56"/>
      <c r="O93" s="12"/>
      <c r="Q93" s="56"/>
      <c r="R93" s="12"/>
      <c r="T93" s="56"/>
    </row>
    <row r="94" spans="2:20" x14ac:dyDescent="0.25">
      <c r="B94" s="58"/>
      <c r="L94" s="12"/>
      <c r="N94" s="56"/>
      <c r="O94" s="12"/>
      <c r="Q94" s="56"/>
      <c r="R94" s="12"/>
      <c r="T94" s="56"/>
    </row>
    <row r="95" spans="2:20" x14ac:dyDescent="0.25">
      <c r="B95" s="52" t="s">
        <v>84</v>
      </c>
      <c r="G95" s="87" t="s">
        <v>82</v>
      </c>
      <c r="H95" s="87"/>
      <c r="I95" s="87"/>
      <c r="J95" s="3" t="s">
        <v>71</v>
      </c>
      <c r="L95" s="60">
        <f>L26</f>
        <v>2145</v>
      </c>
      <c r="M95" s="17" t="s">
        <v>53</v>
      </c>
      <c r="N95" s="71">
        <f>L95/L96</f>
        <v>0.95333333333333337</v>
      </c>
      <c r="O95" s="60">
        <f>O91</f>
        <v>2223</v>
      </c>
      <c r="P95" s="17" t="s">
        <v>53</v>
      </c>
      <c r="Q95" s="71">
        <f>O95/O96</f>
        <v>0.92625000000000002</v>
      </c>
      <c r="R95" s="60">
        <f>R91</f>
        <v>2860</v>
      </c>
      <c r="S95" s="17" t="s">
        <v>53</v>
      </c>
      <c r="T95" s="71">
        <f>R95/R96</f>
        <v>1.1304347826086956</v>
      </c>
    </row>
    <row r="96" spans="2:20" x14ac:dyDescent="0.25">
      <c r="B96" s="88" t="s">
        <v>85</v>
      </c>
      <c r="C96" s="89"/>
      <c r="D96" s="89"/>
      <c r="E96" s="89"/>
      <c r="G96" s="90" t="s">
        <v>86</v>
      </c>
      <c r="H96" s="90"/>
      <c r="I96" s="90"/>
      <c r="L96" s="61">
        <f>L83</f>
        <v>2250</v>
      </c>
      <c r="N96" s="56"/>
      <c r="O96" s="61">
        <f>O83</f>
        <v>2400</v>
      </c>
      <c r="Q96" s="56"/>
      <c r="R96" s="61">
        <f>R83</f>
        <v>2530</v>
      </c>
      <c r="T96" s="56"/>
    </row>
    <row r="97" spans="2:22" x14ac:dyDescent="0.25">
      <c r="B97" s="88"/>
      <c r="C97" s="89"/>
      <c r="D97" s="89"/>
      <c r="E97" s="89"/>
      <c r="L97" s="12"/>
      <c r="N97" s="56"/>
      <c r="O97" s="12"/>
      <c r="Q97" s="56"/>
      <c r="R97" s="12"/>
      <c r="T97" s="56"/>
    </row>
    <row r="98" spans="2:22" x14ac:dyDescent="0.25">
      <c r="B98" s="58"/>
      <c r="L98" s="12"/>
      <c r="N98" s="56"/>
      <c r="O98" s="12"/>
      <c r="Q98" s="56"/>
      <c r="R98" s="12"/>
      <c r="T98" s="56"/>
    </row>
    <row r="99" spans="2:22" x14ac:dyDescent="0.25">
      <c r="B99" s="52" t="s">
        <v>87</v>
      </c>
      <c r="G99" s="87" t="s">
        <v>82</v>
      </c>
      <c r="H99" s="87"/>
      <c r="I99" s="87"/>
      <c r="J99" s="3" t="s">
        <v>71</v>
      </c>
      <c r="L99" s="60">
        <f>L95</f>
        <v>2145</v>
      </c>
      <c r="M99" s="17" t="s">
        <v>53</v>
      </c>
      <c r="N99" s="71">
        <f>L99/L100</f>
        <v>2.5235294117647058</v>
      </c>
      <c r="O99" s="60">
        <f>O95</f>
        <v>2223</v>
      </c>
      <c r="P99" s="17" t="s">
        <v>53</v>
      </c>
      <c r="Q99" s="71">
        <f>O99/O100</f>
        <v>1.9330434782608696</v>
      </c>
      <c r="R99" s="60">
        <f>R95</f>
        <v>2860</v>
      </c>
      <c r="S99" s="17" t="s">
        <v>53</v>
      </c>
      <c r="T99" s="71">
        <f>R99/R100</f>
        <v>3.0105263157894737</v>
      </c>
      <c r="V99" s="136"/>
    </row>
    <row r="100" spans="2:22" x14ac:dyDescent="0.25">
      <c r="B100" s="88" t="s">
        <v>88</v>
      </c>
      <c r="C100" s="89"/>
      <c r="D100" s="89"/>
      <c r="E100" s="89"/>
      <c r="F100" s="89"/>
      <c r="G100" s="90" t="s">
        <v>72</v>
      </c>
      <c r="H100" s="90"/>
      <c r="I100" s="90"/>
      <c r="L100" s="61">
        <f>L78</f>
        <v>850</v>
      </c>
      <c r="N100" s="18"/>
      <c r="O100" s="61">
        <f>O78</f>
        <v>1150</v>
      </c>
      <c r="Q100" s="18"/>
      <c r="R100" s="61">
        <f>R78</f>
        <v>950</v>
      </c>
      <c r="T100" s="18"/>
    </row>
    <row r="101" spans="2:22" ht="14.4" thickBot="1" x14ac:dyDescent="0.3">
      <c r="B101" s="91"/>
      <c r="C101" s="92"/>
      <c r="D101" s="92"/>
      <c r="E101" s="92"/>
      <c r="F101" s="92"/>
      <c r="G101" s="64"/>
      <c r="H101" s="64"/>
      <c r="I101" s="64"/>
      <c r="J101" s="64"/>
      <c r="K101" s="64"/>
      <c r="L101" s="72"/>
      <c r="M101" s="73"/>
      <c r="N101" s="74"/>
      <c r="O101" s="72"/>
      <c r="P101" s="73"/>
      <c r="Q101" s="74"/>
      <c r="R101" s="72"/>
      <c r="S101" s="73"/>
      <c r="T101" s="74"/>
    </row>
    <row r="103" spans="2:22" x14ac:dyDescent="0.25">
      <c r="Q103" s="139"/>
    </row>
    <row r="105" spans="2:22" s="2" customFormat="1" x14ac:dyDescent="0.25">
      <c r="B105" s="111">
        <v>2</v>
      </c>
      <c r="C105" s="112" t="s">
        <v>94</v>
      </c>
      <c r="D105" s="112"/>
      <c r="E105" s="112"/>
      <c r="F105" s="112"/>
      <c r="G105" s="112"/>
      <c r="H105" s="112"/>
      <c r="I105" s="112"/>
      <c r="J105" s="112"/>
      <c r="K105" s="112"/>
      <c r="L105" s="112"/>
      <c r="M105" s="112"/>
      <c r="N105" s="112"/>
      <c r="R105" s="138"/>
    </row>
    <row r="106" spans="2:22" s="2" customFormat="1" x14ac:dyDescent="0.25">
      <c r="B106" s="111"/>
      <c r="C106" s="112"/>
      <c r="D106" s="112"/>
      <c r="E106" s="112"/>
      <c r="F106" s="112"/>
      <c r="G106" s="112"/>
      <c r="H106" s="112"/>
      <c r="I106" s="112"/>
      <c r="J106" s="112"/>
      <c r="K106" s="112"/>
      <c r="L106" s="112"/>
      <c r="M106" s="112"/>
      <c r="N106" s="112"/>
    </row>
    <row r="108" spans="2:22" ht="16.2" thickBot="1" x14ac:dyDescent="0.35">
      <c r="D108" s="84" t="s">
        <v>45</v>
      </c>
      <c r="E108" s="84"/>
      <c r="F108" s="84"/>
      <c r="G108" s="84"/>
      <c r="H108" s="84"/>
      <c r="I108" s="84" t="s">
        <v>46</v>
      </c>
      <c r="J108" s="84"/>
      <c r="K108" s="84"/>
      <c r="L108" s="84"/>
      <c r="M108" s="84"/>
    </row>
    <row r="109" spans="2:22" ht="14.4" customHeight="1" thickTop="1" x14ac:dyDescent="0.25">
      <c r="C109" s="82" t="s">
        <v>14</v>
      </c>
      <c r="D109" s="85" t="s">
        <v>96</v>
      </c>
      <c r="E109" s="85"/>
      <c r="F109" s="85"/>
      <c r="G109" s="85"/>
      <c r="H109" s="85"/>
      <c r="I109" s="85" t="s">
        <v>99</v>
      </c>
      <c r="J109" s="85"/>
      <c r="K109" s="85"/>
      <c r="L109" s="85"/>
      <c r="M109" s="85"/>
    </row>
    <row r="110" spans="2:22" x14ac:dyDescent="0.25">
      <c r="C110" s="82"/>
      <c r="D110" s="86"/>
      <c r="E110" s="86"/>
      <c r="F110" s="86"/>
      <c r="G110" s="86"/>
      <c r="H110" s="86"/>
      <c r="I110" s="86"/>
      <c r="J110" s="86"/>
      <c r="K110" s="86"/>
      <c r="L110" s="86"/>
      <c r="M110" s="86"/>
    </row>
    <row r="111" spans="2:22" x14ac:dyDescent="0.25">
      <c r="C111" s="82" t="s">
        <v>15</v>
      </c>
      <c r="D111" s="86" t="s">
        <v>97</v>
      </c>
      <c r="E111" s="86"/>
      <c r="F111" s="86"/>
      <c r="G111" s="86"/>
      <c r="H111" s="86"/>
      <c r="I111" s="83" t="s">
        <v>100</v>
      </c>
      <c r="J111" s="83"/>
      <c r="K111" s="83"/>
      <c r="L111" s="83"/>
      <c r="M111" s="83"/>
    </row>
    <row r="112" spans="2:22" x14ac:dyDescent="0.25">
      <c r="C112" s="82"/>
      <c r="D112" s="86"/>
      <c r="E112" s="86"/>
      <c r="F112" s="86"/>
      <c r="G112" s="86"/>
      <c r="H112" s="86"/>
      <c r="I112" s="83"/>
      <c r="J112" s="83"/>
      <c r="K112" s="83"/>
      <c r="L112" s="83"/>
      <c r="M112" s="83"/>
    </row>
    <row r="113" spans="3:13" x14ac:dyDescent="0.25">
      <c r="C113" s="82" t="s">
        <v>16</v>
      </c>
      <c r="D113" s="83" t="s">
        <v>98</v>
      </c>
      <c r="E113" s="83"/>
      <c r="F113" s="83"/>
      <c r="G113" s="83"/>
      <c r="H113" s="83"/>
      <c r="I113" s="83" t="s">
        <v>101</v>
      </c>
      <c r="J113" s="83"/>
      <c r="K113" s="83"/>
      <c r="L113" s="83"/>
      <c r="M113" s="83"/>
    </row>
    <row r="114" spans="3:13" x14ac:dyDescent="0.25">
      <c r="C114" s="82"/>
      <c r="D114" s="83"/>
      <c r="E114" s="83"/>
      <c r="F114" s="83"/>
      <c r="G114" s="83"/>
      <c r="H114" s="83"/>
      <c r="I114" s="83"/>
      <c r="J114" s="83"/>
      <c r="K114" s="83"/>
      <c r="L114" s="83"/>
      <c r="M114" s="83"/>
    </row>
  </sheetData>
  <mergeCells count="71">
    <mergeCell ref="C6:O6"/>
    <mergeCell ref="G55:I55"/>
    <mergeCell ref="B4:O4"/>
    <mergeCell ref="B2:O2"/>
    <mergeCell ref="I17:K17"/>
    <mergeCell ref="I18:K18"/>
    <mergeCell ref="I19:K19"/>
    <mergeCell ref="I20:K20"/>
    <mergeCell ref="I21:K22"/>
    <mergeCell ref="L21:L22"/>
    <mergeCell ref="I15:K15"/>
    <mergeCell ref="I16:K16"/>
    <mergeCell ref="M21:M22"/>
    <mergeCell ref="N21:N22"/>
    <mergeCell ref="I23:K23"/>
    <mergeCell ref="I24:K24"/>
    <mergeCell ref="I25:K25"/>
    <mergeCell ref="I26:K26"/>
    <mergeCell ref="B8:B9"/>
    <mergeCell ref="C8:T9"/>
    <mergeCell ref="B105:B106"/>
    <mergeCell ref="C105:N106"/>
    <mergeCell ref="B54:E56"/>
    <mergeCell ref="G54:I54"/>
    <mergeCell ref="B59:E61"/>
    <mergeCell ref="G59:I59"/>
    <mergeCell ref="G60:I60"/>
    <mergeCell ref="G63:I63"/>
    <mergeCell ref="B49:T49"/>
    <mergeCell ref="B50:K50"/>
    <mergeCell ref="L50:N51"/>
    <mergeCell ref="O50:Q51"/>
    <mergeCell ref="R50:T51"/>
    <mergeCell ref="B51:K51"/>
    <mergeCell ref="B74:K74"/>
    <mergeCell ref="B77:E78"/>
    <mergeCell ref="G77:I77"/>
    <mergeCell ref="G78:I78"/>
    <mergeCell ref="B82:E83"/>
    <mergeCell ref="G82:I82"/>
    <mergeCell ref="G83:I83"/>
    <mergeCell ref="G64:I64"/>
    <mergeCell ref="G66:I66"/>
    <mergeCell ref="B67:E68"/>
    <mergeCell ref="G67:I67"/>
    <mergeCell ref="G70:I70"/>
    <mergeCell ref="B71:E72"/>
    <mergeCell ref="G71:I71"/>
    <mergeCell ref="G95:I95"/>
    <mergeCell ref="B96:E97"/>
    <mergeCell ref="G96:I96"/>
    <mergeCell ref="G99:I99"/>
    <mergeCell ref="B100:F101"/>
    <mergeCell ref="G100:I100"/>
    <mergeCell ref="G87:I87"/>
    <mergeCell ref="B88:E89"/>
    <mergeCell ref="G88:I88"/>
    <mergeCell ref="G91:I91"/>
    <mergeCell ref="B92:E93"/>
    <mergeCell ref="G92:I92"/>
    <mergeCell ref="C113:C114"/>
    <mergeCell ref="D113:H114"/>
    <mergeCell ref="I113:M114"/>
    <mergeCell ref="D108:H108"/>
    <mergeCell ref="I108:M108"/>
    <mergeCell ref="C109:C110"/>
    <mergeCell ref="D109:H110"/>
    <mergeCell ref="I109:M110"/>
    <mergeCell ref="C111:C112"/>
    <mergeCell ref="D111:H112"/>
    <mergeCell ref="I111:M1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PREGUNTA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MORALES ESPINOZA FERNANDA VALENTINA</dc:creator>
  <cp:lastModifiedBy>ROBLERO QUIROS ALEX JOAN</cp:lastModifiedBy>
  <dcterms:created xsi:type="dcterms:W3CDTF">2025-10-13T06:21:38Z</dcterms:created>
  <dcterms:modified xsi:type="dcterms:W3CDTF">2026-03-08T01:51:11Z</dcterms:modified>
</cp:coreProperties>
</file>