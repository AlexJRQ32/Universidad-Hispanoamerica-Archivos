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ble\Downloads\"/>
    </mc:Choice>
  </mc:AlternateContent>
  <xr:revisionPtr revIDLastSave="0" documentId="13_ncr:1_{BECA41C2-21E9-4F5F-8589-9B9D7D7D9CEF}" xr6:coauthVersionLast="47" xr6:coauthVersionMax="47" xr10:uidLastSave="{00000000-0000-0000-0000-000000000000}"/>
  <bookViews>
    <workbookView xWindow="-108" yWindow="-108" windowWidth="23976" windowHeight="14016" activeTab="2" xr2:uid="{CC3711BC-908F-42C0-8B61-322F25A20130}"/>
  </bookViews>
  <sheets>
    <sheet name="PREGUNTA 1" sheetId="7" r:id="rId1"/>
    <sheet name="PREGUNTA 2" sheetId="4" r:id="rId2"/>
    <sheet name="PREGUNTA 3" sheetId="6" r:id="rId3"/>
    <sheet name="PREGUNTA 4"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 i="4" l="1"/>
  <c r="D68" i="4"/>
  <c r="D74" i="4"/>
  <c r="D73" i="4"/>
  <c r="C64" i="4" s="1"/>
  <c r="C67" i="4"/>
  <c r="C56" i="4"/>
  <c r="P36" i="4"/>
  <c r="C62" i="4" l="1"/>
  <c r="C65" i="4" s="1"/>
  <c r="D70" i="4"/>
  <c r="D75" i="4"/>
  <c r="P35" i="4" l="1"/>
  <c r="P29" i="4" s="1"/>
  <c r="P32" i="4" s="1"/>
  <c r="P23" i="4"/>
  <c r="C32" i="4"/>
  <c r="C33" i="4" s="1"/>
  <c r="E35" i="4" s="1"/>
  <c r="C24" i="4"/>
  <c r="P37" i="4" l="1"/>
  <c r="P59" i="6" l="1"/>
  <c r="P58" i="6"/>
  <c r="P57" i="6"/>
  <c r="P53" i="6"/>
  <c r="P52" i="6"/>
  <c r="P51" i="6"/>
  <c r="P49" i="6"/>
  <c r="P48" i="6"/>
  <c r="P47" i="6"/>
  <c r="P42" i="6"/>
  <c r="P39" i="6"/>
  <c r="P37" i="6"/>
  <c r="P38" i="6"/>
  <c r="P36" i="6"/>
  <c r="N61" i="6"/>
  <c r="O61" i="6"/>
  <c r="O59" i="6"/>
  <c r="N58" i="6"/>
  <c r="N57" i="6"/>
  <c r="O54" i="6"/>
  <c r="O53" i="6"/>
  <c r="O49" i="6"/>
  <c r="N48" i="6"/>
  <c r="N51" i="6"/>
  <c r="N52" i="6"/>
  <c r="N47" i="6"/>
  <c r="N43" i="6"/>
  <c r="O43" i="6"/>
  <c r="O42" i="6"/>
  <c r="O39" i="6"/>
  <c r="N37" i="6"/>
  <c r="N38" i="6"/>
  <c r="N41" i="6"/>
  <c r="N36" i="6"/>
  <c r="L59" i="6"/>
  <c r="L58" i="6"/>
  <c r="L57" i="6"/>
  <c r="L53" i="6"/>
  <c r="L52" i="6"/>
  <c r="L51" i="6"/>
  <c r="L49" i="6"/>
  <c r="L48" i="6"/>
  <c r="L47" i="6"/>
  <c r="L42" i="6"/>
  <c r="L39" i="6"/>
  <c r="L37" i="6"/>
  <c r="L38" i="6"/>
  <c r="L36" i="6"/>
  <c r="J61" i="6"/>
  <c r="K61" i="6"/>
  <c r="K59" i="6"/>
  <c r="J58" i="6"/>
  <c r="K54" i="6"/>
  <c r="J57" i="6"/>
  <c r="K53" i="6"/>
  <c r="K49" i="6"/>
  <c r="J48" i="6"/>
  <c r="J51" i="6"/>
  <c r="J52" i="6"/>
  <c r="J47" i="6"/>
  <c r="J43" i="6"/>
  <c r="K43" i="6"/>
  <c r="K42" i="6"/>
  <c r="K39" i="6"/>
  <c r="J37" i="6"/>
  <c r="J38" i="6"/>
  <c r="J41" i="6"/>
  <c r="J36" i="6"/>
  <c r="H59" i="6"/>
  <c r="H58" i="6"/>
  <c r="H57" i="6"/>
  <c r="H53" i="6"/>
  <c r="H52" i="6"/>
  <c r="H51" i="6"/>
  <c r="H49" i="6"/>
  <c r="H48" i="6"/>
  <c r="H47" i="6"/>
  <c r="H42" i="6"/>
  <c r="H39" i="6"/>
  <c r="H37" i="6"/>
  <c r="H38" i="6"/>
  <c r="H36" i="6"/>
  <c r="F61" i="6"/>
  <c r="G61" i="6"/>
  <c r="G59" i="6"/>
  <c r="F58" i="6"/>
  <c r="F57" i="6"/>
  <c r="G54" i="6"/>
  <c r="G53" i="6"/>
  <c r="G49" i="6"/>
  <c r="F48" i="6"/>
  <c r="F51" i="6"/>
  <c r="F52" i="6"/>
  <c r="F47" i="6"/>
  <c r="G43" i="6"/>
  <c r="F43" i="6"/>
  <c r="G42" i="6"/>
  <c r="G39" i="6"/>
  <c r="F37" i="6"/>
  <c r="F38" i="6"/>
  <c r="F41" i="6"/>
  <c r="F36" i="6"/>
  <c r="Q44" i="7"/>
  <c r="Q46" i="7"/>
  <c r="Q43" i="7"/>
  <c r="Q41" i="7"/>
  <c r="Q17" i="7"/>
  <c r="Q18" i="7"/>
  <c r="Q19" i="7"/>
  <c r="Q20" i="7"/>
  <c r="Q22" i="7"/>
  <c r="Q23" i="7"/>
  <c r="Q24" i="7"/>
  <c r="Q25" i="7"/>
  <c r="Q30" i="7"/>
  <c r="Q31" i="7"/>
  <c r="Q32" i="7"/>
  <c r="Q33" i="7"/>
  <c r="Q35" i="7"/>
  <c r="Q36" i="7"/>
  <c r="Q37" i="7"/>
  <c r="Q40" i="7"/>
  <c r="Q16" i="7"/>
  <c r="P44" i="7"/>
  <c r="P46" i="7"/>
  <c r="P43" i="7"/>
  <c r="P41" i="7"/>
  <c r="P40" i="7"/>
  <c r="P17" i="7"/>
  <c r="P18" i="7"/>
  <c r="P19" i="7"/>
  <c r="P20" i="7"/>
  <c r="P22" i="7"/>
  <c r="P23" i="7"/>
  <c r="P24" i="7"/>
  <c r="P25" i="7"/>
  <c r="P30" i="7"/>
  <c r="P31" i="7"/>
  <c r="P32" i="7"/>
  <c r="P33" i="7"/>
  <c r="P35" i="7"/>
  <c r="P36" i="7"/>
  <c r="P37" i="7"/>
  <c r="P16" i="7"/>
  <c r="O44" i="7"/>
  <c r="O46" i="7"/>
  <c r="O43" i="7"/>
  <c r="O41" i="7"/>
  <c r="O17" i="7"/>
  <c r="O18" i="7"/>
  <c r="O19" i="7"/>
  <c r="O20" i="7"/>
  <c r="O22" i="7"/>
  <c r="O23" i="7"/>
  <c r="O24" i="7"/>
  <c r="O25" i="7"/>
  <c r="O30" i="7"/>
  <c r="O31" i="7"/>
  <c r="O32" i="7"/>
  <c r="O33" i="7"/>
  <c r="O35" i="7"/>
  <c r="O36" i="7"/>
  <c r="O37" i="7"/>
  <c r="O40" i="7"/>
  <c r="O16" i="7"/>
  <c r="G16" i="7"/>
  <c r="G17" i="7"/>
  <c r="G18" i="7"/>
  <c r="G19" i="7"/>
  <c r="G20" i="7"/>
  <c r="G21" i="7"/>
  <c r="G22" i="7"/>
  <c r="G23" i="7"/>
  <c r="G24" i="7"/>
  <c r="G25" i="7"/>
  <c r="G26" i="7"/>
  <c r="G15" i="7"/>
  <c r="F16" i="7"/>
  <c r="F17" i="7"/>
  <c r="F18" i="7"/>
  <c r="F19" i="7"/>
  <c r="F20" i="7"/>
  <c r="F21" i="7"/>
  <c r="F22" i="7"/>
  <c r="F23" i="7"/>
  <c r="F24" i="7"/>
  <c r="F25" i="7"/>
  <c r="F26" i="7"/>
  <c r="F15" i="7"/>
  <c r="E17" i="7"/>
  <c r="E16" i="7"/>
  <c r="E18" i="7"/>
  <c r="E19" i="7"/>
  <c r="E20" i="7"/>
  <c r="E21" i="7"/>
  <c r="E22" i="7"/>
  <c r="E23" i="7"/>
  <c r="E24" i="7"/>
  <c r="E25" i="7"/>
  <c r="E26" i="7"/>
  <c r="E15" i="7"/>
  <c r="M17" i="5"/>
  <c r="M21" i="5" s="1"/>
  <c r="N17" i="5"/>
  <c r="N21" i="5" s="1"/>
  <c r="L17" i="5"/>
  <c r="L21" i="5" s="1"/>
  <c r="N44" i="7" l="1"/>
  <c r="M44" i="7"/>
  <c r="N36" i="7"/>
  <c r="M36" i="7"/>
  <c r="N33" i="7"/>
  <c r="M33" i="7"/>
  <c r="N24" i="7"/>
  <c r="M24" i="7"/>
  <c r="D21" i="7"/>
  <c r="C21" i="7"/>
  <c r="N20" i="7"/>
  <c r="M20" i="7"/>
  <c r="D17" i="7"/>
  <c r="C17" i="7"/>
  <c r="M59" i="6"/>
  <c r="I59" i="6"/>
  <c r="E59" i="6"/>
  <c r="M53" i="6"/>
  <c r="I53" i="6"/>
  <c r="E53" i="6"/>
  <c r="M49" i="6"/>
  <c r="I49" i="6"/>
  <c r="E49" i="6"/>
  <c r="M42" i="6"/>
  <c r="I42" i="6"/>
  <c r="E42" i="6"/>
  <c r="M39" i="6"/>
  <c r="I39" i="6"/>
  <c r="E39" i="6"/>
  <c r="G40" i="5"/>
  <c r="F40" i="5"/>
  <c r="E40" i="5"/>
  <c r="G34" i="5"/>
  <c r="F34" i="5"/>
  <c r="E34" i="5"/>
  <c r="G30" i="5"/>
  <c r="F30" i="5"/>
  <c r="E30" i="5"/>
  <c r="G23" i="5"/>
  <c r="F23" i="5"/>
  <c r="E23" i="5"/>
  <c r="G20" i="5"/>
  <c r="F20" i="5"/>
  <c r="E20" i="5"/>
  <c r="N24" i="5"/>
  <c r="N25" i="5" s="1"/>
  <c r="M24" i="5"/>
  <c r="M25" i="5" s="1"/>
  <c r="L24" i="5"/>
  <c r="L25" i="5" s="1"/>
  <c r="E24" i="5" l="1"/>
  <c r="C22" i="7"/>
  <c r="C24" i="7" s="1"/>
  <c r="C25" i="7" s="1"/>
  <c r="N25" i="7"/>
  <c r="M37" i="7"/>
  <c r="M46" i="7" s="1"/>
  <c r="M25" i="7"/>
  <c r="N37" i="7"/>
  <c r="N46" i="7" s="1"/>
  <c r="M43" i="6"/>
  <c r="E43" i="6"/>
  <c r="I43" i="6"/>
  <c r="E54" i="6"/>
  <c r="E61" i="6" s="1"/>
  <c r="I54" i="6"/>
  <c r="I61" i="6" s="1"/>
  <c r="G35" i="5"/>
  <c r="F35" i="5"/>
  <c r="F24" i="5"/>
  <c r="E35" i="5"/>
  <c r="G24" i="5"/>
  <c r="M54" i="6"/>
  <c r="N26" i="5"/>
  <c r="L26" i="5"/>
  <c r="M26" i="5"/>
  <c r="G42" i="5" l="1"/>
  <c r="F42" i="5"/>
  <c r="E42" i="5"/>
  <c r="C26" i="7"/>
  <c r="D24" i="7"/>
  <c r="M61" i="6"/>
  <c r="D25" i="7" l="1"/>
  <c r="D26" i="7" s="1"/>
</calcChain>
</file>

<file path=xl/sharedStrings.xml><?xml version="1.0" encoding="utf-8"?>
<sst xmlns="http://schemas.openxmlformats.org/spreadsheetml/2006/main" count="348" uniqueCount="200">
  <si>
    <t>Importante: deben mostrar planteamientos y procedimientos, no solo fórmula para demostrar el resultado obtenido</t>
  </si>
  <si>
    <t>Pregunta 3</t>
  </si>
  <si>
    <t xml:space="preserve">Balances Generales </t>
  </si>
  <si>
    <t xml:space="preserve">Estado de Resultados SUPER CR S.A </t>
  </si>
  <si>
    <t>Super CR S.A</t>
  </si>
  <si>
    <t>Del 1 enero al 31 de diciembre</t>
  </si>
  <si>
    <t>Al 31 de diciembre</t>
  </si>
  <si>
    <t>(En millones de colones)</t>
  </si>
  <si>
    <t>Variación</t>
  </si>
  <si>
    <t>AÑO 2023</t>
  </si>
  <si>
    <t>AÑO 2024</t>
  </si>
  <si>
    <t xml:space="preserve">Absoluta </t>
  </si>
  <si>
    <t>Porcentual</t>
  </si>
  <si>
    <t>Directo</t>
  </si>
  <si>
    <t>Activos</t>
  </si>
  <si>
    <t>Ventas Netas</t>
  </si>
  <si>
    <t xml:space="preserve">Activos Circulantes </t>
  </si>
  <si>
    <t xml:space="preserve">Costo de Mercaderías Vendidas </t>
  </si>
  <si>
    <t>Efectivo</t>
  </si>
  <si>
    <t>Utilidad Bruta</t>
  </si>
  <si>
    <t>Valores negociables</t>
  </si>
  <si>
    <t>Gastos de operación</t>
  </si>
  <si>
    <t>Cuentas por cobrar</t>
  </si>
  <si>
    <t>Gastos Administrativos y generales</t>
  </si>
  <si>
    <t>Inventarios</t>
  </si>
  <si>
    <t>Gastos por depreciaciación</t>
  </si>
  <si>
    <t>Total Activos circulantes</t>
  </si>
  <si>
    <t>Total gastos de operación</t>
  </si>
  <si>
    <t>Activos Fijos</t>
  </si>
  <si>
    <t>Utilidad de Operación</t>
  </si>
  <si>
    <t>Activo fijos Neto</t>
  </si>
  <si>
    <t>Gastos por intereses</t>
  </si>
  <si>
    <t>Depreciación acumulada</t>
  </si>
  <si>
    <t>Utilidad antes de impuestos</t>
  </si>
  <si>
    <t>Total activos fijos</t>
  </si>
  <si>
    <t>Impuestos 30%</t>
  </si>
  <si>
    <t>Activo Total</t>
  </si>
  <si>
    <t>Utilidad después de impuestos</t>
  </si>
  <si>
    <t>Pasivo y capital contable</t>
  </si>
  <si>
    <t>Pasivo</t>
  </si>
  <si>
    <t>Pasivo Circulante</t>
  </si>
  <si>
    <t>Cuentas por pagar</t>
  </si>
  <si>
    <t>Documento por pagar</t>
  </si>
  <si>
    <t>Otros pasivos circulantes</t>
  </si>
  <si>
    <t>Total pasivo circulante</t>
  </si>
  <si>
    <t>Pasivo a largo plazo</t>
  </si>
  <si>
    <t>Hipotecas a largo plazo</t>
  </si>
  <si>
    <t>Total pasivo a Largo plazo</t>
  </si>
  <si>
    <t>Total pasivos</t>
  </si>
  <si>
    <t>Capital Contable</t>
  </si>
  <si>
    <t>Acciones comunes (100.000 acciones)</t>
  </si>
  <si>
    <t>Capital pagado en exceso de valor nominal</t>
  </si>
  <si>
    <t>Utilidades retenidas</t>
  </si>
  <si>
    <t>Total capital contable</t>
  </si>
  <si>
    <t>Total pasivos y capital contable</t>
  </si>
  <si>
    <t>Pregunta 1</t>
  </si>
  <si>
    <t>Pregunta 2</t>
  </si>
  <si>
    <t>CASO 1</t>
  </si>
  <si>
    <t>CASO 2</t>
  </si>
  <si>
    <t xml:space="preserve">1. Determine el Enfoque Contable y el Enfoque Financiero </t>
  </si>
  <si>
    <t xml:space="preserve">2. Interprete los resultados </t>
  </si>
  <si>
    <t>a.</t>
  </si>
  <si>
    <t>b.</t>
  </si>
  <si>
    <t>c.</t>
  </si>
  <si>
    <t xml:space="preserve">Balance General </t>
  </si>
  <si>
    <t>Estado de Resultados</t>
  </si>
  <si>
    <t>(En millones de colones</t>
  </si>
  <si>
    <t>Rubros</t>
  </si>
  <si>
    <t>Empresa A</t>
  </si>
  <si>
    <t>Empresa B</t>
  </si>
  <si>
    <t>Empresa C</t>
  </si>
  <si>
    <t>ACTIVO</t>
  </si>
  <si>
    <t xml:space="preserve">Activos Corrientes </t>
  </si>
  <si>
    <t>Bancos</t>
  </si>
  <si>
    <t>Margen Bruto</t>
  </si>
  <si>
    <t>Gasto de Administración</t>
  </si>
  <si>
    <t>Gasto de Fabricación (compras)</t>
  </si>
  <si>
    <t>Total Activos corrientes</t>
  </si>
  <si>
    <t>Gasto de comercialización</t>
  </si>
  <si>
    <t>Utilidades antes de intereses e impuestos</t>
  </si>
  <si>
    <t>Bienes de Uso (neto de amortizaciones)</t>
  </si>
  <si>
    <t>Gastos Financieros</t>
  </si>
  <si>
    <t>Impuestos renta (30%)</t>
  </si>
  <si>
    <t>PASIVO</t>
  </si>
  <si>
    <t>Utilidad Neta</t>
  </si>
  <si>
    <t>Pasivo Corriente</t>
  </si>
  <si>
    <t>Cuentas y Documentos por pagar</t>
  </si>
  <si>
    <t>Impuestos Fiscales</t>
  </si>
  <si>
    <t>Total Pasivo Corriente</t>
  </si>
  <si>
    <t>Pasivo no corriente</t>
  </si>
  <si>
    <t>Deuda por pagar L.P</t>
  </si>
  <si>
    <t>Préstamo bancario L.P</t>
  </si>
  <si>
    <t>Total Pasivo Largo Plazo</t>
  </si>
  <si>
    <t>Total del Pasivo</t>
  </si>
  <si>
    <t>PATRIMONIO NETO</t>
  </si>
  <si>
    <t>Capital social</t>
  </si>
  <si>
    <t>Utilidades Acumuladas</t>
  </si>
  <si>
    <t>Total Patrimonio Neto</t>
  </si>
  <si>
    <t>Total del Pasivo más Patrimonio Neto</t>
  </si>
  <si>
    <t>Análisis vertical</t>
  </si>
  <si>
    <t>Fortalezas financieras</t>
  </si>
  <si>
    <t>Debilidades Financieras</t>
  </si>
  <si>
    <t>RAZONES FINANCIERAS</t>
  </si>
  <si>
    <t>INDICE O RAZÓN</t>
  </si>
  <si>
    <t>Actividad (activos)</t>
  </si>
  <si>
    <t xml:space="preserve">Razon circulante </t>
  </si>
  <si>
    <t>Muestra la capacidad de una empresa para cubrir sus pasivos corrientes (circulantes) con sus activos circulantes (corrientes)</t>
  </si>
  <si>
    <t>Veces</t>
  </si>
  <si>
    <t>=</t>
  </si>
  <si>
    <t xml:space="preserve">Pasivos corrientes </t>
  </si>
  <si>
    <t xml:space="preserve">Razon prueba de ácido </t>
  </si>
  <si>
    <t>Permite conocer la capacidad de una empresa para cubrir sus pasivos corrientes (circulantes) con sus activos circulantes mas líquidos.</t>
  </si>
  <si>
    <t>Razon rotación de inventarios</t>
  </si>
  <si>
    <t>Costo de la mercadería vendida</t>
  </si>
  <si>
    <t>Mide la liquidez de los inventarios de una empresa</t>
  </si>
  <si>
    <t>Inventario</t>
  </si>
  <si>
    <t>Razon periodo promedio de cobro</t>
  </si>
  <si>
    <t>días</t>
  </si>
  <si>
    <t>Mide el tiempo en que tarda una empresa para recuperar sus ventas a crédito</t>
  </si>
  <si>
    <t>Ventas anuales a crédito/360</t>
  </si>
  <si>
    <t>Razon periodo promedio de pago</t>
  </si>
  <si>
    <t>Mide la duración promedio en que se tarda en pagar una compra a crédito</t>
  </si>
  <si>
    <t>Apalancamiento (endeudamiento)</t>
  </si>
  <si>
    <t>Razon apalancamiento</t>
  </si>
  <si>
    <t xml:space="preserve">Mide la relación de pasivos a patrimonio y evalúa cuanto financian terceros en relación a los dueños </t>
  </si>
  <si>
    <t>Pasivos totales</t>
  </si>
  <si>
    <t>%</t>
  </si>
  <si>
    <t>Patrimonio Total</t>
  </si>
  <si>
    <t>Razon endeudamiento</t>
  </si>
  <si>
    <t xml:space="preserve">Mide la proporción de una empresa en la cual utiliza deudas (pasivos) para financiar sus activos </t>
  </si>
  <si>
    <t>Activos totales</t>
  </si>
  <si>
    <t>Rentabilidad</t>
  </si>
  <si>
    <t>Margen de utilidad bruta</t>
  </si>
  <si>
    <t>Utilidad bruta</t>
  </si>
  <si>
    <t>Indica el porcentaje de utilidad bruta que estan generando las ventas de una empresa</t>
  </si>
  <si>
    <t>Ventas</t>
  </si>
  <si>
    <t>Margen de utilidad neta</t>
  </si>
  <si>
    <t>Utilidad neta</t>
  </si>
  <si>
    <t>Indica el porcentaje de utilidad neta que estan generando las ventas de una empresa</t>
  </si>
  <si>
    <t xml:space="preserve">Rentabilidad sobre activos </t>
  </si>
  <si>
    <t>Mide la eficiencia total de la administración en obtener utilidades a partir de los activos disponibles de una empresa</t>
  </si>
  <si>
    <t>Activo total</t>
  </si>
  <si>
    <t xml:space="preserve">Rentabilidad sobre patrimonio </t>
  </si>
  <si>
    <t>Mide el rendimiento de la inversión de los propietarioas (dueños) Accionistas de la empresa (comunes o preferentes)</t>
  </si>
  <si>
    <t>Realice los cálculos, según la información brindada</t>
  </si>
  <si>
    <t>Usted labora en el departemento de análisis de crédito del Banco Garrotero S.A., como función principal es deber otorgar los criterios y análisis financieros de las diferentes compañías que solicitan crédito, a continuación, se presentan tres empresas para la solicitud de crédito con los estados financieros al 31 de diciembre 2024.</t>
  </si>
  <si>
    <t>En el caso de compañía A su solicitud de préstamo es por ¢350.0 millones para la expansión geográfica de sus actividades, el préstamo sería a 5 años plazo, y sus ventas se incrementan un 20%, la vida útil del nuevo edificio y los equipos en promedio sería a 10 años</t>
  </si>
  <si>
    <t>En el caso de compañía B su solicitud de préstamo es por ¢250.0 millones para la expansión de nuevos productos, el préstamo sería a 4 años plazo, y sus ventas se incrementan un 13%, la vida útil del nuevo equipo de producción sería a 6 años</t>
  </si>
  <si>
    <t>En el caso de compañía C su solicitud de préstamo es por ¢185.0 millones para capital de trabajo de corto plazo a utilizar en la operativa normal de la compañía, el préstamo sería a 1 años plazo, y sus ventas se incrementan un 12%, estos recursos se utilizarán para la compra de materia prima.</t>
  </si>
  <si>
    <t>Realice un análisis financiero basado en el análisis vertical de cada una de las compañías, estableciendo cuales fortalezas y debilidades financieras que muestra cada de las compañías, (6 PUNTOS)</t>
  </si>
  <si>
    <t>1. Prepare todo un informe financiero sobre los resultados deL análisis  horizontal, debe poner 3 puntos de análisis en cada Estado Financiero</t>
  </si>
  <si>
    <t>Interpretación Analisis Horizontal de Balances Generales:</t>
  </si>
  <si>
    <t>Interpretación Analisis Horizontal de Estados de Resultados:</t>
  </si>
  <si>
    <t>1. Según la información de los Estados Financieros, realice el ANÁLISIS HORIZONTAL. (10 PUNTOS)</t>
  </si>
  <si>
    <t>Pregunta 4</t>
  </si>
  <si>
    <t>Activos corrientes</t>
  </si>
  <si>
    <t>Pasivos corrientes</t>
  </si>
  <si>
    <t>Activos corrientes-Inventarios</t>
  </si>
  <si>
    <t>Según la información de los Estados Financieros, realice el ANÁLISIS HORIZONTAL para cada empresa. (15 PUNTOS)</t>
  </si>
  <si>
    <t>Pregunta 2) Valor 15 puntos/ 5 puntos cada escenario</t>
  </si>
  <si>
    <t>Inversiones Costa Rica al cierre de año 2025 vendió un total 2000 escritorios, por un valor total de ¢40.000.000. Las ventas fueron de crédito, el costo total fue ¢25.000.000 pagados al proveedor</t>
  </si>
  <si>
    <t>Inversiones Costa Rica al cierre de año 2025 vendió un total 2000 escritorios, por un valor total de ¢40.000.000. Las ventas fueron un 35% de contado y un 65% de crédito. Considerar que la empresa pagó al proveedor de las los escritorios, el importe del costo que fueron ¢25.000,000.</t>
  </si>
  <si>
    <t>Inversiones Costa Rica al cierre de año 2025 vendió un total 2000 escritorios, por un valor total de ¢40.000.000. Las ventas fueron un 60% de contado y un 40% de crédito.. Considerar que la empresa pagó  el 30% de crédito y 70% de contado al proveedor de las máquinas el importe del costo que fueron ¢25.000,000.</t>
  </si>
  <si>
    <t>Cálcule las Razones solicitadas, prepare el informe de análisis financiero de cada una de las empresas:</t>
  </si>
  <si>
    <t>Realice un análisis financiero basado en las razones financieras de cada una de las compañías, estableciendo cuales fortalezas y debilidades financieras que muestra cada de las compañías, (6 PUNTOS)</t>
  </si>
  <si>
    <t>Pregunta 3) Valor 20 puntos</t>
  </si>
  <si>
    <t>Pregunta 1) Valor 15  puntos</t>
  </si>
  <si>
    <t>Pregunta 4) Valor 20 puntos</t>
  </si>
  <si>
    <t>La utilidad bruta del año 2023 y el año 2024 es igual por lo tanto no tiene variaciones.</t>
  </si>
  <si>
    <t>Las ventas netas del año 2024 son 2000 dolares mas que las del año 2023 por lo cual la variacion porcentual es de un 33,33% mas que el año anterior</t>
  </si>
  <si>
    <t>En el año 2024 hubo una variacion del -3,30% menos en el gasto de operación del 2023.</t>
  </si>
  <si>
    <t>La utilidad de operación del año 2024 es 110 dolares mas que el año pasado, lo cula supone una variacion porcentual del 10,09%</t>
  </si>
  <si>
    <t>En el año 2024 hay un total de 1750 dolares en Activos circulantes, que es 550 dolares mas que el año anterior lo cual supone una variacion del 46%</t>
  </si>
  <si>
    <t>Los activos totales del año 2024 son 640 dolares mas que el año anterior por lo tanto hay una variacion del 44% en esta comparacion</t>
  </si>
  <si>
    <t>El total de pasivos circulantes del año 2024 es 400 dolares mas que en el año 2023, esto significa que hay una variacion del 46%</t>
  </si>
  <si>
    <t>La fortaleza mas grande de la empresa A es el total de activos corrientes, que es 400 dolares mas que la empresa B y 600 mas que la empresa C</t>
  </si>
  <si>
    <t>La debilidad es que esta empresa tiene 170 mas que la empresa B y 250 mas que la empresa C de Prestamo bancario L.P</t>
  </si>
  <si>
    <t>El total de pasivo es menor que el de la empresa A por 300 dolares</t>
  </si>
  <si>
    <t>Tiene un total de 250 dolares menos Prestamo bancario L.P que la Empresa A y 80 dolares menos que la empresa B</t>
  </si>
  <si>
    <t>En todos los demas rubros es menor que la empresa A</t>
  </si>
  <si>
    <t>En todos los demas rubros es menor que la empresa A y B</t>
  </si>
  <si>
    <t>Enfoque contable (Base de acumulación)</t>
  </si>
  <si>
    <t>Estado de resultados de Inversiones Costa Rica correspondiente al año que termina el 31 de diciembre 2024</t>
  </si>
  <si>
    <t>Entradas de efectivo</t>
  </si>
  <si>
    <t>menos</t>
  </si>
  <si>
    <t>Salidas de efectivo</t>
  </si>
  <si>
    <t>Flujo neto de efectivo</t>
  </si>
  <si>
    <t>Ingreso de ventas</t>
  </si>
  <si>
    <t>Costo</t>
  </si>
  <si>
    <t>Estado de resultados de Inversiones Costa Rica correspondiente al año que termina el 31 de diciembre 2025</t>
  </si>
  <si>
    <t xml:space="preserve">Ventas: </t>
  </si>
  <si>
    <t>Contado       35%</t>
  </si>
  <si>
    <t>Credito         65%</t>
  </si>
  <si>
    <t>Enfoque contable (Base de efectivo)</t>
  </si>
  <si>
    <t>En este caso la utilidad neta es igual que el anterior, pero a lo que refiere a flujo de efectivo es un fracaso ya que en este entra solo 14 000 000,00 millones y sale un total de 25 000 000,00 por lo tanto no tiene tiene las entradas de efectivo adecuadas para cubrir el gasto que se hizo por la compra de los escritorios</t>
  </si>
  <si>
    <t>Contado</t>
  </si>
  <si>
    <t>Credito</t>
  </si>
  <si>
    <t>Costos:</t>
  </si>
  <si>
    <t>En este caso Inversiones Costa Rica es rentable ya que en la entrada de efectivo es bastante mayor que la salida con lo cual este tuvo una liquidez de 6 500 000,00 colones</t>
  </si>
  <si>
    <t>Esta opeeracion es bastante rentable ya que con ella se consiguio 15 000 000,00 colones de utilidad neta de todos escritorios que vendio, pero en terminos de flujo de efectivo fracaza ya que queda con un saldo de 25 000 000,00 colones en cuentas por cobrar pendientes. Sin la entrada de efectivo debida para cubrir las obligaciones, la empresa no sobrevive sin importar su utilidad neta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</si>
</sst>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540A]* #,##0.00_ ;_-[$$-540A]* \-#,##0.00\ ;_-[$$-540A]* &quot;-&quot;??_ ;_-@_ "/>
    <numFmt numFmtId="165" formatCode="_-* #,##0_-;\-* #,##0_-;_-* &quot;-&quot;??_-;_-@_-"/>
    <numFmt numFmtId="166" formatCode="_-* #,##0.0_-;\-* #,##0.0_-;_-* &quot;-&quot;??_-;_-@_-"/>
    <numFmt numFmtId="167" formatCode="0.0%"/>
    <numFmt numFmtId="168" formatCode="_-[$$-409]* #,##0.00_ ;_-[$$-409]* \-#,##0.00\ ;_-[$$-409]* &quot;-&quot;??_ ;_-@_ "/>
    <numFmt numFmtId="169" formatCode="_-[$$-5C0A]* #,##0.00_-;\-[$$-5C0A]* #,##0.00_-;_-[$$-5C0A]* &quot;-&quot;??_-;_-@_-"/>
  </numFmts>
  <fonts count="35" x14ac:knownFonts="1">
    <font>
      <sz val="11"/>
      <color theme="1"/>
      <name val="Aptos Narrow"/>
      <family val="2"/>
      <scheme val="minor"/>
    </font>
    <font>
      <sz val="11"/>
      <color theme="1"/>
      <name val="Aptos Narrow"/>
      <family val="2"/>
      <scheme val="minor"/>
    </font>
    <font>
      <sz val="11"/>
      <color rgb="FF006100"/>
      <name val="Aptos Narrow"/>
      <family val="2"/>
      <scheme val="minor"/>
    </font>
    <font>
      <b/>
      <sz val="12"/>
      <color rgb="FF000000"/>
      <name val="Arial Nova"/>
      <family val="2"/>
    </font>
    <font>
      <sz val="12"/>
      <color theme="1"/>
      <name val="Arial Nova"/>
      <family val="2"/>
    </font>
    <font>
      <b/>
      <sz val="12"/>
      <color theme="1"/>
      <name val="Arial Nova"/>
      <family val="2"/>
    </font>
    <font>
      <sz val="12"/>
      <color rgb="FF0000CC"/>
      <name val="Arial Nova"/>
      <family val="2"/>
    </font>
    <font>
      <sz val="11"/>
      <color theme="1"/>
      <name val="Arial Nova"/>
      <family val="2"/>
    </font>
    <font>
      <b/>
      <sz val="11"/>
      <color theme="1"/>
      <name val="Arial Nova"/>
      <family val="2"/>
    </font>
    <font>
      <sz val="11"/>
      <color rgb="FF000000"/>
      <name val="Arial Nova"/>
      <family val="2"/>
    </font>
    <font>
      <sz val="11"/>
      <name val="Arial Nova"/>
      <family val="2"/>
    </font>
    <font>
      <b/>
      <i/>
      <sz val="11"/>
      <color theme="1"/>
      <name val="Arial Nova"/>
      <family val="2"/>
    </font>
    <font>
      <b/>
      <sz val="11"/>
      <name val="Arial Nova"/>
      <family val="2"/>
    </font>
    <font>
      <sz val="11"/>
      <color rgb="FFFF0000"/>
      <name val="Arial Nova"/>
      <family val="2"/>
    </font>
    <font>
      <b/>
      <sz val="14"/>
      <color rgb="FF0000CC"/>
      <name val="Arial Nova"/>
      <family val="2"/>
    </font>
    <font>
      <b/>
      <sz val="11"/>
      <color rgb="FF000000"/>
      <name val="Arial Nova"/>
      <family val="2"/>
    </font>
    <font>
      <sz val="12"/>
      <color rgb="FF000000"/>
      <name val="Arial Nova"/>
      <family val="2"/>
    </font>
    <font>
      <sz val="12"/>
      <name val="Arial Nova"/>
      <family val="2"/>
    </font>
    <font>
      <sz val="14"/>
      <color rgb="FF000000"/>
      <name val="Times New Roman"/>
      <family val="1"/>
    </font>
    <font>
      <sz val="12"/>
      <color rgb="FFFF0000"/>
      <name val="Arial Nova"/>
      <family val="2"/>
    </font>
    <font>
      <b/>
      <sz val="12"/>
      <name val="Arial Nova"/>
      <family val="2"/>
    </font>
    <font>
      <sz val="11"/>
      <color rgb="FF9C0006"/>
      <name val="Aptos Narrow"/>
      <family val="2"/>
      <scheme val="minor"/>
    </font>
    <font>
      <sz val="10"/>
      <name val="Arial"/>
    </font>
    <font>
      <b/>
      <sz val="14"/>
      <name val="Arial Nova"/>
      <family val="2"/>
    </font>
    <font>
      <b/>
      <sz val="11"/>
      <color rgb="FF0000CC"/>
      <name val="Arial Nova"/>
      <family val="2"/>
    </font>
    <font>
      <sz val="11"/>
      <color rgb="FF0000CC"/>
      <name val="Arial Nova"/>
      <family val="2"/>
    </font>
    <font>
      <b/>
      <i/>
      <sz val="11"/>
      <color rgb="FF000000"/>
      <name val="Arial Nova"/>
      <family val="2"/>
    </font>
    <font>
      <b/>
      <sz val="16"/>
      <color theme="1"/>
      <name val="Arial Nova"/>
      <family val="2"/>
    </font>
    <font>
      <sz val="10"/>
      <name val="Arial"/>
      <family val="2"/>
    </font>
    <font>
      <b/>
      <sz val="24"/>
      <color theme="1"/>
      <name val="Arial Nova"/>
      <family val="2"/>
    </font>
    <font>
      <b/>
      <sz val="14"/>
      <color theme="1"/>
      <name val="Arial Nova"/>
      <family val="2"/>
    </font>
    <font>
      <sz val="12"/>
      <color theme="1"/>
      <name val="Arial Nova"/>
    </font>
    <font>
      <b/>
      <sz val="12"/>
      <color theme="1"/>
      <name val="Arial Nova"/>
    </font>
    <font>
      <b/>
      <sz val="12"/>
      <color rgb="FFFF0000"/>
      <name val="Arial Nova"/>
      <family val="2"/>
    </font>
    <font>
      <sz val="12"/>
      <color theme="9"/>
      <name val="Arial Nova"/>
      <family val="2"/>
    </font>
  </fonts>
  <fills count="17">
    <fill>
      <patternFill patternType="none"/>
    </fill>
    <fill>
      <patternFill patternType="gray125"/>
    </fill>
    <fill>
      <patternFill patternType="solid">
        <fgColor rgb="FFC6EFCE"/>
      </patternFill>
    </fill>
    <fill>
      <patternFill patternType="solid">
        <fgColor rgb="FFFFFFCC"/>
      </patternFill>
    </fill>
    <fill>
      <patternFill patternType="solid">
        <fgColor theme="7" tint="0.59999389629810485"/>
        <bgColor indexed="65"/>
      </patternFill>
    </fill>
    <fill>
      <patternFill patternType="solid">
        <fgColor rgb="FFFFFF00"/>
        <bgColor indexed="64"/>
      </patternFill>
    </fill>
    <fill>
      <patternFill patternType="solid">
        <fgColor rgb="FFCCCCFF"/>
        <bgColor indexed="64"/>
      </patternFill>
    </fill>
    <fill>
      <patternFill patternType="solid">
        <fgColor rgb="FFCCFF99"/>
        <bgColor indexed="64"/>
      </patternFill>
    </fill>
    <fill>
      <patternFill patternType="solid">
        <fgColor rgb="FFCCFFFF"/>
        <bgColor indexed="64"/>
      </patternFill>
    </fill>
    <fill>
      <patternFill patternType="solid">
        <fgColor rgb="FFCCFFCC"/>
        <bgColor indexed="64"/>
      </patternFill>
    </fill>
    <fill>
      <patternFill patternType="solid">
        <fgColor rgb="FFFFC7CE"/>
      </patternFill>
    </fill>
    <fill>
      <patternFill patternType="solid">
        <fgColor rgb="FFCCECFF"/>
        <bgColor indexed="64"/>
      </patternFill>
    </fill>
    <fill>
      <patternFill patternType="solid">
        <fgColor rgb="FFFF99CC"/>
        <bgColor indexed="64"/>
      </patternFill>
    </fill>
    <fill>
      <patternFill patternType="solid">
        <fgColor rgb="FFFFCCFF"/>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s>
  <borders count="46">
    <border>
      <left/>
      <right/>
      <top/>
      <bottom/>
      <diagonal/>
    </border>
    <border>
      <left style="thin">
        <color rgb="FFB2B2B2"/>
      </left>
      <right style="thin">
        <color rgb="FFB2B2B2"/>
      </right>
      <top style="thin">
        <color rgb="FFB2B2B2"/>
      </top>
      <bottom style="thin">
        <color rgb="FFB2B2B2"/>
      </bottom>
      <diagonal/>
    </border>
    <border>
      <left/>
      <right/>
      <top style="thin">
        <color rgb="FF000000"/>
      </top>
      <bottom style="double">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auto="1"/>
      </left>
      <right style="thin">
        <color indexed="64"/>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double">
        <color indexed="64"/>
      </bottom>
      <diagonal/>
    </border>
    <border>
      <left style="medium">
        <color indexed="64"/>
      </left>
      <right/>
      <top style="thin">
        <color auto="1"/>
      </top>
      <bottom/>
      <diagonal/>
    </border>
  </borders>
  <cellStyleXfs count="15">
    <xf numFmtId="0" fontId="0" fillId="0" borderId="0"/>
    <xf numFmtId="43"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1" fillId="3" borderId="1" applyNumberFormat="0" applyFont="0" applyAlignment="0" applyProtection="0"/>
    <xf numFmtId="0" fontId="1" fillId="4" borderId="0" applyNumberFormat="0" applyBorder="0" applyAlignment="0" applyProtection="0"/>
    <xf numFmtId="0" fontId="1" fillId="0" borderId="0"/>
    <xf numFmtId="9" fontId="1" fillId="0" borderId="0" applyFont="0" applyFill="0" applyBorder="0" applyAlignment="0" applyProtection="0"/>
    <xf numFmtId="41" fontId="1" fillId="0" borderId="0" applyFont="0" applyFill="0" applyBorder="0" applyAlignment="0" applyProtection="0"/>
    <xf numFmtId="0" fontId="21" fillId="10" borderId="0" applyNumberFormat="0" applyBorder="0" applyAlignment="0" applyProtection="0"/>
    <xf numFmtId="0" fontId="22" fillId="0" borderId="0"/>
    <xf numFmtId="9" fontId="28" fillId="0" borderId="0" applyFont="0" applyFill="0" applyBorder="0" applyAlignment="0" applyProtection="0"/>
    <xf numFmtId="44" fontId="1" fillId="0" borderId="0" applyFont="0" applyFill="0" applyBorder="0" applyAlignment="0" applyProtection="0"/>
  </cellStyleXfs>
  <cellXfs count="421">
    <xf numFmtId="0" fontId="0" fillId="0" borderId="0" xfId="0"/>
    <xf numFmtId="0" fontId="4" fillId="0" borderId="0" xfId="0" applyFont="1"/>
    <xf numFmtId="0" fontId="3" fillId="0" borderId="0" xfId="0" applyFont="1" applyAlignment="1">
      <alignment horizontal="center" vertical="center"/>
    </xf>
    <xf numFmtId="0" fontId="5" fillId="0" borderId="0" xfId="0" applyFont="1"/>
    <xf numFmtId="9" fontId="4" fillId="0" borderId="0" xfId="0" applyNumberFormat="1" applyFont="1"/>
    <xf numFmtId="42" fontId="4" fillId="0" borderId="0" xfId="3" applyFont="1"/>
    <xf numFmtId="42" fontId="4" fillId="0" borderId="14" xfId="3" applyFont="1" applyBorder="1"/>
    <xf numFmtId="42" fontId="6" fillId="0" borderId="0" xfId="3" applyFont="1"/>
    <xf numFmtId="164" fontId="4" fillId="0" borderId="0" xfId="0" applyNumberFormat="1" applyFont="1"/>
    <xf numFmtId="42" fontId="4" fillId="0" borderId="14" xfId="0" applyNumberFormat="1" applyFont="1" applyBorder="1"/>
    <xf numFmtId="0" fontId="7" fillId="0" borderId="0" xfId="0" applyFont="1"/>
    <xf numFmtId="0" fontId="8" fillId="0" borderId="0" xfId="0" applyFont="1" applyAlignment="1">
      <alignment horizontal="center"/>
    </xf>
    <xf numFmtId="0" fontId="8" fillId="0" borderId="0" xfId="0" applyFont="1" applyAlignment="1">
      <alignment horizontal="left"/>
    </xf>
    <xf numFmtId="0" fontId="7" fillId="0" borderId="0" xfId="0" applyFont="1" applyAlignment="1">
      <alignment horizontal="center"/>
    </xf>
    <xf numFmtId="0" fontId="7" fillId="0" borderId="0" xfId="0" applyFont="1" applyAlignment="1">
      <alignment horizontal="left"/>
    </xf>
    <xf numFmtId="0" fontId="8" fillId="0" borderId="0" xfId="0" applyFont="1"/>
    <xf numFmtId="10" fontId="8" fillId="0" borderId="0" xfId="4" applyNumberFormat="1" applyFont="1" applyFill="1" applyBorder="1" applyAlignment="1">
      <alignment horizontal="left"/>
    </xf>
    <xf numFmtId="10" fontId="8" fillId="0" borderId="0" xfId="4" applyNumberFormat="1" applyFont="1" applyFill="1" applyAlignment="1">
      <alignment horizontal="left"/>
    </xf>
    <xf numFmtId="10" fontId="7" fillId="0" borderId="0" xfId="4" applyNumberFormat="1" applyFont="1" applyFill="1" applyBorder="1" applyAlignment="1">
      <alignment horizontal="left"/>
    </xf>
    <xf numFmtId="10" fontId="7" fillId="0" borderId="0" xfId="4" applyNumberFormat="1" applyFont="1" applyFill="1" applyAlignment="1">
      <alignment horizontal="left"/>
    </xf>
    <xf numFmtId="0" fontId="7" fillId="0" borderId="16" xfId="0" applyFont="1" applyBorder="1"/>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8" fillId="6" borderId="19" xfId="0" applyFont="1" applyFill="1" applyBorder="1"/>
    <xf numFmtId="41" fontId="8" fillId="0" borderId="19" xfId="2" applyFont="1" applyBorder="1"/>
    <xf numFmtId="41" fontId="8" fillId="0" borderId="20" xfId="2" applyFont="1" applyBorder="1"/>
    <xf numFmtId="41" fontId="8" fillId="0" borderId="19" xfId="0" applyNumberFormat="1" applyFont="1" applyBorder="1"/>
    <xf numFmtId="10" fontId="8" fillId="0" borderId="0" xfId="4" applyNumberFormat="1" applyFont="1" applyFill="1" applyBorder="1" applyAlignment="1">
      <alignment horizontal="center"/>
    </xf>
    <xf numFmtId="10" fontId="8" fillId="0" borderId="0" xfId="4" applyNumberFormat="1" applyFont="1" applyFill="1"/>
    <xf numFmtId="0" fontId="9" fillId="0" borderId="19" xfId="0" applyFont="1" applyBorder="1"/>
    <xf numFmtId="41" fontId="7" fillId="0" borderId="19" xfId="2" applyFont="1" applyBorder="1"/>
    <xf numFmtId="41" fontId="7" fillId="0" borderId="20" xfId="2" applyFont="1" applyBorder="1"/>
    <xf numFmtId="165" fontId="7" fillId="0" borderId="0" xfId="0" applyNumberFormat="1" applyFont="1"/>
    <xf numFmtId="41" fontId="8" fillId="0" borderId="16" xfId="2" applyFont="1" applyBorder="1"/>
    <xf numFmtId="41" fontId="8" fillId="0" borderId="22" xfId="2" applyFont="1" applyBorder="1"/>
    <xf numFmtId="10" fontId="8" fillId="0" borderId="0" xfId="4" applyNumberFormat="1" applyFont="1"/>
    <xf numFmtId="10" fontId="7" fillId="0" borderId="0" xfId="4" applyNumberFormat="1" applyFont="1"/>
    <xf numFmtId="165" fontId="8" fillId="0" borderId="0" xfId="0" applyNumberFormat="1" applyFont="1"/>
    <xf numFmtId="10" fontId="7" fillId="0" borderId="0" xfId="4" applyNumberFormat="1" applyFont="1" applyFill="1" applyBorder="1"/>
    <xf numFmtId="41" fontId="8" fillId="0" borderId="25" xfId="2" applyFont="1" applyBorder="1"/>
    <xf numFmtId="41" fontId="12" fillId="0" borderId="27" xfId="2" applyFont="1" applyBorder="1"/>
    <xf numFmtId="10" fontId="8" fillId="0" borderId="0" xfId="4" applyNumberFormat="1" applyFont="1" applyFill="1" applyBorder="1"/>
    <xf numFmtId="165" fontId="13" fillId="0" borderId="0" xfId="0" applyNumberFormat="1" applyFont="1"/>
    <xf numFmtId="41" fontId="12" fillId="0" borderId="22" xfId="2" applyFont="1" applyBorder="1"/>
    <xf numFmtId="165" fontId="8" fillId="0" borderId="27" xfId="0" applyNumberFormat="1" applyFont="1" applyBorder="1"/>
    <xf numFmtId="0" fontId="9" fillId="0" borderId="23" xfId="0" applyFont="1" applyBorder="1"/>
    <xf numFmtId="0" fontId="7" fillId="0" borderId="20" xfId="0" applyFont="1" applyBorder="1"/>
    <xf numFmtId="9" fontId="7" fillId="0" borderId="0" xfId="0" applyNumberFormat="1" applyFont="1" applyAlignment="1">
      <alignment horizontal="center"/>
    </xf>
    <xf numFmtId="0" fontId="8" fillId="0" borderId="0" xfId="0" applyFont="1" applyAlignment="1">
      <alignment vertical="center" wrapText="1"/>
    </xf>
    <xf numFmtId="165" fontId="8" fillId="7" borderId="28" xfId="1" applyNumberFormat="1" applyFont="1" applyFill="1" applyBorder="1"/>
    <xf numFmtId="165" fontId="7" fillId="0" borderId="0" xfId="1" applyNumberFormat="1" applyFont="1" applyFill="1" applyBorder="1"/>
    <xf numFmtId="9" fontId="7" fillId="0" borderId="0" xfId="4" applyFont="1" applyFill="1" applyBorder="1"/>
    <xf numFmtId="165" fontId="10" fillId="0" borderId="0" xfId="1" applyNumberFormat="1" applyFont="1" applyFill="1" applyBorder="1"/>
    <xf numFmtId="165" fontId="8" fillId="0" borderId="0" xfId="1" applyNumberFormat="1" applyFont="1" applyFill="1" applyBorder="1"/>
    <xf numFmtId="165" fontId="11" fillId="0" borderId="0" xfId="1" applyNumberFormat="1" applyFont="1" applyFill="1" applyBorder="1"/>
    <xf numFmtId="9" fontId="8" fillId="0" borderId="0" xfId="4" applyFont="1" applyFill="1" applyBorder="1"/>
    <xf numFmtId="165" fontId="8" fillId="8" borderId="27" xfId="1" applyNumberFormat="1" applyFont="1" applyFill="1" applyBorder="1"/>
    <xf numFmtId="9" fontId="7" fillId="0" borderId="0" xfId="0" applyNumberFormat="1" applyFont="1"/>
    <xf numFmtId="10" fontId="8" fillId="0" borderId="0" xfId="0" applyNumberFormat="1" applyFont="1"/>
    <xf numFmtId="9" fontId="8" fillId="0" borderId="0" xfId="0" applyNumberFormat="1" applyFont="1"/>
    <xf numFmtId="0" fontId="9" fillId="0" borderId="0" xfId="0" applyFont="1"/>
    <xf numFmtId="0" fontId="14" fillId="0" borderId="0" xfId="6" applyFont="1" applyFill="1" applyBorder="1" applyAlignment="1"/>
    <xf numFmtId="0" fontId="15" fillId="0" borderId="0" xfId="0" applyFont="1"/>
    <xf numFmtId="0" fontId="7" fillId="0" borderId="0" xfId="6" applyFont="1" applyFill="1" applyBorder="1" applyAlignment="1">
      <alignment wrapText="1"/>
    </xf>
    <xf numFmtId="0" fontId="8" fillId="0" borderId="0" xfId="0" applyFont="1" applyAlignment="1">
      <alignment vertical="center"/>
    </xf>
    <xf numFmtId="9" fontId="8" fillId="0" borderId="0" xfId="4" applyFont="1" applyBorder="1"/>
    <xf numFmtId="10" fontId="7" fillId="0" borderId="10" xfId="4" applyNumberFormat="1" applyFont="1" applyBorder="1"/>
    <xf numFmtId="0" fontId="15" fillId="8" borderId="0" xfId="0" applyFont="1" applyFill="1"/>
    <xf numFmtId="0" fontId="7" fillId="0" borderId="9" xfId="0" applyFont="1" applyBorder="1"/>
    <xf numFmtId="0" fontId="16" fillId="0" borderId="0" xfId="0" applyFont="1"/>
    <xf numFmtId="0" fontId="4" fillId="0" borderId="0" xfId="0" applyFont="1" applyAlignment="1">
      <alignment wrapText="1"/>
    </xf>
    <xf numFmtId="0" fontId="18" fillId="0" borderId="0" xfId="0" applyFont="1"/>
    <xf numFmtId="42" fontId="19" fillId="0" borderId="0" xfId="3" applyFont="1"/>
    <xf numFmtId="0" fontId="7" fillId="0" borderId="0" xfId="12" applyFont="1"/>
    <xf numFmtId="0" fontId="23" fillId="0" borderId="0" xfId="12" applyFont="1" applyAlignment="1">
      <alignment horizontal="center" wrapText="1"/>
    </xf>
    <xf numFmtId="0" fontId="12" fillId="0" borderId="0" xfId="12" applyFont="1" applyAlignment="1">
      <alignment horizontal="center" vertical="center"/>
    </xf>
    <xf numFmtId="0" fontId="8" fillId="0" borderId="0" xfId="12" applyFont="1"/>
    <xf numFmtId="0" fontId="5" fillId="0" borderId="6" xfId="12" applyFont="1" applyBorder="1"/>
    <xf numFmtId="0" fontId="7" fillId="0" borderId="7" xfId="12" applyFont="1" applyBorder="1"/>
    <xf numFmtId="0" fontId="7" fillId="0" borderId="8" xfId="12" applyFont="1" applyBorder="1"/>
    <xf numFmtId="0" fontId="5" fillId="0" borderId="9" xfId="12" applyFont="1" applyBorder="1"/>
    <xf numFmtId="0" fontId="7" fillId="0" borderId="10" xfId="12" applyFont="1" applyBorder="1"/>
    <xf numFmtId="0" fontId="7" fillId="0" borderId="9" xfId="12" applyFont="1" applyBorder="1"/>
    <xf numFmtId="0" fontId="8" fillId="0" borderId="10" xfId="12" applyFont="1" applyBorder="1"/>
    <xf numFmtId="0" fontId="8" fillId="9" borderId="9" xfId="12" applyFont="1" applyFill="1" applyBorder="1"/>
    <xf numFmtId="0" fontId="7" fillId="9" borderId="0" xfId="12" applyFont="1" applyFill="1"/>
    <xf numFmtId="0" fontId="7" fillId="9" borderId="10" xfId="12" applyFont="1" applyFill="1" applyBorder="1"/>
    <xf numFmtId="0" fontId="7" fillId="0" borderId="0" xfId="12" applyFont="1" applyAlignment="1">
      <alignment horizontal="center"/>
    </xf>
    <xf numFmtId="0" fontId="7" fillId="0" borderId="10" xfId="12" applyFont="1" applyBorder="1" applyAlignment="1">
      <alignment horizontal="center"/>
    </xf>
    <xf numFmtId="0" fontId="13" fillId="0" borderId="10" xfId="12" applyFont="1" applyBorder="1" applyAlignment="1">
      <alignment horizontal="center"/>
    </xf>
    <xf numFmtId="0" fontId="8" fillId="0" borderId="10" xfId="12" applyFont="1" applyBorder="1" applyAlignment="1">
      <alignment horizontal="center"/>
    </xf>
    <xf numFmtId="0" fontId="11" fillId="0" borderId="9" xfId="12" applyFont="1" applyBorder="1"/>
    <xf numFmtId="0" fontId="11" fillId="0" borderId="0" xfId="12" applyFont="1"/>
    <xf numFmtId="0" fontId="11" fillId="0" borderId="10" xfId="12" applyFont="1" applyBorder="1"/>
    <xf numFmtId="0" fontId="8" fillId="9" borderId="0" xfId="12" applyFont="1" applyFill="1"/>
    <xf numFmtId="0" fontId="8" fillId="9" borderId="10" xfId="12" applyFont="1" applyFill="1" applyBorder="1"/>
    <xf numFmtId="0" fontId="8" fillId="6" borderId="9" xfId="12" applyFont="1" applyFill="1" applyBorder="1"/>
    <xf numFmtId="0" fontId="7" fillId="6" borderId="0" xfId="12" applyFont="1" applyFill="1"/>
    <xf numFmtId="0" fontId="7" fillId="6" borderId="10" xfId="12" applyFont="1" applyFill="1" applyBorder="1"/>
    <xf numFmtId="0" fontId="8" fillId="8" borderId="12" xfId="12" applyFont="1" applyFill="1" applyBorder="1" applyAlignment="1">
      <alignment horizontal="center"/>
    </xf>
    <xf numFmtId="0" fontId="8" fillId="8" borderId="13" xfId="12" applyFont="1" applyFill="1" applyBorder="1" applyAlignment="1">
      <alignment horizontal="center"/>
    </xf>
    <xf numFmtId="0" fontId="26" fillId="0" borderId="9" xfId="12" applyFont="1" applyBorder="1"/>
    <xf numFmtId="0" fontId="15" fillId="6" borderId="9" xfId="12" applyFont="1" applyFill="1" applyBorder="1"/>
    <xf numFmtId="0" fontId="8" fillId="6" borderId="0" xfId="12" applyFont="1" applyFill="1"/>
    <xf numFmtId="0" fontId="8" fillId="6" borderId="10" xfId="12" applyFont="1" applyFill="1" applyBorder="1"/>
    <xf numFmtId="0" fontId="15" fillId="0" borderId="9" xfId="12" applyFont="1" applyBorder="1"/>
    <xf numFmtId="0" fontId="15" fillId="12" borderId="9" xfId="12" applyFont="1" applyFill="1" applyBorder="1" applyAlignment="1">
      <alignment horizontal="justify" vertical="center"/>
    </xf>
    <xf numFmtId="0" fontId="7" fillId="12" borderId="0" xfId="12" applyFont="1" applyFill="1"/>
    <xf numFmtId="0" fontId="7" fillId="12" borderId="10" xfId="12" applyFont="1" applyFill="1" applyBorder="1"/>
    <xf numFmtId="0" fontId="9" fillId="0" borderId="9" xfId="12" applyFont="1" applyBorder="1"/>
    <xf numFmtId="0" fontId="15" fillId="12" borderId="9" xfId="12" applyFont="1" applyFill="1" applyBorder="1"/>
    <xf numFmtId="0" fontId="8" fillId="12" borderId="0" xfId="12" applyFont="1" applyFill="1"/>
    <xf numFmtId="0" fontId="8" fillId="12" borderId="10" xfId="12" applyFont="1" applyFill="1" applyBorder="1"/>
    <xf numFmtId="0" fontId="15" fillId="7" borderId="11" xfId="12" applyFont="1" applyFill="1" applyBorder="1"/>
    <xf numFmtId="0" fontId="8" fillId="7" borderId="12" xfId="12" applyFont="1" applyFill="1" applyBorder="1"/>
    <xf numFmtId="0" fontId="8" fillId="7" borderId="13" xfId="12" applyFont="1" applyFill="1" applyBorder="1"/>
    <xf numFmtId="0" fontId="22" fillId="0" borderId="0" xfId="12"/>
    <xf numFmtId="0" fontId="7" fillId="0" borderId="42" xfId="12" applyFont="1" applyBorder="1"/>
    <xf numFmtId="0" fontId="7" fillId="0" borderId="16" xfId="12" applyFont="1" applyBorder="1"/>
    <xf numFmtId="0" fontId="7" fillId="0" borderId="17" xfId="12" applyFont="1" applyBorder="1"/>
    <xf numFmtId="0" fontId="7" fillId="0" borderId="45" xfId="12" applyFont="1" applyBorder="1"/>
    <xf numFmtId="0" fontId="7" fillId="0" borderId="31" xfId="12" applyFont="1" applyBorder="1" applyAlignment="1">
      <alignment horizontal="center"/>
    </xf>
    <xf numFmtId="0" fontId="8" fillId="0" borderId="19" xfId="12" applyFont="1" applyBorder="1"/>
    <xf numFmtId="165" fontId="7" fillId="0" borderId="42" xfId="12" applyNumberFormat="1" applyFont="1" applyBorder="1" applyAlignment="1">
      <alignment horizontal="center"/>
    </xf>
    <xf numFmtId="43" fontId="25" fillId="0" borderId="10" xfId="11" applyNumberFormat="1" applyFont="1" applyFill="1" applyBorder="1" applyAlignment="1">
      <alignment horizontal="center"/>
    </xf>
    <xf numFmtId="165" fontId="7" fillId="0" borderId="9" xfId="12" applyNumberFormat="1" applyFont="1" applyBorder="1" applyAlignment="1">
      <alignment horizontal="center"/>
    </xf>
    <xf numFmtId="0" fontId="25" fillId="0" borderId="10" xfId="12" applyFont="1" applyBorder="1" applyAlignment="1">
      <alignment horizontal="center"/>
    </xf>
    <xf numFmtId="0" fontId="7" fillId="0" borderId="9" xfId="12" applyFont="1" applyBorder="1" applyAlignment="1">
      <alignment horizontal="center"/>
    </xf>
    <xf numFmtId="0" fontId="7" fillId="0" borderId="19" xfId="12" applyFont="1" applyBorder="1"/>
    <xf numFmtId="0" fontId="8" fillId="0" borderId="19" xfId="12" applyFont="1" applyBorder="1" applyAlignment="1">
      <alignment vertical="center"/>
    </xf>
    <xf numFmtId="41" fontId="7" fillId="0" borderId="42" xfId="12" applyNumberFormat="1" applyFont="1" applyBorder="1"/>
    <xf numFmtId="165" fontId="7" fillId="0" borderId="9" xfId="12" applyNumberFormat="1" applyFont="1" applyBorder="1"/>
    <xf numFmtId="41" fontId="7" fillId="0" borderId="9" xfId="12" applyNumberFormat="1" applyFont="1" applyBorder="1"/>
    <xf numFmtId="166" fontId="7" fillId="0" borderId="9" xfId="12" applyNumberFormat="1" applyFont="1" applyBorder="1"/>
    <xf numFmtId="0" fontId="7" fillId="0" borderId="14" xfId="12" applyFont="1" applyBorder="1"/>
    <xf numFmtId="0" fontId="25" fillId="0" borderId="30" xfId="12" applyFont="1" applyBorder="1" applyAlignment="1">
      <alignment horizontal="center"/>
    </xf>
    <xf numFmtId="0" fontId="25" fillId="0" borderId="31" xfId="12" applyFont="1" applyBorder="1" applyAlignment="1">
      <alignment horizontal="center"/>
    </xf>
    <xf numFmtId="9" fontId="25" fillId="0" borderId="10" xfId="13" applyFont="1" applyFill="1" applyBorder="1" applyAlignment="1">
      <alignment horizontal="center"/>
    </xf>
    <xf numFmtId="165" fontId="7" fillId="0" borderId="42" xfId="12" applyNumberFormat="1" applyFont="1" applyBorder="1"/>
    <xf numFmtId="9" fontId="25" fillId="0" borderId="10" xfId="11" applyNumberFormat="1" applyFont="1" applyFill="1" applyBorder="1" applyAlignment="1">
      <alignment horizontal="center"/>
    </xf>
    <xf numFmtId="0" fontId="30" fillId="0" borderId="16" xfId="12" applyFont="1" applyBorder="1"/>
    <xf numFmtId="167" fontId="25" fillId="0" borderId="10" xfId="11" applyNumberFormat="1" applyFont="1" applyFill="1" applyBorder="1" applyAlignment="1">
      <alignment horizontal="center"/>
    </xf>
    <xf numFmtId="0" fontId="7" fillId="0" borderId="11" xfId="12" applyFont="1" applyBorder="1"/>
    <xf numFmtId="0" fontId="7" fillId="0" borderId="12" xfId="12" applyFont="1" applyBorder="1"/>
    <xf numFmtId="0" fontId="7" fillId="0" borderId="13" xfId="12" applyFont="1" applyBorder="1" applyAlignment="1">
      <alignment horizontal="center"/>
    </xf>
    <xf numFmtId="0" fontId="5" fillId="0" borderId="0" xfId="0" applyFont="1" applyAlignment="1">
      <alignment horizontal="left"/>
    </xf>
    <xf numFmtId="0" fontId="12" fillId="0" borderId="0" xfId="0" applyFont="1" applyAlignment="1">
      <alignment horizontal="center" vertical="center"/>
    </xf>
    <xf numFmtId="0" fontId="7" fillId="0" borderId="0" xfId="0" applyFont="1" applyAlignment="1">
      <alignment vertical="center" wrapText="1"/>
    </xf>
    <xf numFmtId="0" fontId="24" fillId="0" borderId="0" xfId="0" applyFont="1" applyAlignment="1">
      <alignment horizontal="center" vertical="center"/>
    </xf>
    <xf numFmtId="0" fontId="24"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8" fillId="9" borderId="9" xfId="0" applyFont="1" applyFill="1" applyBorder="1"/>
    <xf numFmtId="0" fontId="7" fillId="9" borderId="0" xfId="0" applyFont="1" applyFill="1"/>
    <xf numFmtId="0" fontId="7" fillId="9" borderId="10" xfId="0" applyFont="1" applyFill="1" applyBorder="1"/>
    <xf numFmtId="0" fontId="11" fillId="0" borderId="9" xfId="0" applyFont="1" applyBorder="1"/>
    <xf numFmtId="0" fontId="11" fillId="0" borderId="0" xfId="0" applyFont="1"/>
    <xf numFmtId="0" fontId="8" fillId="9" borderId="0" xfId="0" applyFont="1" applyFill="1"/>
    <xf numFmtId="0" fontId="8" fillId="6" borderId="9" xfId="0" applyFont="1" applyFill="1" applyBorder="1"/>
    <xf numFmtId="0" fontId="7" fillId="6" borderId="0" xfId="0" applyFont="1" applyFill="1"/>
    <xf numFmtId="0" fontId="8" fillId="6" borderId="0" xfId="0" applyFont="1" applyFill="1"/>
    <xf numFmtId="0" fontId="7" fillId="12" borderId="0" xfId="0" applyFont="1" applyFill="1"/>
    <xf numFmtId="0" fontId="8" fillId="12" borderId="0" xfId="0" applyFont="1" applyFill="1"/>
    <xf numFmtId="0" fontId="8" fillId="0" borderId="0" xfId="0" applyFont="1" applyAlignment="1">
      <alignment horizontal="center" vertical="center"/>
    </xf>
    <xf numFmtId="0" fontId="8" fillId="0" borderId="0" xfId="0" applyFont="1" applyAlignment="1">
      <alignment horizontal="left" wrapText="1"/>
    </xf>
    <xf numFmtId="0" fontId="27" fillId="0" borderId="0" xfId="0" applyFont="1"/>
    <xf numFmtId="0" fontId="7" fillId="9" borderId="9" xfId="0" applyFont="1" applyFill="1" applyBorder="1"/>
    <xf numFmtId="10" fontId="7" fillId="0" borderId="0" xfId="4" applyNumberFormat="1" applyFont="1" applyBorder="1"/>
    <xf numFmtId="10" fontId="7" fillId="0" borderId="30" xfId="4" applyNumberFormat="1" applyFont="1" applyBorder="1"/>
    <xf numFmtId="10" fontId="7" fillId="0" borderId="14" xfId="4" applyNumberFormat="1" applyFont="1" applyBorder="1"/>
    <xf numFmtId="0" fontId="7" fillId="0" borderId="42" xfId="0" applyFont="1" applyBorder="1"/>
    <xf numFmtId="10" fontId="8" fillId="0" borderId="10" xfId="4" applyNumberFormat="1" applyFont="1" applyBorder="1"/>
    <xf numFmtId="10" fontId="8" fillId="0" borderId="0" xfId="4" applyNumberFormat="1" applyFont="1" applyBorder="1"/>
    <xf numFmtId="0" fontId="11" fillId="0" borderId="43" xfId="0" applyFont="1" applyBorder="1"/>
    <xf numFmtId="0" fontId="11" fillId="0" borderId="42" xfId="0" applyFont="1" applyBorder="1"/>
    <xf numFmtId="10" fontId="7" fillId="9" borderId="0" xfId="4" applyNumberFormat="1" applyFont="1" applyFill="1" applyBorder="1"/>
    <xf numFmtId="10" fontId="8" fillId="9" borderId="0" xfId="0" applyNumberFormat="1" applyFont="1" applyFill="1"/>
    <xf numFmtId="10" fontId="7" fillId="9" borderId="10" xfId="4" applyNumberFormat="1" applyFont="1" applyFill="1" applyBorder="1"/>
    <xf numFmtId="0" fontId="7" fillId="6" borderId="9" xfId="0" applyFont="1" applyFill="1" applyBorder="1"/>
    <xf numFmtId="10" fontId="7" fillId="6" borderId="0" xfId="4" applyNumberFormat="1" applyFont="1" applyFill="1" applyBorder="1"/>
    <xf numFmtId="10" fontId="7" fillId="6" borderId="10" xfId="4" applyNumberFormat="1" applyFont="1" applyFill="1" applyBorder="1"/>
    <xf numFmtId="0" fontId="26" fillId="0" borderId="0" xfId="0" applyFont="1"/>
    <xf numFmtId="0" fontId="15" fillId="6" borderId="0" xfId="0" applyFont="1" applyFill="1"/>
    <xf numFmtId="10" fontId="8" fillId="6" borderId="0" xfId="0" applyNumberFormat="1" applyFont="1" applyFill="1"/>
    <xf numFmtId="0" fontId="15" fillId="12" borderId="0" xfId="0" applyFont="1" applyFill="1" applyAlignment="1">
      <alignment horizontal="justify" vertical="center"/>
    </xf>
    <xf numFmtId="0" fontId="7" fillId="12" borderId="9" xfId="0" applyFont="1" applyFill="1" applyBorder="1"/>
    <xf numFmtId="10" fontId="7" fillId="12" borderId="0" xfId="4" applyNumberFormat="1" applyFont="1" applyFill="1" applyBorder="1"/>
    <xf numFmtId="10" fontId="7" fillId="12" borderId="10" xfId="4" applyNumberFormat="1" applyFont="1" applyFill="1" applyBorder="1"/>
    <xf numFmtId="0" fontId="15" fillId="12" borderId="0" xfId="0" applyFont="1" applyFill="1"/>
    <xf numFmtId="0" fontId="8" fillId="12" borderId="9" xfId="0" applyFont="1" applyFill="1" applyBorder="1"/>
    <xf numFmtId="10" fontId="8" fillId="12" borderId="0" xfId="0" applyNumberFormat="1" applyFont="1" applyFill="1"/>
    <xf numFmtId="10" fontId="8" fillId="12" borderId="10" xfId="4" applyNumberFormat="1" applyFont="1" applyFill="1" applyBorder="1"/>
    <xf numFmtId="10" fontId="8" fillId="12" borderId="0" xfId="4" applyNumberFormat="1" applyFont="1" applyFill="1" applyBorder="1"/>
    <xf numFmtId="0" fontId="15" fillId="7" borderId="0" xfId="0" applyFont="1" applyFill="1"/>
    <xf numFmtId="0" fontId="8" fillId="7" borderId="0" xfId="0" applyFont="1" applyFill="1"/>
    <xf numFmtId="0" fontId="8" fillId="7" borderId="11" xfId="0" applyFont="1" applyFill="1" applyBorder="1"/>
    <xf numFmtId="10" fontId="7" fillId="0" borderId="12" xfId="4" applyNumberFormat="1" applyFont="1" applyBorder="1"/>
    <xf numFmtId="10" fontId="8" fillId="0" borderId="12" xfId="0" applyNumberFormat="1" applyFont="1" applyBorder="1"/>
    <xf numFmtId="10" fontId="7" fillId="0" borderId="13" xfId="4" applyNumberFormat="1" applyFont="1" applyBorder="1"/>
    <xf numFmtId="0" fontId="7" fillId="0" borderId="19" xfId="0" applyFont="1" applyBorder="1"/>
    <xf numFmtId="0" fontId="5" fillId="6" borderId="16" xfId="0" applyFont="1" applyFill="1" applyBorder="1"/>
    <xf numFmtId="0" fontId="7" fillId="6" borderId="17" xfId="0" applyFont="1" applyFill="1" applyBorder="1"/>
    <xf numFmtId="0" fontId="7" fillId="6" borderId="18" xfId="0" applyFont="1" applyFill="1" applyBorder="1"/>
    <xf numFmtId="0" fontId="8" fillId="0" borderId="16" xfId="0" applyFont="1" applyBorder="1" applyAlignment="1">
      <alignment horizontal="center"/>
    </xf>
    <xf numFmtId="0" fontId="7" fillId="0" borderId="19" xfId="0" applyFont="1" applyBorder="1" applyAlignment="1">
      <alignment horizontal="center"/>
    </xf>
    <xf numFmtId="0" fontId="7" fillId="0" borderId="21" xfId="0" applyFont="1" applyBorder="1"/>
    <xf numFmtId="165" fontId="7" fillId="0" borderId="19" xfId="1" applyNumberFormat="1" applyFont="1" applyFill="1" applyBorder="1"/>
    <xf numFmtId="165" fontId="7" fillId="0" borderId="21" xfId="1" applyNumberFormat="1" applyFont="1" applyFill="1" applyBorder="1"/>
    <xf numFmtId="9" fontId="7" fillId="0" borderId="0" xfId="4" applyFont="1"/>
    <xf numFmtId="165" fontId="10" fillId="0" borderId="19" xfId="1" applyNumberFormat="1" applyFont="1" applyFill="1" applyBorder="1"/>
    <xf numFmtId="165" fontId="10" fillId="0" borderId="21" xfId="1" applyNumberFormat="1" applyFont="1" applyFill="1" applyBorder="1"/>
    <xf numFmtId="165" fontId="7" fillId="0" borderId="23" xfId="1" applyNumberFormat="1" applyFont="1" applyFill="1" applyBorder="1"/>
    <xf numFmtId="165" fontId="7" fillId="0" borderId="24" xfId="1" applyNumberFormat="1" applyFont="1" applyFill="1" applyBorder="1"/>
    <xf numFmtId="165" fontId="8" fillId="0" borderId="25" xfId="1" applyNumberFormat="1" applyFont="1" applyFill="1" applyBorder="1"/>
    <xf numFmtId="165" fontId="11" fillId="0" borderId="26" xfId="1" applyNumberFormat="1" applyFont="1" applyFill="1" applyBorder="1"/>
    <xf numFmtId="165" fontId="7" fillId="0" borderId="16" xfId="1" applyNumberFormat="1" applyFont="1" applyFill="1" applyBorder="1"/>
    <xf numFmtId="165" fontId="7" fillId="0" borderId="18" xfId="1" applyNumberFormat="1" applyFont="1" applyFill="1" applyBorder="1"/>
    <xf numFmtId="165" fontId="7" fillId="0" borderId="19" xfId="0" applyNumberFormat="1" applyFont="1" applyBorder="1"/>
    <xf numFmtId="165" fontId="7" fillId="0" borderId="21" xfId="0" applyNumberFormat="1" applyFont="1" applyBorder="1"/>
    <xf numFmtId="165" fontId="13" fillId="0" borderId="23" xfId="0" applyNumberFormat="1" applyFont="1" applyBorder="1"/>
    <xf numFmtId="165" fontId="13" fillId="0" borderId="24" xfId="0" applyNumberFormat="1" applyFont="1" applyBorder="1"/>
    <xf numFmtId="165" fontId="8" fillId="0" borderId="25" xfId="0" applyNumberFormat="1" applyFont="1" applyBorder="1"/>
    <xf numFmtId="165" fontId="8" fillId="6" borderId="19" xfId="0" applyNumberFormat="1" applyFont="1" applyFill="1" applyBorder="1"/>
    <xf numFmtId="165" fontId="8" fillId="6" borderId="20" xfId="0" applyNumberFormat="1" applyFont="1" applyFill="1" applyBorder="1"/>
    <xf numFmtId="0" fontId="7" fillId="0" borderId="18" xfId="0" applyFont="1" applyBorder="1"/>
    <xf numFmtId="165" fontId="12" fillId="0" borderId="26" xfId="1" applyNumberFormat="1" applyFont="1" applyFill="1" applyBorder="1"/>
    <xf numFmtId="43" fontId="7" fillId="0" borderId="16" xfId="1" applyFont="1" applyFill="1" applyBorder="1"/>
    <xf numFmtId="43" fontId="10" fillId="0" borderId="18" xfId="1" applyFont="1" applyFill="1" applyBorder="1"/>
    <xf numFmtId="165" fontId="7" fillId="0" borderId="23" xfId="1" applyNumberFormat="1" applyFont="1" applyBorder="1"/>
    <xf numFmtId="165" fontId="7" fillId="0" borderId="24" xfId="1" applyNumberFormat="1" applyFont="1" applyBorder="1"/>
    <xf numFmtId="0" fontId="15" fillId="0" borderId="19" xfId="0" applyFont="1" applyBorder="1"/>
    <xf numFmtId="165" fontId="8" fillId="7" borderId="23" xfId="1" applyNumberFormat="1" applyFont="1" applyFill="1" applyBorder="1"/>
    <xf numFmtId="165" fontId="7" fillId="0" borderId="19" xfId="1" applyNumberFormat="1" applyFont="1" applyBorder="1"/>
    <xf numFmtId="165" fontId="7" fillId="0" borderId="21" xfId="1" applyNumberFormat="1" applyFont="1" applyBorder="1"/>
    <xf numFmtId="43" fontId="7" fillId="0" borderId="16" xfId="1" applyFont="1" applyBorder="1"/>
    <xf numFmtId="43" fontId="7" fillId="0" borderId="18" xfId="1" applyFont="1" applyBorder="1"/>
    <xf numFmtId="0" fontId="15" fillId="8" borderId="19" xfId="0" applyFont="1" applyFill="1" applyBorder="1"/>
    <xf numFmtId="0" fontId="15" fillId="8" borderId="21" xfId="0" applyFont="1" applyFill="1" applyBorder="1"/>
    <xf numFmtId="165" fontId="8" fillId="8" borderId="25" xfId="1" applyNumberFormat="1" applyFont="1" applyFill="1" applyBorder="1"/>
    <xf numFmtId="165" fontId="8" fillId="0" borderId="19" xfId="1" applyNumberFormat="1" applyFont="1" applyFill="1" applyBorder="1"/>
    <xf numFmtId="165" fontId="8" fillId="0" borderId="21" xfId="1" applyNumberFormat="1" applyFont="1" applyFill="1" applyBorder="1"/>
    <xf numFmtId="165" fontId="8" fillId="6" borderId="23" xfId="1" applyNumberFormat="1" applyFont="1" applyFill="1" applyBorder="1"/>
    <xf numFmtId="165" fontId="8" fillId="6" borderId="24" xfId="1" applyNumberFormat="1" applyFont="1" applyFill="1" applyBorder="1"/>
    <xf numFmtId="0" fontId="7" fillId="0" borderId="30" xfId="12" applyFont="1" applyBorder="1"/>
    <xf numFmtId="0" fontId="13" fillId="0" borderId="14" xfId="12" applyFont="1" applyBorder="1" applyAlignment="1">
      <alignment horizontal="center"/>
    </xf>
    <xf numFmtId="0" fontId="13" fillId="0" borderId="30" xfId="12" applyFont="1" applyBorder="1" applyAlignment="1">
      <alignment horizontal="center"/>
    </xf>
    <xf numFmtId="0" fontId="8" fillId="0" borderId="0" xfId="12" applyFont="1" applyAlignment="1">
      <alignment horizontal="center"/>
    </xf>
    <xf numFmtId="0" fontId="13" fillId="0" borderId="0" xfId="12" applyFont="1" applyAlignment="1">
      <alignment horizontal="center"/>
    </xf>
    <xf numFmtId="0" fontId="12" fillId="0" borderId="0" xfId="12" applyFont="1" applyAlignment="1">
      <alignment vertical="center" wrapText="1"/>
    </xf>
    <xf numFmtId="0" fontId="5" fillId="0" borderId="0" xfId="0" applyFont="1" applyAlignment="1">
      <alignment horizontal="center" wrapText="1"/>
    </xf>
    <xf numFmtId="0" fontId="4" fillId="0" borderId="0" xfId="0" applyFont="1" applyAlignment="1">
      <alignment horizontal="center" vertical="center" wrapText="1"/>
    </xf>
    <xf numFmtId="0" fontId="5" fillId="0" borderId="0" xfId="0" applyFont="1" applyAlignment="1">
      <alignment wrapText="1"/>
    </xf>
    <xf numFmtId="0" fontId="4" fillId="0" borderId="0" xfId="0" applyFont="1" applyAlignment="1">
      <alignment vertical="center" wrapText="1"/>
    </xf>
    <xf numFmtId="0" fontId="32" fillId="0" borderId="0" xfId="0" applyFont="1"/>
    <xf numFmtId="168" fontId="31" fillId="0" borderId="0" xfId="14" applyNumberFormat="1" applyFont="1"/>
    <xf numFmtId="0" fontId="31" fillId="0" borderId="0" xfId="0" applyFont="1"/>
    <xf numFmtId="0" fontId="33" fillId="0" borderId="0" xfId="0" applyFont="1"/>
    <xf numFmtId="0" fontId="20" fillId="0" borderId="0" xfId="0" applyFont="1"/>
    <xf numFmtId="168" fontId="19" fillId="0" borderId="0" xfId="0" applyNumberFormat="1" applyFont="1"/>
    <xf numFmtId="168" fontId="31" fillId="0" borderId="0" xfId="0" applyNumberFormat="1" applyFont="1"/>
    <xf numFmtId="10" fontId="4" fillId="0" borderId="0" xfId="4" applyNumberFormat="1" applyFont="1"/>
    <xf numFmtId="169" fontId="31" fillId="0" borderId="0" xfId="0" applyNumberFormat="1" applyFont="1"/>
    <xf numFmtId="169" fontId="31" fillId="0" borderId="14" xfId="0" applyNumberFormat="1" applyFont="1" applyBorder="1"/>
    <xf numFmtId="168" fontId="34" fillId="0" borderId="0" xfId="0" applyNumberFormat="1" applyFont="1"/>
    <xf numFmtId="9" fontId="31" fillId="0" borderId="0" xfId="0" applyNumberFormat="1" applyFont="1"/>
    <xf numFmtId="0" fontId="7" fillId="3" borderId="27" xfId="6" applyFont="1" applyBorder="1" applyAlignment="1">
      <alignment horizontal="left" wrapText="1"/>
    </xf>
    <xf numFmtId="9" fontId="7" fillId="0" borderId="0" xfId="4" applyFont="1" applyAlignment="1">
      <alignment horizontal="center"/>
    </xf>
    <xf numFmtId="9" fontId="7" fillId="0" borderId="14" xfId="4" applyFont="1" applyBorder="1" applyAlignment="1">
      <alignment horizontal="center"/>
    </xf>
    <xf numFmtId="0" fontId="9" fillId="0" borderId="19" xfId="0" applyFont="1" applyBorder="1" applyAlignment="1">
      <alignment horizontal="left"/>
    </xf>
    <xf numFmtId="0" fontId="9" fillId="0" borderId="0" xfId="0" applyFont="1" applyAlignment="1">
      <alignment horizontal="left"/>
    </xf>
    <xf numFmtId="0" fontId="9" fillId="0" borderId="21" xfId="0" applyFont="1" applyBorder="1" applyAlignment="1">
      <alignment horizontal="left"/>
    </xf>
    <xf numFmtId="0" fontId="15" fillId="0" borderId="19" xfId="0" applyFont="1" applyBorder="1" applyAlignment="1">
      <alignment horizontal="center" wrapText="1"/>
    </xf>
    <xf numFmtId="0" fontId="15" fillId="0" borderId="0" xfId="0" applyFont="1" applyAlignment="1">
      <alignment horizontal="center" wrapText="1"/>
    </xf>
    <xf numFmtId="0" fontId="15" fillId="0" borderId="21" xfId="0" applyFont="1" applyBorder="1" applyAlignment="1">
      <alignment horizontal="center" wrapText="1"/>
    </xf>
    <xf numFmtId="0" fontId="14" fillId="3" borderId="27" xfId="6" applyFont="1" applyBorder="1" applyAlignment="1">
      <alignment horizontal="center"/>
    </xf>
    <xf numFmtId="0" fontId="15" fillId="6" borderId="23" xfId="0" applyFont="1" applyFill="1" applyBorder="1" applyAlignment="1">
      <alignment horizontal="left"/>
    </xf>
    <xf numFmtId="0" fontId="15" fillId="6" borderId="14" xfId="0" applyFont="1" applyFill="1" applyBorder="1" applyAlignment="1">
      <alignment horizontal="left"/>
    </xf>
    <xf numFmtId="0" fontId="15" fillId="6" borderId="24" xfId="0" applyFont="1" applyFill="1" applyBorder="1" applyAlignment="1">
      <alignment horizontal="left"/>
    </xf>
    <xf numFmtId="0" fontId="9" fillId="0" borderId="19" xfId="0" applyFont="1" applyBorder="1" applyAlignment="1">
      <alignment horizontal="left" wrapText="1"/>
    </xf>
    <xf numFmtId="0" fontId="9" fillId="0" borderId="0" xfId="0" applyFont="1" applyAlignment="1">
      <alignment horizontal="left" wrapText="1"/>
    </xf>
    <xf numFmtId="0" fontId="9" fillId="0" borderId="21" xfId="0" applyFont="1" applyBorder="1" applyAlignment="1">
      <alignment horizontal="left" wrapText="1"/>
    </xf>
    <xf numFmtId="165" fontId="7" fillId="0" borderId="19" xfId="1" applyNumberFormat="1" applyFont="1" applyBorder="1" applyAlignment="1">
      <alignment horizontal="center"/>
    </xf>
    <xf numFmtId="165" fontId="7" fillId="0" borderId="21" xfId="1" applyNumberFormat="1" applyFont="1" applyBorder="1" applyAlignment="1">
      <alignment horizontal="center"/>
    </xf>
    <xf numFmtId="165" fontId="7" fillId="0" borderId="19" xfId="0" applyNumberFormat="1" applyFont="1" applyBorder="1" applyAlignment="1">
      <alignment horizontal="center"/>
    </xf>
    <xf numFmtId="165" fontId="7" fillId="0" borderId="23" xfId="0" applyNumberFormat="1" applyFont="1" applyBorder="1" applyAlignment="1">
      <alignment horizontal="center"/>
    </xf>
    <xf numFmtId="0" fontId="7" fillId="3" borderId="16" xfId="6" applyFont="1" applyBorder="1" applyAlignment="1">
      <alignment horizontal="left" wrapText="1"/>
    </xf>
    <xf numFmtId="0" fontId="7" fillId="3" borderId="17" xfId="6" applyFont="1" applyBorder="1" applyAlignment="1">
      <alignment horizontal="left" wrapText="1"/>
    </xf>
    <xf numFmtId="0" fontId="7" fillId="3" borderId="18" xfId="6" applyFont="1" applyBorder="1" applyAlignment="1">
      <alignment horizontal="left" wrapText="1"/>
    </xf>
    <xf numFmtId="0" fontId="7" fillId="3" borderId="23" xfId="6" applyFont="1" applyBorder="1" applyAlignment="1">
      <alignment horizontal="left" wrapText="1"/>
    </xf>
    <xf numFmtId="0" fontId="7" fillId="3" borderId="14" xfId="6" applyFont="1" applyBorder="1" applyAlignment="1">
      <alignment horizontal="left" wrapText="1"/>
    </xf>
    <xf numFmtId="0" fontId="7" fillId="3" borderId="24" xfId="6" applyFont="1" applyBorder="1" applyAlignment="1">
      <alignment horizontal="left" wrapText="1"/>
    </xf>
    <xf numFmtId="0" fontId="15" fillId="7" borderId="19" xfId="0" applyFont="1" applyFill="1" applyBorder="1" applyAlignment="1">
      <alignment horizontal="left"/>
    </xf>
    <xf numFmtId="0" fontId="15" fillId="7" borderId="0" xfId="0" applyFont="1" applyFill="1" applyAlignment="1">
      <alignment horizontal="left"/>
    </xf>
    <xf numFmtId="0" fontId="15" fillId="7" borderId="21" xfId="0" applyFont="1" applyFill="1" applyBorder="1" applyAlignment="1">
      <alignment horizontal="left"/>
    </xf>
    <xf numFmtId="0" fontId="3" fillId="8" borderId="19" xfId="0" applyFont="1" applyFill="1" applyBorder="1" applyAlignment="1">
      <alignment horizontal="left" vertical="center"/>
    </xf>
    <xf numFmtId="0" fontId="3" fillId="8" borderId="0" xfId="0" applyFont="1" applyFill="1" applyAlignment="1">
      <alignment horizontal="left" vertical="center"/>
    </xf>
    <xf numFmtId="0" fontId="3" fillId="8" borderId="21" xfId="0" applyFont="1" applyFill="1" applyBorder="1" applyAlignment="1">
      <alignment horizontal="left" vertical="center"/>
    </xf>
    <xf numFmtId="0" fontId="9" fillId="0" borderId="19" xfId="0" applyFont="1" applyBorder="1"/>
    <xf numFmtId="0" fontId="9" fillId="0" borderId="0" xfId="0" applyFont="1"/>
    <xf numFmtId="0" fontId="9" fillId="0" borderId="21" xfId="0" applyFont="1" applyBorder="1"/>
    <xf numFmtId="0" fontId="7" fillId="0" borderId="19" xfId="0" applyFont="1" applyBorder="1" applyAlignment="1">
      <alignment horizontal="left"/>
    </xf>
    <xf numFmtId="0" fontId="7" fillId="0" borderId="0" xfId="0" applyFont="1" applyAlignment="1">
      <alignment horizontal="left"/>
    </xf>
    <xf numFmtId="0" fontId="7" fillId="0" borderId="21" xfId="0" applyFont="1" applyBorder="1" applyAlignment="1">
      <alignment horizontal="left"/>
    </xf>
    <xf numFmtId="0" fontId="8" fillId="0" borderId="0" xfId="0" applyFont="1" applyAlignment="1">
      <alignment horizontal="left" vertical="center" wrapText="1"/>
    </xf>
    <xf numFmtId="0" fontId="8" fillId="0" borderId="19" xfId="0" applyFont="1" applyBorder="1" applyAlignment="1">
      <alignment horizontal="left"/>
    </xf>
    <xf numFmtId="0" fontId="8" fillId="0" borderId="0" xfId="0" applyFont="1" applyAlignment="1">
      <alignment horizontal="left"/>
    </xf>
    <xf numFmtId="0" fontId="8" fillId="0" borderId="21" xfId="0" applyFont="1" applyBorder="1" applyAlignment="1">
      <alignment horizontal="left"/>
    </xf>
    <xf numFmtId="0" fontId="11" fillId="0" borderId="19" xfId="0" applyFont="1" applyBorder="1" applyAlignment="1">
      <alignment horizontal="left"/>
    </xf>
    <xf numFmtId="0" fontId="11" fillId="0" borderId="0" xfId="0" applyFont="1" applyAlignment="1">
      <alignment horizontal="left"/>
    </xf>
    <xf numFmtId="0" fontId="11" fillId="0" borderId="21" xfId="0" applyFont="1" applyBorder="1" applyAlignment="1">
      <alignment horizontal="left"/>
    </xf>
    <xf numFmtId="0" fontId="13" fillId="0" borderId="19" xfId="0" applyFont="1" applyBorder="1" applyAlignment="1">
      <alignment horizontal="left"/>
    </xf>
    <xf numFmtId="0" fontId="13" fillId="0" borderId="0" xfId="0" applyFont="1" applyAlignment="1">
      <alignment horizontal="left"/>
    </xf>
    <xf numFmtId="0" fontId="13" fillId="0" borderId="21" xfId="0" applyFont="1" applyBorder="1" applyAlignment="1">
      <alignment horizontal="left"/>
    </xf>
    <xf numFmtId="0" fontId="8" fillId="6" borderId="19" xfId="0" applyFont="1" applyFill="1" applyBorder="1" applyAlignment="1">
      <alignment horizontal="left"/>
    </xf>
    <xf numFmtId="0" fontId="8" fillId="6" borderId="0" xfId="0" applyFont="1" applyFill="1" applyAlignment="1">
      <alignment horizontal="left"/>
    </xf>
    <xf numFmtId="0" fontId="8" fillId="6" borderId="21" xfId="0" applyFont="1" applyFill="1" applyBorder="1" applyAlignment="1">
      <alignment horizontal="left"/>
    </xf>
    <xf numFmtId="0" fontId="5" fillId="7" borderId="19" xfId="0" applyFont="1" applyFill="1" applyBorder="1" applyAlignment="1">
      <alignment horizontal="left"/>
    </xf>
    <xf numFmtId="0" fontId="5" fillId="7" borderId="0" xfId="0" applyFont="1" applyFill="1" applyAlignment="1">
      <alignment horizontal="left"/>
    </xf>
    <xf numFmtId="0" fontId="5" fillId="7" borderId="21" xfId="0" applyFont="1" applyFill="1" applyBorder="1" applyAlignment="1">
      <alignment horizontal="left"/>
    </xf>
    <xf numFmtId="0" fontId="3" fillId="0" borderId="2" xfId="0" applyFont="1" applyBorder="1" applyAlignment="1">
      <alignment horizontal="center" vertical="center"/>
    </xf>
    <xf numFmtId="0" fontId="20" fillId="0" borderId="0" xfId="0" applyFont="1" applyAlignment="1">
      <alignment horizontal="left"/>
    </xf>
    <xf numFmtId="0" fontId="8" fillId="0" borderId="0" xfId="0" applyFont="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5" xfId="0" applyFont="1" applyFill="1" applyBorder="1" applyAlignment="1">
      <alignment horizontal="center"/>
    </xf>
    <xf numFmtId="0" fontId="4" fillId="11" borderId="35" xfId="7" applyFont="1" applyFill="1" applyBorder="1" applyAlignment="1">
      <alignment horizontal="center" vertical="center" wrapText="1"/>
    </xf>
    <xf numFmtId="0" fontId="4" fillId="11" borderId="0" xfId="7" applyFont="1" applyFill="1" applyBorder="1" applyAlignment="1">
      <alignment horizontal="center" vertical="center" wrapText="1"/>
    </xf>
    <xf numFmtId="0" fontId="4" fillId="15" borderId="0" xfId="0" applyFont="1" applyFill="1" applyAlignment="1">
      <alignment horizontal="center" vertical="center" wrapText="1"/>
    </xf>
    <xf numFmtId="0" fontId="4" fillId="16" borderId="0" xfId="0" applyFont="1" applyFill="1" applyAlignment="1">
      <alignment horizontal="center" vertical="center" wrapText="1"/>
    </xf>
    <xf numFmtId="0" fontId="4" fillId="14" borderId="9" xfId="0" applyFont="1" applyFill="1" applyBorder="1" applyAlignment="1">
      <alignment horizontal="center" vertical="center" wrapText="1"/>
    </xf>
    <xf numFmtId="0" fontId="4" fillId="14" borderId="0" xfId="0" applyFont="1" applyFill="1" applyAlignment="1">
      <alignment horizontal="center" vertical="center" wrapText="1"/>
    </xf>
    <xf numFmtId="0" fontId="5" fillId="0" borderId="0" xfId="0" applyFont="1" applyAlignment="1">
      <alignment horizontal="center"/>
    </xf>
    <xf numFmtId="0" fontId="31" fillId="0" borderId="0" xfId="0" applyFont="1" applyAlignment="1">
      <alignment horizontal="center" vertical="center" wrapText="1"/>
    </xf>
    <xf numFmtId="0" fontId="3" fillId="7" borderId="32" xfId="5" applyFont="1" applyFill="1" applyBorder="1" applyAlignment="1">
      <alignment horizontal="center"/>
    </xf>
    <xf numFmtId="0" fontId="3" fillId="7" borderId="33" xfId="5" applyFont="1" applyFill="1" applyBorder="1" applyAlignment="1">
      <alignment horizontal="center"/>
    </xf>
    <xf numFmtId="0" fontId="3" fillId="7" borderId="34" xfId="5" applyFont="1" applyFill="1" applyBorder="1" applyAlignment="1">
      <alignment horizontal="center"/>
    </xf>
    <xf numFmtId="0" fontId="5" fillId="13" borderId="32" xfId="7" applyFont="1" applyFill="1" applyBorder="1" applyAlignment="1">
      <alignment horizontal="center"/>
    </xf>
    <xf numFmtId="0" fontId="5" fillId="13" borderId="33" xfId="7" applyFont="1" applyFill="1" applyBorder="1" applyAlignment="1">
      <alignment horizontal="center"/>
    </xf>
    <xf numFmtId="0" fontId="5" fillId="13" borderId="34" xfId="7" applyFont="1" applyFill="1" applyBorder="1" applyAlignment="1">
      <alignment horizontal="center"/>
    </xf>
    <xf numFmtId="0" fontId="17" fillId="7" borderId="35" xfId="5" applyFont="1" applyFill="1" applyBorder="1" applyAlignment="1">
      <alignment horizontal="left" vertical="center" wrapText="1"/>
    </xf>
    <xf numFmtId="0" fontId="17" fillId="7" borderId="0" xfId="5" applyFont="1" applyFill="1" applyBorder="1" applyAlignment="1">
      <alignment horizontal="left" vertical="center" wrapText="1"/>
    </xf>
    <xf numFmtId="0" fontId="17" fillId="7" borderId="36" xfId="5" applyFont="1" applyFill="1" applyBorder="1" applyAlignment="1">
      <alignment horizontal="left" vertical="center" wrapText="1"/>
    </xf>
    <xf numFmtId="0" fontId="17" fillId="7" borderId="37" xfId="5" applyFont="1" applyFill="1" applyBorder="1" applyAlignment="1">
      <alignment horizontal="left" vertical="center" wrapText="1"/>
    </xf>
    <xf numFmtId="0" fontId="17" fillId="7" borderId="38" xfId="5" applyFont="1" applyFill="1" applyBorder="1" applyAlignment="1">
      <alignment horizontal="left" vertical="center" wrapText="1"/>
    </xf>
    <xf numFmtId="0" fontId="17" fillId="7" borderId="39" xfId="5" applyFont="1" applyFill="1" applyBorder="1" applyAlignment="1">
      <alignment horizontal="left" vertical="center" wrapText="1"/>
    </xf>
    <xf numFmtId="0" fontId="4" fillId="13" borderId="35" xfId="7" applyFont="1" applyFill="1" applyBorder="1" applyAlignment="1">
      <alignment horizontal="left" vertical="center" wrapText="1"/>
    </xf>
    <xf numFmtId="0" fontId="4" fillId="13" borderId="0" xfId="7" applyFont="1" applyFill="1" applyBorder="1" applyAlignment="1">
      <alignment horizontal="left" vertical="center" wrapText="1"/>
    </xf>
    <xf numFmtId="0" fontId="4" fillId="13" borderId="36" xfId="7" applyFont="1" applyFill="1" applyBorder="1" applyAlignment="1">
      <alignment horizontal="left" vertical="center" wrapText="1"/>
    </xf>
    <xf numFmtId="0" fontId="4" fillId="13" borderId="37" xfId="7" applyFont="1" applyFill="1" applyBorder="1" applyAlignment="1">
      <alignment horizontal="left" vertical="center" wrapText="1"/>
    </xf>
    <xf numFmtId="0" fontId="4" fillId="13" borderId="38" xfId="7" applyFont="1" applyFill="1" applyBorder="1" applyAlignment="1">
      <alignment horizontal="left" vertical="center" wrapText="1"/>
    </xf>
    <xf numFmtId="0" fontId="4" fillId="13" borderId="39" xfId="7" applyFont="1" applyFill="1" applyBorder="1" applyAlignment="1">
      <alignment horizontal="left" vertical="center" wrapText="1"/>
    </xf>
    <xf numFmtId="0" fontId="5" fillId="0" borderId="0" xfId="0" applyFont="1" applyAlignment="1">
      <alignment horizontal="center" wrapText="1"/>
    </xf>
    <xf numFmtId="0" fontId="8" fillId="0" borderId="22" xfId="0" applyFont="1" applyBorder="1" applyAlignment="1">
      <alignment horizontal="center" vertical="center" wrapText="1"/>
    </xf>
    <xf numFmtId="0" fontId="8" fillId="0" borderId="28" xfId="0" applyFont="1" applyBorder="1" applyAlignment="1">
      <alignment horizontal="center" vertical="center" wrapText="1"/>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5" fillId="0" borderId="44" xfId="0" applyFont="1" applyBorder="1" applyAlignment="1">
      <alignment horizontal="center"/>
    </xf>
    <xf numFmtId="0" fontId="8" fillId="0" borderId="0" xfId="0" applyFont="1" applyAlignment="1">
      <alignment horizontal="center" vertical="center"/>
    </xf>
    <xf numFmtId="0" fontId="8" fillId="0" borderId="0" xfId="0" applyFont="1" applyAlignment="1">
      <alignment horizontal="left" wrapText="1"/>
    </xf>
    <xf numFmtId="0" fontId="24" fillId="0" borderId="0" xfId="0" applyFont="1" applyAlignment="1">
      <alignment horizontal="center" vertical="center"/>
    </xf>
    <xf numFmtId="0" fontId="24" fillId="0" borderId="0" xfId="0" applyFont="1" applyAlignment="1">
      <alignment horizontal="left"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0" xfId="0" applyFont="1" applyAlignment="1">
      <alignment horizontal="center" vertical="center" wrapText="1"/>
    </xf>
    <xf numFmtId="0" fontId="8" fillId="0" borderId="10"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41" xfId="0" applyFont="1" applyBorder="1" applyAlignment="1">
      <alignment horizontal="center" vertical="center" wrapText="1"/>
    </xf>
    <xf numFmtId="0" fontId="3" fillId="0" borderId="44" xfId="0" applyFont="1" applyBorder="1" applyAlignment="1">
      <alignment horizontal="center" vertical="center"/>
    </xf>
    <xf numFmtId="0" fontId="5" fillId="0" borderId="0" xfId="0" applyFont="1" applyAlignment="1">
      <alignment horizontal="left"/>
    </xf>
    <xf numFmtId="0" fontId="12" fillId="0" borderId="0" xfId="0" applyFont="1" applyAlignment="1">
      <alignment horizontal="center" vertical="center"/>
    </xf>
    <xf numFmtId="0" fontId="12" fillId="0" borderId="0" xfId="0" applyFont="1" applyAlignment="1">
      <alignment horizontal="left" vertical="center" wrapText="1"/>
    </xf>
    <xf numFmtId="0" fontId="8" fillId="0" borderId="27" xfId="12" applyFont="1" applyBorder="1" applyAlignment="1">
      <alignment horizontal="center" vertical="center" wrapText="1"/>
    </xf>
    <xf numFmtId="0" fontId="7" fillId="0" borderId="27" xfId="12" applyFont="1" applyBorder="1" applyAlignment="1">
      <alignment horizontal="left" wrapText="1"/>
    </xf>
    <xf numFmtId="0" fontId="5" fillId="0" borderId="44" xfId="12" applyFont="1" applyBorder="1" applyAlignment="1">
      <alignment horizontal="center"/>
    </xf>
    <xf numFmtId="0" fontId="7" fillId="0" borderId="28" xfId="12" applyFont="1" applyBorder="1" applyAlignment="1">
      <alignment horizontal="left" vertical="center" wrapText="1"/>
    </xf>
    <xf numFmtId="0" fontId="7" fillId="0" borderId="27" xfId="12" applyFont="1" applyBorder="1" applyAlignment="1">
      <alignment horizontal="left" vertical="center" wrapText="1"/>
    </xf>
    <xf numFmtId="0" fontId="7" fillId="0" borderId="14" xfId="12" applyFont="1" applyBorder="1" applyAlignment="1">
      <alignment horizontal="center"/>
    </xf>
    <xf numFmtId="0" fontId="7" fillId="0" borderId="19" xfId="12" applyFont="1" applyBorder="1" applyAlignment="1">
      <alignment horizontal="left" wrapText="1"/>
    </xf>
    <xf numFmtId="0" fontId="7" fillId="0" borderId="0" xfId="12" applyFont="1" applyAlignment="1">
      <alignment horizontal="left" wrapText="1"/>
    </xf>
    <xf numFmtId="0" fontId="7" fillId="0" borderId="17" xfId="12" applyFont="1" applyBorder="1" applyAlignment="1">
      <alignment horizontal="center"/>
    </xf>
    <xf numFmtId="0" fontId="7" fillId="0" borderId="23" xfId="12" applyFont="1" applyBorder="1" applyAlignment="1">
      <alignment horizontal="left" wrapText="1"/>
    </xf>
    <xf numFmtId="0" fontId="7" fillId="0" borderId="14" xfId="12" applyFont="1" applyBorder="1" applyAlignment="1">
      <alignment horizontal="left" wrapText="1"/>
    </xf>
    <xf numFmtId="0" fontId="7" fillId="0" borderId="29" xfId="12" applyFont="1" applyBorder="1" applyAlignment="1">
      <alignment horizontal="center"/>
    </xf>
    <xf numFmtId="0" fontId="7" fillId="0" borderId="0" xfId="12" applyFont="1" applyAlignment="1">
      <alignment horizontal="center"/>
    </xf>
    <xf numFmtId="0" fontId="7" fillId="0" borderId="14" xfId="12" applyFont="1" applyBorder="1" applyAlignment="1">
      <alignment horizontal="center" wrapText="1"/>
    </xf>
    <xf numFmtId="0" fontId="8" fillId="0" borderId="6" xfId="12" applyFont="1" applyBorder="1" applyAlignment="1">
      <alignment horizontal="center" vertical="center"/>
    </xf>
    <xf numFmtId="0" fontId="8" fillId="0" borderId="7" xfId="12" applyFont="1" applyBorder="1" applyAlignment="1">
      <alignment horizontal="center" vertical="center"/>
    </xf>
    <xf numFmtId="0" fontId="8" fillId="0" borderId="8" xfId="12" applyFont="1" applyBorder="1" applyAlignment="1">
      <alignment horizontal="center" vertical="center"/>
    </xf>
    <xf numFmtId="0" fontId="8" fillId="0" borderId="9" xfId="12" applyFont="1" applyBorder="1" applyAlignment="1">
      <alignment horizontal="center" vertical="center"/>
    </xf>
    <xf numFmtId="0" fontId="8" fillId="0" borderId="0" xfId="12" applyFont="1" applyAlignment="1">
      <alignment horizontal="center" vertical="center"/>
    </xf>
    <xf numFmtId="0" fontId="8" fillId="0" borderId="10" xfId="12" applyFont="1" applyBorder="1" applyAlignment="1">
      <alignment horizontal="center" vertical="center"/>
    </xf>
    <xf numFmtId="0" fontId="30" fillId="0" borderId="25" xfId="12" applyFont="1" applyBorder="1" applyAlignment="1">
      <alignment horizontal="left"/>
    </xf>
    <xf numFmtId="0" fontId="30" fillId="0" borderId="29" xfId="12" applyFont="1" applyBorder="1" applyAlignment="1">
      <alignment horizontal="left"/>
    </xf>
    <xf numFmtId="0" fontId="30" fillId="0" borderId="16" xfId="12" applyFont="1" applyBorder="1" applyAlignment="1">
      <alignment horizontal="left"/>
    </xf>
    <xf numFmtId="0" fontId="30" fillId="0" borderId="17" xfId="12" applyFont="1" applyBorder="1" applyAlignment="1">
      <alignment horizontal="left"/>
    </xf>
    <xf numFmtId="0" fontId="9" fillId="0" borderId="9" xfId="12" applyFont="1" applyBorder="1" applyAlignment="1">
      <alignment horizontal="left"/>
    </xf>
    <xf numFmtId="0" fontId="9" fillId="0" borderId="0" xfId="12" applyFont="1" applyAlignment="1">
      <alignment horizontal="left"/>
    </xf>
    <xf numFmtId="0" fontId="8" fillId="8" borderId="11" xfId="12" applyFont="1" applyFill="1" applyBorder="1" applyAlignment="1">
      <alignment horizontal="left"/>
    </xf>
    <xf numFmtId="0" fontId="8" fillId="8" borderId="12" xfId="12" applyFont="1" applyFill="1" applyBorder="1" applyAlignment="1">
      <alignment horizontal="left"/>
    </xf>
    <xf numFmtId="0" fontId="8" fillId="0" borderId="0" xfId="12" applyFont="1" applyAlignment="1">
      <alignment horizontal="left" vertical="center" wrapText="1"/>
    </xf>
    <xf numFmtId="0" fontId="7" fillId="0" borderId="19" xfId="12" applyFont="1" applyBorder="1" applyAlignment="1">
      <alignment horizontal="left" vertical="center" wrapText="1"/>
    </xf>
    <xf numFmtId="0" fontId="7" fillId="0" borderId="0" xfId="12" applyFont="1" applyAlignment="1">
      <alignment horizontal="left" vertical="center" wrapText="1"/>
    </xf>
    <xf numFmtId="0" fontId="7" fillId="0" borderId="19" xfId="12" applyFont="1" applyBorder="1" applyAlignment="1">
      <alignment wrapText="1"/>
    </xf>
    <xf numFmtId="0" fontId="7" fillId="0" borderId="0" xfId="12" applyFont="1" applyAlignment="1">
      <alignment wrapText="1"/>
    </xf>
    <xf numFmtId="0" fontId="29" fillId="0" borderId="3" xfId="12" applyFont="1" applyBorder="1" applyAlignment="1">
      <alignment horizontal="center"/>
    </xf>
    <xf numFmtId="0" fontId="29" fillId="0" borderId="4" xfId="12" applyFont="1" applyBorder="1" applyAlignment="1">
      <alignment horizontal="center"/>
    </xf>
    <xf numFmtId="0" fontId="29" fillId="0" borderId="5" xfId="12" applyFont="1" applyBorder="1" applyAlignment="1">
      <alignment horizontal="center"/>
    </xf>
    <xf numFmtId="0" fontId="8" fillId="0" borderId="9" xfId="12" applyFont="1" applyBorder="1" applyAlignment="1">
      <alignment horizontal="left"/>
    </xf>
    <xf numFmtId="0" fontId="8" fillId="0" borderId="0" xfId="12" applyFont="1" applyAlignment="1">
      <alignment horizontal="left"/>
    </xf>
    <xf numFmtId="0" fontId="15" fillId="0" borderId="9" xfId="12" applyFont="1" applyBorder="1" applyAlignment="1">
      <alignment horizontal="left" wrapText="1"/>
    </xf>
    <xf numFmtId="0" fontId="15" fillId="0" borderId="0" xfId="12" applyFont="1" applyAlignment="1">
      <alignment horizontal="left" wrapText="1"/>
    </xf>
    <xf numFmtId="0" fontId="8" fillId="0" borderId="0" xfId="12" applyFont="1" applyAlignment="1">
      <alignment horizontal="center" vertical="center" wrapText="1"/>
    </xf>
    <xf numFmtId="0" fontId="8" fillId="8" borderId="9" xfId="12" applyFont="1" applyFill="1" applyBorder="1" applyAlignment="1">
      <alignment horizontal="left"/>
    </xf>
    <xf numFmtId="0" fontId="8" fillId="8" borderId="0" xfId="12" applyFont="1" applyFill="1" applyAlignment="1">
      <alignment horizontal="left"/>
    </xf>
    <xf numFmtId="0" fontId="8" fillId="0" borderId="10" xfId="12" applyFont="1" applyBorder="1" applyAlignment="1">
      <alignment horizontal="center" vertical="center" wrapText="1"/>
    </xf>
    <xf numFmtId="0" fontId="15" fillId="0" borderId="9" xfId="12" applyFont="1" applyBorder="1" applyAlignment="1">
      <alignment horizontal="left"/>
    </xf>
    <xf numFmtId="0" fontId="15" fillId="0" borderId="0" xfId="12" applyFont="1" applyAlignment="1">
      <alignment horizontal="left"/>
    </xf>
  </cellXfs>
  <cellStyles count="15">
    <cellStyle name="40% - Énfasis4" xfId="7" builtinId="43"/>
    <cellStyle name="Bueno" xfId="5" builtinId="26"/>
    <cellStyle name="Incorrecto" xfId="11" builtinId="27"/>
    <cellStyle name="Millares" xfId="1" builtinId="3"/>
    <cellStyle name="Millares [0]" xfId="2" builtinId="6"/>
    <cellStyle name="Millares [0] 2" xfId="10" xr:uid="{CEFB39C0-EF78-4B2C-9B4F-61B093F11D5B}"/>
    <cellStyle name="Moneda" xfId="14" builtinId="4"/>
    <cellStyle name="Moneda [0]" xfId="3" builtinId="7"/>
    <cellStyle name="Normal" xfId="0" builtinId="0"/>
    <cellStyle name="Normal 2" xfId="8" xr:uid="{6D8F7C91-CE0E-4BA5-A4CA-DCB14190280A}"/>
    <cellStyle name="Normal 3" xfId="12" xr:uid="{F69A5F2F-882E-4FA8-8FB0-7BF6FF735AC7}"/>
    <cellStyle name="Notas" xfId="6" builtinId="10"/>
    <cellStyle name="Porcentaje" xfId="4" builtinId="5"/>
    <cellStyle name="Porcentaje 2" xfId="9" xr:uid="{82780E07-BBB6-41C8-8720-0ABA441921B3}"/>
    <cellStyle name="Porcentaje 3" xfId="13" xr:uid="{9F9A3677-E6FD-429E-AD25-3F70CC2A156A}"/>
  </cellStyles>
  <dxfs count="0"/>
  <tableStyles count="0" defaultTableStyle="TableStyleMedium2" defaultPivotStyle="PivotStyleLight16"/>
  <colors>
    <mruColors>
      <color rgb="FFCCECFF"/>
      <color rgb="FFFFCCFF"/>
      <color rgb="FFCCFF99"/>
      <color rgb="FFCCFFFF"/>
      <color rgb="FFCC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9</xdr:col>
      <xdr:colOff>304800</xdr:colOff>
      <xdr:row>6</xdr:row>
      <xdr:rowOff>100965</xdr:rowOff>
    </xdr:to>
    <xdr:sp macro="" textlink="">
      <xdr:nvSpPr>
        <xdr:cNvPr id="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04C7C23C-E37D-4338-BAB5-44F32D4EBC5F}"/>
            </a:ext>
          </a:extLst>
        </xdr:cNvPr>
        <xdr:cNvSpPr>
          <a:spLocks noChangeAspect="1" noChangeArrowheads="1"/>
        </xdr:cNvSpPr>
      </xdr:nvSpPr>
      <xdr:spPr bwMode="auto">
        <a:xfrm>
          <a:off x="8290560" y="67056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5</xdr:row>
      <xdr:rowOff>0</xdr:rowOff>
    </xdr:from>
    <xdr:to>
      <xdr:col>8</xdr:col>
      <xdr:colOff>304800</xdr:colOff>
      <xdr:row>6</xdr:row>
      <xdr:rowOff>108585</xdr:rowOff>
    </xdr:to>
    <xdr:sp macro="" textlink="">
      <xdr:nvSpPr>
        <xdr:cNvPr id="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CD646202-5A6B-4735-B6C2-73BE4E8B0B2E}"/>
            </a:ext>
          </a:extLst>
        </xdr:cNvPr>
        <xdr:cNvSpPr>
          <a:spLocks noChangeAspect="1" noChangeArrowheads="1"/>
        </xdr:cNvSpPr>
      </xdr:nvSpPr>
      <xdr:spPr bwMode="auto">
        <a:xfrm>
          <a:off x="8496300" y="140208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9</xdr:col>
      <xdr:colOff>304800</xdr:colOff>
      <xdr:row>6</xdr:row>
      <xdr:rowOff>100965</xdr:rowOff>
    </xdr:to>
    <xdr:sp macro="" textlink="">
      <xdr:nvSpPr>
        <xdr:cNvPr id="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8EF94CC8-3280-4C4D-9400-A652C1A13EA8}"/>
            </a:ext>
          </a:extLst>
        </xdr:cNvPr>
        <xdr:cNvSpPr>
          <a:spLocks noChangeAspect="1" noChangeArrowheads="1"/>
        </xdr:cNvSpPr>
      </xdr:nvSpPr>
      <xdr:spPr bwMode="auto">
        <a:xfrm>
          <a:off x="8168640" y="68580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5</xdr:row>
      <xdr:rowOff>0</xdr:rowOff>
    </xdr:from>
    <xdr:to>
      <xdr:col>9</xdr:col>
      <xdr:colOff>304800</xdr:colOff>
      <xdr:row>6</xdr:row>
      <xdr:rowOff>146685</xdr:rowOff>
    </xdr:to>
    <xdr:sp macro="" textlink="">
      <xdr:nvSpPr>
        <xdr:cNvPr id="2" name="AutoShape 2" descr="data:image/jpg;base64,%20/9j/4AAQSkZJRgABAQEAYABgAAD/2wBDAAUDBAQEAwUEBAQFBQUGBwwIBwcHBw8LCwkMEQ8SEhEPERETFhwXExQaFRERGCEYGh0dHx8fExciJCIeJBweHx7/2wBDAQUFBQcGBw4ICA4eFBEUHh4eHh4eHh4eHh4eHh4eHh4eHh4eHh4eHh4eHh4eHh4eHh4eHh4eHh4eHh4eHh4eHh7/wAARCADHAd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LorhPsfgX/nzn/7+zf8AxVH2PwL/AM+c/wD39m/+KqrIm8ux3dFcJ9j8C/8APnP/AN/Zv/iqPsfgX/nzn/7+zf8AxVFkF5dju6K4T7H4F/585/8Av7N/8VR9j8C/8+c//f2b/wCKosgvLsd3RXCfY/Av/PnP/wB/Zv8A4qj7H4F/585/+/s3/wAVRZBeXY7uiuE+x+Bf+fOf/v7N/wDFUfY/Av8Az5z/APf2b/4qiyC8ux3dFcJ9j8C/8+c//f2b/wCKo+x+Bf8Anzn/AO/s3/xVFkF5dju6K4T7H4F/585/+/s3/wAVR9j8C/8APnP/AN/Zv/iqLILy7Hd0Vwn2PwL/AM+c/wD39m/+Ko+x+Bf+fOf/AL+zf/FUWQXl2O7orhPsfgX/AJ85/wDv7N/8VR9j8C/8+c//AH9m/wDiqLILy7Hd0Vwn2PwL/wA+c/8A39m/+Ko+x+Bf+fOf/v7N/wDFUWQXl2O7orhPsfgX/nzn/wC/s3/xVH2PwL/z5z/9/Zv/AIqiyC8ux3dFcJ9j8C/8+c//AH9m/wDiqPsfgX/nzn/7+zf/ABVFkF5dju6K4T7H4F/585/+/s3/AMVU1ppfge6nWGO1dXY4XfNKMn67qLILy7Ha0VzF/wCFfCtlaPdT6fL5aYzslmduTjgBsnrVDQ9N8Da1I6adaTy7C6sxa4VQyNtdckgZDcEUe73D3ux21FcnZeHfCF5e31nBYyGaxkWOcGaYbWZA4wS3PysOlXP+EL8N/wDQPb/wIl/+Ko93uF5djoKK4aGz+H81jd3kMZlis7k2tyElnLwyggbWXOQckdu4PStn/hC/Df8A0D2/8CJf/iqPd7heXb+vuOgorn/+EM8Nf9A9v/AmX/4qo7bwl4XuIvMj0+Tbkr800ynIODwW9qPd7heXY6Siuf8A+EL8N/8AQPb/AMCZf/iqa/g7wwiszWJVVGSTcy8D/vqj3e4Xl2OiormbPwp4Vu7WO5gsJDFIu5S00ykj6Fsipv8AhC/Df/QPb/wJl/8AiqLR7heXY6Ciuf8A+EL8N/8AQPb/AMCZf/iqz7/Q/Btjpw1C5sZ0t/OSDO+fO9pBGOM5xuI56d+lHu9wvLsdhRXP/wDCF+G/+ge3/gTL/wDFUf8ACF+G/wDoHt/4Ey//ABVHu9wvLsdBRXJ6r4d8IaZFDLeWMipNcR26FZpm+eRgqg4bgZIGauf8IX4b/wCge3/gTL/8VR7vcLy7HQUVzdt4S8L3EImj0+TaSQN00yng46Fs9qk/4Qvw3/0D2/8AAmX/AOKo93uF5djoKK5//hDPDX/QPb/wJl/+KqO28JeF7iESx6fJtJI+aaZTwcHgtntR7vcLy7HSUVycXh/wXLq0ukxwq19DEs0kIuZdyoSQCfm9Qagm0rwHDey2cwjjliV2fdcygAIoZhndjIUgkdQDml7vcPe7f19x2dFcNJZ/D6O1a5kAREd0cNNMGQqAzblzkAKQSTwAQe9aGoeGfCdjptxqNxYv9nghaaRknlY7FGSQA3PA7Ue73D3ux1NFcbNo3gqK1a4azlKLZm8bbJOSIgM54PX0HU81ds/CfhW7tIbqCwdopo1kQm4lGVIyP4vQ07R7heXY6Wiuf/4Qvw3/ANA9v/AmX/4qj/hC/Df/AED2/wDAmX/4qj3e4Xl2Ogorn/8AhC/Df/QPb/wJl/8AiqP+EL8N/wDQPb/wJl/+Ko93uF5djoKK5/8A4Qvw3/0D2/8AAmX/AOKreijWKJIoxhEUKoznAFJ26DV+p5X+OPf0ryXRvFXiBtJ1K+l8QLdSwb1jgdIASouRH5q7ATwvGGAyWyK+gz4PbH/H8P8Av3/9esi7+FOiXFs9usVpbJIymT7NbLEZArBgrFcErkDI71rTnGL1RnVhKS91nlT/ABGuS2pNFpEXlWsVzJGZJWQ/uTgh8rj5sHG3ODgHrVjT/HGoy6tFZXenaZGrXcdo7xXxch5YvMjIBUZGOD79K9Zk+HenSSTySR2LvcDbOzWikyj0b+9+NM/4VtpQbcsOno4YMHWyQMrAYDA9iOx7U+enbYnkqX+I8Xm+IGpXXh+eby7Cwnls7ma3kt7oTPC8B5EiMuAG6D6+tbVj40lm1yCx+y2jW0l2tluFz/pBk8vf5nl4x5fvn3r0PRfhPo2k6a1hCYZ43BEj3ECyPKC27DsfvDPrWhH8P7GK6W6j+yJcKgjWVbVQ4Ufwg9ce1U50+iEoVbayPIviN4t1HS/7Rs9La0tZLKCGeSe4mVXbe+AI0ZSH6HOcdeKt6T41lv8Axc2jLpoFv9oltxLubeGjXJYgjbtPbBJ5Br1K9+H1jfMrXos7plBCma1VyAeoGaWPwDZx3ZvI2tUuSoQzLbKHKjoN3XFSpw5bNFOE+a6keQeIvEmsWXiPVYUu7SOztGsI0QOu/wDfSYdjlTzjjGeB70n/AAsG5t5bl77TbM2yNexxG2uy8jvb8nKkDAYe9euz/DvTbiWSWeOxlkkIMjPZqxcjpknrjt6Ukfw50yORZI4bBHVmZWWzQFS33iD2J7+tCnC1mhOE73Ujx5/H2qRvdRGx0OWWD7JjydRLI32h9o528Y71JdePb6OGxC2Wk/aZb2aznR74hVaNwGdTj7mMnJx2HU16ynwz0VFKpZ6YoJBIFgnUHI7evNK/wz0Z8b7TTGwxcZsUOGPU9OpwOfanz077C9nVt8R5GPiFevdQiLTtMaG4W6aFGv8AbOogB4dSMKWI9eK19J8VXN94J1HXRa2wurIS77cO4UMihirEqCDj0BHTmvR3+G+lPO9w9vp7TOSXkayQsxIwcnqeKbc/Deym0W40iO4S0tLiNo3S1iEWA3XGOhNJzg1oioxqJ3b0PIX+I1xFbKJNNspLiZbd4TbXTTRKs27AkKrkMNp4AOcirVj441C7miWPSLRVOnTXsge82sDGxTAyMYYgYJxgZz0r1Kx+Gel2el/2bGLVrYqFkV7ZT5uBjL/3j7mpx8PNPBDBLIEReSD9kXIj/uf7vt0pynT1shRhV0vI8bh+I11NZBlsdNS5jjmmuEnu2iVVjC5jBZeZDu6dMYOeatQ+PLk6r5c2m2i2H2uO23Lckz5kh81fkxjP8JGeter/APCt9K+zx2/kaf5Mb+ZHH9jTajf3gOgPvTm+HWmtMZ2jsTKZBKZDZpuLjo2eu7360OdPsChV/mPEr/x/qlxplyYBpdizaS+pQTQ3YmkjAZQqOjLjdzz+OK0z4/mOtXNjDpSSwwtLEHMpRmdI9+4kjYEOMdcgEHpXqx+GejFpGNpphMmd5Nih3Z659c1L/wAK80/zmm2WXmtH5TP9kXcUxjaT/dxxjpQ6lPsJU6l/iOC8Da/J4i0mS7mhhgnimMUkUbMdhABwdwHPPbI6YNct4RfTEtvHtmurmzsob98zx3G5raMxDLKSTjnd+INe1WXgS3sofJs5be2iyW2Q24RcnqcCoo/h3psaTpHHYotz/rwtmoEv+9/e6nr61PPG8rdf+AXyStG71X/BPE/hLfaNDNrl7Y6ilro22Boba4u/MdR8y+e+SdhkP8Oc8cjmmfFC60qHXbbULa+VtTsry1S5i+1Os8cZcYEEf3W3ZO71Fe2wfDfSYIpYoLfToo5ceaiWSKr4ORuA6496km+H9lNeRXk32SS5i/1cz2yl0+jHkVp7aPtOcz9hL2bhoeVfEjxnf+FNV0S3stFk1ZdQeVZIYc+aNu3BXHHc9a6+xnee0huWt5rV3UOYpQA8Z9DgkZ/Guv8A+EN+cP8AbV3AEBvK5A/Op7PwlDHMr3Fy0qg52BcZ+tYuUeVK2psoy5m76djorVma1iZvvFAT9cV5/J4W8TL4JvNHgFkt1dalezllvZUCRzNK6MGVQSwLrkYxxnnArtfEOqW2haFeatdKxt7SEyuF64FcRo/jK+g1/VNMms5dQupdQdoIY7kMsUCxQbtrEAHmTOOO/NYtJu3l+qNVdK46Pwr4m/tCS8nlt5IpnR57dbx1MxFokW4uFByrqSPUHPBAFa3grw3q2l6rPe61fG/m+yW0EU/2mQ5ZYlWVjGflG5lznkmqvjTxLImr2+k6e7RSWup6et2/m7CUmk+6Fx8wIBB6de+KrzfEy3jsIb06POYZ7Nb6Nlk3BIC5UtIFUlCvBIAbAz/dNCau35/oKzsl5Dr7wbqk10dWsZbXTtTkvCLtVcyRXtp5u4B/lGJFGSrYODkZINVR4V8V3GoXUt1Jbpb3F5aTNGmpTEbY5ZDJ1GfmjZBjODjHGBW34r8Yy6LNELbShqETWD37st0EPlIyBgg2nc2HBAyM4xmqd18QlSe/httLW4e3a2WLF2oEvnTNCMnBCkMvON3HvxSstF/X9aDu9WYkPgLxEsFlHcPBcRwvaSTRtqUx8x4ppCxyV4/dsg99uD61XvtN8R2Ot6fa3UN7fxwt5zpb3sozm7d1CMVwxCEBgSPlGAa27zx7NZyz3Gr6d9ltrLUZrVzbXYkZvLtGmbcpQZHBxgjnB6ZqzrnjObS5BcS2CygWEt1HHBfK0ciLJCoJOzIP73I7cHrkGiNrq3r+Fwd9U/61JvEHh/XL/wAT3V0t1N9gezCW3k37QNBLtdWBUIQ27cpBzwR0OBWNpnhHxRZz3F3OtjeXctlFbCT7ZLFws7swKjjJjYZwQMgjABrSf4geRNHbXmkiG5XUVsbhFuw4Xc6qsifLl1+deoXuOoxRd+OoP7O03Wvs7/2bcyM0TW9wrSOqwyuQ6beP9X90HOcc8EUe7a/9f1qGt7f1/Wg+DRfFVt4C0rTUmt7jUbOdTcxyXbhbqEM2U83buB2lTnB6Y96qX3hPxJLLOLa9WBWlDwEXsp8qH7N5Zt+nI3/Nv6856gVNN8QpFuYbOPRQ91Mscig3gEex4JJlO8KecRMCMdweQaWP4iLcW0t1Y6DeXUMEMUkxSQbkaSJJAu3q3yuPu5JwcA05W1uCvoZ1v4P8WWywiC/iXy57aXa17JJGxWFUm3gqDgkMRgjnB9RUd34Q8XTQpazyWd3B50c0XmX8mbdkvmmz9z590ZReehTHStnxD4gu5bfwpqmjMky307v5Iudkc6/ZpHClyvTIB6du1Q23xIguLdJl0mVNxxsknCuM2huRkY9AV+vPNDau2+gknZJdSrYeD/EEkdgmq3LTPHfiS+YapLtuI1SRQyqqjaSWUlc4+XrwKitvCfiya8ke+kt1glvbW4kij1KYjaiyLKASM/NlD1wcc4xWmvj/AMr7ENS0tbE3tn9qgd7oGNsgsED7Qu/aASCR143YNZUfjy9GlOPsbyLHYX9zczteKsyvBOYyEHl7SM9MgYGMjjlOydv60/4Yer/rv/w41fCHjB4NLtb2ezu1tBYOsrXshMDwSZkwCn7zcMEE4ORg+tdD4J0LXdLu1m1O+Eqrp8dvMoneQXNwrEtP8w+UkHoPX2FZen+L7i08QanpfkXOpzy37tBF5qr5UKRQFgCeODJnHHfkVt6N4wt9Q0HUNUa2+ytYymKa3mlCsjYUgMWAAzuHTIIIIJyKatv8xPX8jm7Twd4qjltppruJpIPs20/2jMcbLuSSTjbzmFgnPXGOgBqa48HeIo7JbeHUXuIlvnUxi+kid7MiTywZCG+dWkznHIVeeBVS78eX5urbWLO1BV7KWNrCW6Kxeat9Hb7923PG5udo47Vsy+PJ/s009toLzIl6tjG7XSorzGfySvIyAG5zjkeh4pK1l/XX+vvG73b/AK2KU3gnUpNTjvpwl08euLdASajN/wAeoiKBemAwY7sYwfWrvhLwvrNnrltfaxMs0dvayRx7b6V8SNPIwO0gA/u3C5PpjsDS2njwtezW95pcdqsf2pRJ9tUgvbuisDlRgHzBg+3TpWbdfES5m0+aaPSRFCmm3d1O6XoWVGglMRCZjIOSMgkDr0pppW/rp/wBau/3fib2p2OsWni3UfElna2txGNHFvBE07K8kquz4ICHAO4DIyfauc1XwJq2tWc0E0sNoktzdahGS5ZxLPDt8pgBjCszZIPIA4rfXxni81Kzk05I5NOkEcvmXQUHfs8lvu9HDnpk/KQATxUWg+PrPUrnTIrizNgl/Zm5WWaX5MjdvQNjBK7cnJU4OccHArf194Xf9fcZt/4L1m51XVNZVrRbnVYLm2kt2lJSBZYYY1cHb8xBhyRgZDY7Vf8AGfhrWrzRbHSdKeC5s49Pms54Z7hodzNEFjlyoOdpByp/vZ7VY+J2sanp2hgaCZH1Lm6RIo/MLxRYZ1I7BuEz235q9eeKLVbHRLmwjF2NadVtCZNiYMTSZZsHHyqex5pWVmvT+vzGm00/6/rY5keEfFBt3ha/hLETZf7S+14mtvLWArtwAr4O7H8OcZJqtdeEvGUizxwy2luDo8thGY9RmH7wxwiOT7vy7WSToBjPuaveKfE15feGfC+raK11aHU9RihaEOiuyskmUy2R95Rz7e9bvgrVG8ReCbSaTUS19La7LiaJBG6SDKMwXkD5lbHY4yOKe9/u/D/gi2t/XX/gGDN4Q1z7XqUcV1cRWrwqtg0OpuDCCihkKsh3YYMwYk53YwKu6toXiW68LaJY/aYWuLdgNRjt7l4BMuxl+RyGIIJVsH069KqeHtSvLebxFeXmrXV2mm6ubG3hmnRUZWji2hjtznc56ZPYA8Cq2m+OmuNbtb8RTeTqmn2KwWbTDZFNLNOpJbHAwmM45wBjJoVnbzt/mg1V/L/hjS0Lwzrlh4sTUpLlWtvtNyzhr6WRmheOMRrtIxkOrE+meDyao+IfC/iy81HUxZ3MS208l08Eh1CVCBLbLGq7QpxtkXdwe+RzWx4Z8Yya9rX9n2+kmJI4TJcyvcD92RLLCQqgfON8J5yOCD7Vg+KPG9/Lo2sW8NhJp7JHeLbXkN0HYSW0gVtw2jaDkEHJ7g47p2a+Q1dP5jdT8J+LvsdzZ6fLbLG90LiBm1KcNEQsPA+XuySdc43e5r00dOetcrZ+M7ebXL/TDYzSC0hWVZLY+e0n71oyNqjghl7E8HnBBFdSp3KGwRkdxVra5ItFFFABRRRQAUUUUAFFFFABRRRQAUUUUAFFFFABTQ6EkB1JHXnpTq82uPhxfEXT2moWNtNOLncyW7KZPMulnVXIOSoClT7McYpNu4z0gMuQNwyRkc9aGZVI3MBk4GT1rhbfwTfQ+IdG1CGTTLe202QSCGKJy3KSrIodiTgmQEduOnTGvq+g3154qi1JLizksjbrE8FxCWeB1YsJYWzhW+bnI/hWi7A6LzEwTvXAODz0oDocfMvIyOeorzyH4c3Cw2cc19Zyi2FmjqYCVuRBKXMkgzzIwOM+561WPw11RbJYLbWoLZlsntSY4iVcb2ZBtJygG7adpGVJB7YLsLHphkjGMyKM9OetLvT+8vXHXvXFWngKzbUoLi/s9Me2TTpbVrdYmfY8khdmRnJI+8w9eT9KoXfw+1J9G0ywi1GweW1dJZ7iW1/eSSRyxMhBB4+SIIcc989QRX6iPRAysSoYEjqAelUND1a31aze5hSSJUuZrYrLgNvikaNuhPGVOPaqPhHw8mhyapMy2rXF/fS3LSxRbWKsxZVY9TtyfbmubuvAurSy2e3UNO2W2pvqALW7bwzXnn7Qc8fKSpxj8uKLu6G9meghlbO0g4ODik3pgncuF6nPSue8EeHbnw9Z31tJdpNHPOZYEC58oED5Sx+ZhnJG4kgHGTiuasvAevWrTTrqGkPJLdw3Etu1q32efbCYnV1B75DA8nI5z1ouwsd/fyQfZXSaH7SjgK0QUNuVjg5B6jnn2zVSLQfD0IjWLRtLjEEgkjC20Y8t8YDDjg4AGa5aXwTqUkF9ayXGkukl3HcWs5tW86JFljkMJOfuDZtXHbHpzW1D4c3V1aXFv/aVvudLlBK8JLT+dOsoM3PzbNuB+fHSgDuLnTNIu7yK+udPsbi6TAjnkhRnXByAGIzwefrR/ZOjyJIv9m2LLI+6QeSpDNzyeOvJ/M+tcbZeALi316O8a4sZbFbmaZLXy3RYN0olVowrY3AjBzwePfO54K8OXOgaLd6dJfCRZZWeEovMKlQNu48tggkFsnGBk4zSW2wdRklro2pfEANNHK17pNiuxXWMw7JnOCOCwYGH27da1BougCRmGk6ZvkO5j9nTLHduyeOfm5+vNcTY/D/WLeJJJL7SmuolsAsi27r5zWsrsXk5zudXwT6+oqXS/h9eWMUknn6TNeLpwtLeR7QkRMJpHJ5PAKybcD07jihX/MH/AJHatpujNcG6awsDNI/mGUwpuZtu3dnGSdvGfTisvUvDHhjVNDuNHgtbK0tyrW7GyiiVogWBZB8pAyQMjHNcrJ8M7uTSorN7zTS0NtdwwubYnyzNcLMjLzxt244x14xVi5+Hk8l5NIJNMeCbU7i7mgMToJkmX+MqQS6HO09ME9KF6B8ztJNF0VhCZtLsHMIAiZ7dCU+bdxxx83PHfmlg0fRIJC8Gl6dE5mMxZLdATJjBfgfewTz15rK8b+G5tfXTVjmgMNtKxntrjf5c6MhQ52kEMM5H4/WsiXwPfxaxqmo6fcaXH9vhZfJltmZIpPlAkXngsq4f+9hT2OX12DodYul6KsUarp2nhAxZB5KYBI25HHXHH04qKDS/Ds6rcQafpcgkiEKyJDGd0a9EBA6DHA7VyvhzwPqmk3dp5t1pd5YoZd9vLbEiLdcPMrxc4Vvn2njHyrjGMVVs/h7qNrZ6DaQ3GjxRaTNFLmO0Ks7JLuJz2LKcHGOeuR0S6aA+p3k1lpVxFDbzWtnLHAw8mNo1IjOMDaO3GRx2qO40nQ5bhrq40zTpJiAjSvAhbABGCSPQkfQ1wlj8MZbV7eVLjTBNF9mPmraENuiu2mLA56lW2Z/pxUtt8OJha2sV3LptzJBdNJLNJE7m6Ty5UUuGYgP+9yccHH5F3bYdlfc7R9O8Pzs1u9jpkhihEbRmJDsjI4UjHC4zx0pToWheWAdH03YA4A+zJgB+X7fxYGfXvXDD4cX8cLGO801pzDYI7tAwM32ddrI5B3bGAB68EDrXUa14fupvClnpOk3FvZy2bwPGkiM8DiMg+W4zuKEDHXPTrTfUXYu/2doc1yxk0ezzDIsyTPbJtLlcblP94AAZ+lWRpulCzexFjZi2n5eHyl2SfVcYPQflXH3PgKW41EXLnSUgN1aXDWq2p8sCGN0ZQM4wd/HsKrWHw/1aHTX0ubVrKWB9MS0jn+zt59pIsbR7oTnhSDkjr1554WtnoGh2i6HoTQtGuj6aYmVkZRbJtILbiDx0LDJ9+ag1Cy0Cwt7m9fR7WTMiyTCGzWSR3GNrEAZJHr1FQ+EtBk0afULiSWEG9eJvIt0KwxbIwmVB7tjJ/D61y1v8PNQa+kuL660qVZby0upI1tSFYwmTPGerK6jJyeOSab3VgW2p2iaZod3AsraTZEXCs5ElsoZg+C2QRnJwM+uOacND0Fk2jR9NZVDrj7MmAH++Onfv61xth8O7yC1tbeTVYX8qG0jEqxEPB9nlZ/3PPyhgQpHt36VqeFND1zw3cxWcE1pc6dcXUss6sh3wIYxtCv1b5x/Fk4bGfloXoB0txYabcI8NxZ2kqSbA6PEpDbfu5B647elVbnw/oUtnJZtpdjHFLE0JVYEHyNnco46HJ/M1mXOgxXXxDj1fyWWOKzUT7ohsmkVj5JB67kBk/wC+lpPEnhibVvFFlqjS28trDD5bW82/5HDh1kQqR83GDntilutg2NuOx0qLydttaZih+zRMyqWWPgbATzjpxS/2fpa2CWH2GzW0hxsg8pRGnphcYFeZXPw+vPtenaLcRW99aPa38ZuZbfeLRZBAIwG6s4KMVZueBk8ZOrL8Op5or6G4urO7M15HMlxco7yPEsySmKQbtp+7tBA6fq7thZI7m50/S7yKG3ubGzuY4MNFHJEriPjAKgjjj0p9vaWFpKXt7W2t5HRYyUjVSyrnavHYZOB2zXM6N4VvLDxxJrvnaelr9nlto4IICjCNmjKAnvt2EenPGOlZ/i/w/qreLLPVYQl/aS6lZuU8kmW1WPcHKtnGw5yfcnrRfbzC2/kdi2l6O0NxG2nWJjuJBLOphTEj5BDNxycgcn0pqaNosMTImlWEcewIQLdANobcB06Akn6815/D8N9XjhgjbUdOkSCK3gMPlSKlxHE03EhDZ5WUdOhUdq7PXtFnvPDUOkWLWkYTylInjMiGNcZUAk9umc0umwdTSgtNMtZhNDbWkEvliMOiKrbByFyOw546Vz+h6f4fs9Y1bw+LU3M1z/xMbiS5iiZZRPI52jAGQGjPBHpya5+z+Gk6DTmvLjS7l7SPT4yXtSxZbYSBhkn+MOB+HepbL4bzILCO6u7KUWlpaQJMkJEsLW87yhozn5ch9vsB36U+v9bf8OD2+77/APhjubXTtJs7mS6tbGyt52JEkscSqxyckEgZ5PP1q7XmbfDvV5I79pNT0+K4uZoJ0kggKrHJGrqWKHKuCGGQwOe5zg16WgKoqk5IGCcYoWwnuLRRRTAKKKKACiiigAooooAKKKKACiiigAooooAK86Tx/qEd5ci6g0pbSOa5t/NWZ827xTrGnmjB4cMMdORjpyPRawrB/DOhQX0Meo2cCCZ7m78+7B2PIxJLFj8oJz7UnuM5HSviReajdaPaJDpME17DHI6y3WM5eVH2DOSQY1wOSd3tUUHxRmnhtvLtdO8y5itiHe62xQySxzMUkY/dw0W0e7DvwegMnhy98QavNqUUNuLGW2Vp5rvEM2EEsbbSQoK7j+Wa0fEPiPS9L0W6voHtL54VLm3jnXc4WQKx7/dY88cHilr1YaGNoXjO+vfFiaRdW1hHE9zcWw8qYs4aKKOTPPBB3kfhWJ4t1rxDaeN9Si02SaeNLeX7KiH5kmW0ZxG0f8UTHDeYOd4216Xb31jcXU1rb3lvLcQY86JJVZ489NwHIzg9arPrGkiC5uY9RsXFsTHKwuEwjYzsY54PsaUlpuOO5zfg7U7pV1+4WW41HTbaKGa1bcXaRzAGlVT35xx2LEVzGmeLpNQ1u9eG8tjBq6WaiaK6YRWYMErkM38LErs4xz6Gu+0TxRpN54fsNUubqz08Xdot15MtwgKIRnOTjI96t2ut6Bdu8Nrq2mXDBWdkiuEY4U4YkA9AevpVSV2xR2PM4fHk2nQazrXlxQ3E1tayxWV3O5CsLZ3Kr7kJ1OPXk8VuXnj+9he+mWDTDZw3kFnHI1wQFaWJZA8jHCqnzFevXFddpet6bqVrbzfaLVDcs4gjNxG5k2sRkbSQTx0GcdDzVi81LSbaX7NeX9lDIVJ8uWZVOACScE9AAT9BS13uBg+EfFF1q2tX2mX1nDbzW0KSr5Enmo4PUhxx97IwQDwDgg5rAg+Iep3djaXVtaaTEt5O8SLLclnhKwyyFJFX7rAxhSOPvdBjnvDq2jxq8h1KxVQwR289AAxAIBOepBBHtUk97YWtxDbzXVrBPcsRDG8iq0rf7IPLHjtQ07bgmrnO33i6OHwxoOqSLbwLrJiQyzSYhtzJEX+ZvTI2jpyRXHeD/GF9p/hi1lEKXy2tjpzXcnnySPslMilgvPKsFz3IPPQV3um+KtLuPC9hrmqTW+lwXriNFuJhjzCxULuOASSKnHiPR0e6W6vrK0hglEIkmuo1DtgnGN3HQ9cE4NN6t/18gWiOL1zxlPayavpN4tpaXUhMBuGuX8lH+xrLt5PysSSFAxnaT1qto/xAv4PDDGG3sZP7Ns7ZJDc3eJnZkhw+3klG8xsN6jqe3oJ8ReHGm+znXdJaXcF8v7XGW3btoGM9d3H14psOv6NvVbjUNOtp5JGjRGu4yz4coMYPOWGMdQeOtJbvXf8Ar9Qey8jzvxf46nu9B1DSZZLOxu0aYees7Ksvk3KoREcg7sYYjPAI7VszePtRVJGg0mGVtl0RD522SEwzLGBJuwAXDZXkZ4Gec13MN5YXVy9vDdW008Wd8aSKzJzjkDkc8VlSeJNMXxPLoryWuEsjczzmdcJiQJscduvc+1FnpqMzNY8ZNaeGNF1a3hgZtVdY0e5YwRRkxs43lsFcldoz3I694PDPjO+1LxOmlXdtYRxySXcS+TMWdWg8v14IIkP5V0Gla1b6nq2pafHFG0NmkEizrIHSZZFLAj0xt96sprWjSZ2atYNhtpxcIcNtLY69doJ+gzT6tk9EcH4u8ZalNY+I7OxFjZmwkFuWmuMTAmSJdxQchGV2IbjtjOeH2vj77JE0Mlvp1nZwXn9nebJc/wDHq6s6hpl6ojbBtJIzuX612J8Q6LHJM9xqWmwRDZtne7jAk3JvHfj5eeeo5HFKmv8Ah2S4ubddX01pYAjXC+emVDgFCee4Ix9RSS8xnHr4u1SXXWsLhtIkKatBaQLDNIh/eWvmBzz8yljgcYP1FS2/jrVJNPsribTba0NyJ1Lzs6xxywJmSMnHUuGVfUIxrtp9Q023sf7RnvrSG0KhvtDyqsZHY7icYqgfEWmNr66KHheRk37xcQkA43Y279+cYb7uMHOaLO1rgu5j+KfGkmkeCbPXfssNvdXdt5yWt2zKdwiMhj4H3sAjnH49Kh8P6o7weM763ulJjmE0O6TekebSJh34Gcnj3rp7jVbFtJvL+zmtr9bWJ5CsUqsCVXdjIzjI/nUWl+INLu7G2me8tLaaazS7a3edd8cZUHJHoMjnpQ1fm/q39WBaWPPPDfi2/sbaxs41017u7Wy82Z7mQoWmgllL7STg7k5xjO76Vdl+IX9oW+m2u2yjGp6czzhJ28yB2tmlXBwBjKkDv346V6DPqem29gNQn1C0isyMid5lWP8A76JxSSahpcdwYpL6zWYJ5hVpVDBB/FjOccjn3okrpq4RdmmcnB4mXR/B3hTzri3jbUbWKMXl5IRCjiDcN7erEYHPJ96p3nxIW11W/tXWwkgto1PnRytiNvtCwuZMgYVd4YkDgA9etdhHrmlTNN/p1ibaNY2877VGVJYtjvxyvGevboaeusaG13HarqmnNcTAFIhcIXkDDIwM5OQCfcCm3eVxJWVjzrw742bTRa2JurC8a71yaOU+exIjkunjVkJyNo4xyfTjrXU+KfF/9j+KdM0ZPsbfapY0mEkhDosnmBX6Yxujx1Oc9u+9HqmjSGMR6jYOWfy02zIctx8o568jj3FVde16z0nVdJsrqGRm1K4+zrKoG2JtpK7vQMwCj3IpJaJX/rsN9WcJ4X8cXqwq0sccr3/2KcO928kdqtw0oO7dyFUx9sDLqOK7fwh4hi12wUzLFBfBWaS3V8nYJHRZB32NsJB9K0r3UNNtZPIvL60gcxmTZLKqkoCAWwT0yQM+4rC8VeMbTw7rEFhcWE8/nWrXG+EqTtWRIyoUkFmzIpAHbNNdgZyNrqGp2cVvbzXt1q2iajqoS0vIZS0ljMJ8GCRlOTEQDtY9Pungg1al+J0kTeW9rY7+UkPn4Fu4umgzIT91cBW5x1rvtR1jSNNkji1HVLGykl/1aXFwkZfkDgMRnkgfUil+36UZZ4PttkZIlLTp5q5QDqWGeB9aSW2o299DgdY+IGsWsxtPsul2s4+yt5ryma3KySRLId6kYx5nRsZGCMjOHax8Q9Q07StXv3j0ci0uri2to/NfdMYULt2wMgcc8cnnpXTaJ4r0XUYpHmurC0Y3s1nCr3KH7QYn2ZTpnJxwM4zU8HibQ5LVrm61HTrWHzpI42mu4sPs+8RhsDr06gdcZo6b/wBaf18w+X9alHxd4g/s19GnhSGQXQndC07KBttnkB44YfLjn1BFYNp8QNWktFuG06ylAltUk8hnbYLmDfFx/wBdCqH2Oa7661DT7Qot1fWtuXRnQSSqu5VGWIyeQB1PaoZ9b0WHeJ9W0+PYwV99yg2k9AcngnBx9Kb3Ylsjibzx9qqSXkMNnpKSW1/Hp7rPdFWSRpUj3lB82whi4PGQB1zw+98bXSanJp95YxCa11K2hAhmYCVXZ13KwOCdykbGwfUYwa6XWvE2mafHps0EtrdnUrqCCLy7hcusjbRIvXcB14/Orj67oMOGk1jTY98nlgtcoNz8fL15PI468ikr9/60/r5g/wCvxOJj+IWpTHTkisbBTfi1YSNI2y3MxkBif/pouwccd+lVYfiRP9kOp/YIGLWdlNOEuGfYsnnbysZI3bSg4X5iD0OMV6Imq6QVRk1KxxNJsQidfnfjgc8nkce4pLjVtHi1GPTLjU7BL1yNls86CVickYUnJ6E9Oxp/5/0gOAvPiPe6fZXs102jvNFqU0EcCu6v5Mciqcg9G2uGycfQ9vThyKzJtb8PxQPcTavpiQowV5HuUCqxB4JJwCQD+VaSsrKGUgqRkEdCKFsJi0UUUwCiiigAooooAKKKKACiiigAooooAKKKKACuJl8D3j6HLov/AAkT/ZDNK0Ra0UyLFIJN0ZfOTzIcMMHjBzk57avNL/xh4qjkuoILMmaFp1P/ABLZmAK3caIcg4OYnLcemfapaTdmUm1qadv4DubTUoNStPEDx3MQjQhrRWjdFgWFlK56kICDng56g4pl78PDczXn/E7dIZ/tWxBbLlPPljlbnPOGj44HBq0+ueII/AOs6iLfzNVspbmO3H2KQCbZIRGwjzuO5cdDz1FYdx4p8a2k90q2X9oKj3ccYXTZY+IzEUkzk5+V34/i2cc0XTlf5/eJLRI6fw/4Wm0zxBe6xNqzXT3UBh2fZ1QIPMd1xg443kdBnr1zWTafD66t7kXi+I5GuxcRThzaLsJSJ4iCm7GCr9sbSBj0rP1fxT4yhkvRZ2qyQW8V1LbzDTZW+1+WICgwD8u4vKnvsyKnXxF4qj1S/gkz9m/tC4jSVtNci3jWEPEOD84ck/N7Y6kUtLfK/wCI9RyfDGFdNubA6sJI7jT0sy8lorPGyxmPzEOflyp5GOueeTV648Bs93cXUOstDNLLdSgi1RgrTxxoeCeceWD75qfVdY8RLoHh64itRZX1+6LfRm1ecW+YWZuARjDBRk+uK5mXxd41vND1CWG0XT7y30xbhI206ZpJHMKsXQEbeH3LsJJ46U3ZN/15gru39eR0GleAxY6hY3v9rzNLaXc9xvSMo0iyyNI0bHcdybm7gngEYOTVXxH4Pvp/EUU0F08+n31/JPdRsqBrctaPAWVicsPu/Lg457VY0zX/ABHNrtvaSWglgN75D/6I8e638jeLkMTgZf5dvbOOorJ8davq0nie3hh0u4lfSdRWa2hWzdhcqbWQh/NHygbzsx7c9aTtZdv+GBXu/wCu5dg+G5W6gurjWUuZIyiuktkpikjEKwlSm7qQinOeDngg4rZ8ReFpdX1uw1BdUa3is5IJVgEAYM8bMck5B5DEYOcdRjJzN4O1C+1bw8bzU5IyZclfJglhZV2jKkOA24HIyKwPBesWel/D3SrTXv7SSa4S5UI9vO0r7GdivTdu2cgdT2zVPR3fqJaqxrJ4R8vwvpWjR6mwbTbuO5jnaEHeUkLYK575I61S0nwBDYJp8f8AaEcv2C+FzG5tF8yRAsqqkjZ+bHmt83H061ycMTNo2zT01N9Nl/tGRbf7POn2e4kRTBGodQ3HzYI+UMTg9K1vC0HiT/hJNNOpLcnUIryb+0JCG8trY2yhBn7pHmbcAdw3vSW/4/l/l9wPb8DRn+HccqTL/a7r5izrn7MvHm3S3B79iuP1pZfh4shnJ1hwZhIM/Zl433QuT39Rt+nNa9rfa83ji80qZYf7OiiS5imWE/NGwK+WTu++HVjnH3SKozzNZfE+7vJFvjZpoW+QrHK8e9Zc4UAEbtvYcmhWVvn+o3fX+uxa8PeD7fR9StrtbyWYWkVxFbKVAKrNKJG3H+IggAdPzrDk+Grssa/8JDIy22Ra77VTtH2gTASfN+85BU9Mg+vNV/ErXusaz/bXhkm/Muizi2ZoHRrSQxFopI2OAd+8Agg8gHPBFZrw6h/aM7C31A+GpQwSMRybvP8AsgGdv3gN+Rn+/wA9aT0W23/BGtXvudtb+ELeK31q3N2Y4dUsktGS3iEQhVUZMpjp98n2rB07wbq0mo3cl7qSIYbq2ntbxbdNs4S2aFsxhvl4c9xzzjHFaN/qOtaV4R8PW2oRSNc3UKW+o3It2n8l/IJJZV5O5wFz0Ga5Xw5ea5HoejWkmjSH7La21okMlrIGaB7YGabPRSrZXaRn5cfxCidlzIUbtI6PTvh4lr9jZdZaQWwg25t1+byrZ4B37iQn8Kfpvw++wm2aPWHZrV7WWHdbjHmQQGHLDPIZD04weQa57SPE3iHTNH0vTLLT7grbaEQyS6ZNlZ0tUeMZ75bcpGByMZyDWuviHxct39jZbQSJp63SyTWE6rcMyOSBt3bdjBAQTnGeORVOyb/rv/kLVpf1/W5rXXgtW8IW3hy01OW3iiaQySmIMZA4fcO23lyRg8AY5FUJPhxDPCYbjV5Wjcx+ZshCMQtobbg54yp3exrX8FeJP7Xt47S/hntdWWEzTQSwFMJ5jIGU8qwyvUHoQcDOK5238SeLzPZpKlvGt5d3UaPJps6rEIpgsaHGTmRMsGOBxxSaW3f9Au9+x0OmeFFs7fVA980lxqFpHaPIIgqqkcZRSFHf5iT+A7Vkf8K73yxm41j7TBHZvZrDJagKUaOJDnDD/nkDnrzjPAxmXPi7xUTBat5FhcTXs9usjWDyxyBYGkjMY3BjyuDkAg5HoTJB4y8WLHcT6jpAtfs0kUd1bR2c0skKP5eZ1IGJFAZztXJ49jRdNv8Ar+tx2at/X9bG/qfg+a88IWvh7+3bkCJHjluJYxJJKrIy4JJyMbuucnHOcmqn/CC3i2N1ZxeJJUjknhu4CbVS0NxH5Zzkn5oyYx8h9SM9MZx1nxC+o3Uc8n2+3TUNOFup0mRB5UhTfKDnPB3Hn7uOaXUPE3i+y8N3lxPa7dRhmltYVj02SRZpIw7CQANwjgIB+I5NK61f9dAs9EbM/gySfXI9bl1b/TYmgkXbbBY98azKSVzyCJ24zwQDms6H4ZWkMPkR6rOsRaBmHlLu/d+bnB7ZMzfTAAqnfeJ/GD3cxs4xFBvkWMNpMzkAWazK2cjOZMp+nUUn/CXeLrizvriKxjtZYPJC2z6fO8hDmL94OgIw0nGcjHPQ07J6W8wu9zWsPAEdsmkN/aSpc6dIrfabe2EMkyqEG18Ng7lQBs5B6gDAq54s8HJ4ie8kuNQaKV0hFlIsWWs3jfeHXn5iWwefQVzF14r8Y2tzNIYXmjt7e6AiGlyATtHchBJnkjER37Rndg4613HhrU5by2jgvZFlvPJ85nitpI4mjZmCkFx1wOR174wRTT5lf5/19wnoVtd0Yapruh3EisfsLSSS3COqhwVA8or1IZtreg8vrVPxp4Mi8S6qt1NqIgX+zp7Ex+QrsFlZC0isT8rjYMHHHWsNNPstJ8Z+JruLSZRBYabZzWZW1kdBIpmLbMfeblMgHPTNUG1zxFNe2et/2VNPqFtb6hbZFjIi7PtMAVyvc+WC+0H5tpxU3T0fmPVfh/mdL4q8L3Wsa9YW+0/2V/ZN1Y3cz7XciQxYHJzkhD82Dg1WvPhvaz20drDrFxD9kknmsiEDNE8sqyneT/rFDJ0OMjr2NSafrnii88RWdgUjhsmubkG6NhIRPFH5RQjnEZbfIuT12ZAqrrl1q2l/Ea6v7C3ke3lTT7e4H2KSQSIZJgxV16FAQT17ZxTutH3/AOHF38v+GNC08DyQ3f2yTWBJP/px3fZFwGuijEgEn7pQYBznPNVE+HH7mVZtceRpWuXZvsw6z26wN1Y9Au4fXFaPgLX9U1oaqdQgeOOF42tWezeAsjxBjlWJyQ24dc8c81z2h+I/FWNNi+wrb25FkkkQ0uYYMpkWQ5J+UJtQ+2eetJpbd9Bpvf5nX6p4YttRs9GgnuJFfS5EdZEUAyqE2Ojf7Lg4IrKt/AUUL5XUFOzU1vonNqplAErS+Wz5+YbmODxgep5rNPiXxnHY2f2mzgtp5rqSzkmeylaOOSMMN+EJOyRgNp9B15FMk8SeLJdegs5IzaWy6k0Ms0envLFLCY5SgycMpyqhsgYJGCQRTclfm/rp/wAAVrK39dSxb/DUwRRW8fiCY2wNu0qG3XLNC7MpU5+TIbBHPTIxzVzSfAcOnxaVvv4JDppf5/saqZlMRiXfyckL37+grntN8bavbzaXZXK2unRi0t3miawmyWeN8xKM5Vy6qFU9QT3xTNU8V6/qXhzUbC6sZ1juhdwR3A0uU5X7OjxIUGcFi7jdnHyY6mk7JOxSu2rm/pPw7gsL6zuV1M3ENvvX7PPB5sSxlkdVj3MSm1kyOWxnGOBiTVvCc+t+MNUk1CPy9Int7Iq67d8ksEkj8NncmCy84555qv4V1vxEbrTNPk01ktxKLeSJ7d1ZLcW4ZZ9545f5duO+OoNS614n1yG/1W3s7OVZrKeNEgawkcSwOY83CyDg7dznYOfkxTaWi/r+v67kpvcWD4ewxzabM2pu76etpFFmBcNFblygYZ5Y7zlvbgDmu4rzO+8VeM4p7jybINBAsrxONOlb7UqzxqpGD8u5Hfjn7m4cV6ZTT0E1qFFFFMAooooAKKKKACiiigAooooAKKKKACiiigArAh8ZeHZbeWcagUSKWaJt8LqcxEiQgEZKrjlhwPWt+uUbwXpSy7RqF7HM7XZjIkTcI7ghpowNvK5wQTkg45pO/Qat1JNS8X2Ftr+m2MNzbSWs6ztc3G47YVji8zO77vQ889K2dO1bTdQjne0u0cW5AmBypjyoYbgcEZBB57VzC/DXQFRrZZ9QGnkTBbHzV8pPNi8t8HbvGRz97g8ityy8N2EEWpLM893JqcaxXckzDdIipsC/KAB8uenck0a6hpoEnijQY03yagqLtdgWjcBlRN7EccgKc5Haqt94r0+DTNSuo7q1ka23rCiF2LsIRKAVC56EHjI2kHNVrjwLa3GkWWm3GtavMLJJIoZneLzPKeIxGMny8EbT1xuyM5pkvw/0xm8yPUtUhm3s3mpJHna0CQMmChG0pGnbORkEUpX1t8hxtpcv6P4r0m7tLX7VeQW93JYLeyxEkLGu1Gf5jx8u9c85GR61V0zxpp0txqy388VtFZ3bQwnY4aRFhjkZypGQBv5OMdPWqk3w70UxSfbNT1SWAWMlliWdAI4WSNTghQRjylYc8HPrip4/Amnmea9fVdTnu7gSCW5Z49zpJFHG64CBcERIemQRkU3e7sJWsrm/qesaZpum/wBpXl5HHaFd4kGWDLjORtySMAnjtzWdd+NPDNrcPbzaookXqFidv+WYk6hSCdh3Y9OafrXhex1PQLfQxcXdnZQIIlS3kA3RhCmxtwORg/mAaop4E01XD/2hqRYMr53x8kW32f8Auf3P159qHfWwK2lxbLxrpjeIrzTby6t4IQYfsM2W2ziSHzOWxtBwDgZ5Aq/F4i8O3UkEkd7FJL5728Q8tt4kAG4YxkcEZPTBHY1nxeA9LjQxi81ApsgAHmKCrwx+XHICFyGA59MgHFRRfD3SFt0hkvNQm23wvg7sm8SgIMhggK52DOMZyw6GjqHQ6DVta0rSmVdQvY7clGkw2eEBALHHRQSMk8c1Th8XeG5r2ayTVYfPh8zerKyj5GCuASMMQSAQCeo9aPEPhfT9buWuLmS4ieSzksZvKYDzYHILIcg9x1GDya5lPBOnNDeWniK+WBri+uZtNWG5CtArFX3ISoO9QgJzuAwe1K7DQ6C313QbfU7p1nt4WmWOSUsrrNI5cxKNhXJ5TAxzkHjuZJPFnhmRordtUhf7Sq7QFYghnMYycYX5wV5xzxVa48HWV7eQaldapqNzeRJD5VwzRghonZ1fCoFz87A8YIPSqlx4J8P27oJNRurZrhkjAMyAzSC4NzkZXli+SQO3QCmr6J/12B9bGvH4o8NpJ9li1O33xuIhFGCTn5sBQByPkbkcDafSl8Za9D4f0C9v2aNriK1lmghYMfMKIW6Lk46ZPbNZTfD7SH0c6S91eNaC4M8S/uw0J3FgEcJuGCThslh0zirXi/QdJ1u5t0vNVnsLn7PPbL5EyK0sMoCuhDg5HCnIGQR1pPmt5jVr+RoaPr+m6jOtnFeQtfCESyQKclem764LAH0zzVO48YaHZef/AGhqNvD5c00Y2B3wIgC+75eCoYE9gOc1J4Z8MWfh+e5ks7m5eO4cuYpdhCMcbiCFDckZwSQCTgCqN94D0q8e6aS81EfaTdlwroMfaUVJMfJ6KMenvVNvoTHzNT/hJtC3TqdSiHkM6S5DAIybdwJx/tp9dwxnNV/+Ez8Mbwv9rwkmIzcKxCoCy5Jxgcqw57jHWqeseEfDxtdSkvrqW2GoR28M07TKm14yBG65G0OSE7c7VGO1WT4Ssne6ea7uZmurJLOYOkWxkVmbOwJtyS7ZGMYPSk7jXmFx4j0yG4upIpLV7gQxeUhLLLIz7yikFcgHacYyeG44qS28XaBLLaW51S3a4uViKiIMyEyZCfNjAyVYDOORjrWfZ/D/AEi0ltZre71FZrQQi3dpVYx+UJAuMrzkSuCDkYIxjFLD4B0e32fZ7m/iCG3YKJFwWhkeVScqeS8jE/XjFGv4/gBs+IDo1pHDrWsCJF09i8dw4J8kt8pPHTIOPxqyup2Jspb37Qq28TsjyMCoDK20jnrzx7msx9Jv28FzaLdXK6rcywyQvJdNtEiuSPmKr2U4yBzjtmpL3w3Y3fhNPDkktzHbpFGiTRyYlVoyrK4Y5+YMobJzk9c0dw7D/wDhJtD8xI21BEd2VdroylSzlFDZHy5YEDOMnpUFv4w8NXCSNFqsbCMLu+RxndIYxtyPm+cFeM8jFVm8I6Zeu11PqF5e/aVt/tTs6YuvIcvGW2qAME/w7QRxVZvh7ozWklrJdXssUlu1u6ymNwUaZpjwU67mOD247jNGoaFzU/Flja6Rqt4lxbSSWnmiGNd7MzJEJMMu3IOCCcZwCOaW18ZaD/ZyXF9qVtbzLaLc3CZJEQIUt25xvXPcZGaoyfDzSiv7vU9WikzJmUTIzFHhWF0JZDkFUU5PORnNPg8AaXBpuoabHfagLW/VRIuYsqwCgsrbM5OwZBJHXAFGuoaaGzYeItGvr6Kxtb0PcyxGZIyjKSoxnqByNy5HUZHFSXuuaTZ30djcXiJcSOsapgn52BKqSBgEgHANUYvC9rH4oXxG+o38twiyKscjoY1V1UMANuQPkB69c1lat4ZTUtdttc0TUhIkmpW9zewmdTC/kqU3LhSd+NoxuAOBmjXQO5sf8Jd4b+z/AGj+1oPL8qOUHB5RwxQgY5yEfp/dPpV661jTbW3tZ5ryMR3ZAtyuW83Klhtx1+UE/SuVi+HWjW72gXVtSWe3ES2jO8LFFi83ChSmGG2Zwcg8YPUZrf8AEvhux1/ToLC9eZYoJFkQx7QwZehDYypHquDQrg7XG3Guf8UvqmsWhtp2skuSoVmKlotw2tkAg5XB9O2aqaZ4z0e9itGF/aRyOp+1RyF0aJhD5pABX+7zk4BXJBNXrbw7ZwaFqGjia5e3v3uGlZmG8GYsX2kDA5Y44P41kXfgPQrhI4726u5HeJrdmaRVaZTbtDtOF7IWIxjkk0tbP5f8Eel18/8AgF9/GvhdNu7V4vmz0RztwyqS3HygF1HOPvCp/EGtNpWp6PAywi3vZ5Y55JGx5SpC8m4dv4Oc+tZl14F0+7tVhutS1GRhZvZtIPKQsjOjkkLGBuzGvOPX1rT8S6Jaav8AY2ur+6tHt3k8mSCRUbfJE0eckHnDkjHem720Eh1n4m0O8khjttQSSSaR40QIwbcjBXBBGRgkDnHUVYv9Z0yxvraxu7xIri6cJChB+ZjnAyOBnacZxnBxXPWPgTRYbmBlvryeWzvmvlLPHvSVsE8qoIBxyO4ODkYq/wCIvDNjqurWmp32o3sQtpImjhWRREXVjjgqTltxU4IzxRroHcbJfeEzeyak3kvcZVjIsLsZNqnDLgfPgA/MM49alTxXoqRyNd6laR7JZV+VmO1Y32Mz5UbcEgEngHvVG08DW1pFpqW+u60jaWzCzfzIi0ULDBh5jwyYA5bLfKPmqvD4N8N35vJLfU7i4+3Lcx3JjuEbzYpZcyR8DgBwwyORlhmhXuGhsr4s8Otc3Fv/AGpEsluJTLuVlC+WQH5IwdpYZAPcVPp3iLRdRuUtrG/juJWBbagJK4LA7uPlOUYYOOhrEvvh7ot4k8c11qGyVrhtqyIApmKFiPl/hMalfpzmr9v4TsY9asNYkubma8somjSQiNN4YEHdsVcjnO37uQDjNCvoAviTxLFout6Np8sAePUbjyJJd+PILAiMkd9z4X6mt+ud8Q+D9N1z7c19PdF7oQhJF8vfbeW25TExUlTu5Oc10KAqgUsWIGMnqfeheYmLRRRTAKKKKACiiigAooooAKKKKACiiigAooooAK8wMnju1E8lvDqN7dI2pFBdQQlV/eKYBGwAOCmcDOCRg16fXGXvjizt/E0MRmA0k2kzNMYj+8mSaOIKjZ55YjGOvepe41sZf2nxyt7FJDcarcWwFs6q9jDFv3XBEquCNwxER0I6ZqJLr4gXENu8k2p20rzTJdRRWMIEO2KUqUZgdylxFg4/mcasXj6yi164W9aWLSWgtGt5zauoieVpVIlJ+6CYwASB19627PxXo11od7rUc0q2VmhkmkeFh8uwPuHHzDBHT6UrJp6jWj2KWoXniKPwtoV4lvc/bmltjqUUUKs4RhiUbTnoTnjpiue0i88fvcafNeLqQUNZLPE1tCFYM0gnLYGRgCM8EY7eldMPGujeQkzLfJG179iLNbMAsm8JyemNzAZos/Gmj3Us0UKXxeJJHANq/wC8CSmJtvrhxj8QelU2r387/wBeQktLFDxh/wAJNJqupppsl6tnHozvbxR28Lxz3R3gIS6knjYccD9RWU954+e11J4xc29xAwW3tvsK+VImVKlZBkgldwPB2k9MAV1OjeLdJ1e9tbXT1vJmubRLxX+zsESJ920s3QElGGPUVDqHjfQbEXJuJLkfZjcCXbbscGAKZPrgOp96Vrdf6v8A0h79DibfxN4wur+6hhmvVuQ0kUFsbWNkcq0XmYcLt8yNPOGC2GbHAxiuta91+28F+I728mkhltxcvp08kaCXyljyjOuNuQ27qOQBkVetdb0JdL1XXo7VrdbFpRfMbXbKCgDNkAZbjB754qlf+OfDa2kyX0d0UFu0s8ElmzFE2lsOuDjKqSAeoI9aT+Hfp/TBb/MxNGm8b3l1pjf2jqLaZcyiYztawLIEMCtsf5MBPN4BA3YJ56GkS6+IUi2CyC9i8z7MNQK28OYZDMRMIsggx+Xk5OTwuDya2dU8Zadb+G9QfS45Y721hnWG1a1IZWijD5KcfIAyHr0YUyLx7ptrZmTUWuJJVDF0t7Rzs2QJLJnrnCvnI7cdRVO17/MSvZI563vviPBbW6zjU5Vlig+0ymzhaSBt8yuUVQAxwISQc8EkelJry+MLzUovOsdRmuNPa5+zyR2sXkSK1kwjkwc/MZCQVJwM4xjmuqk8daKsivJcyWsMbTLOJ7ZgfkjWTg9vldSOuc08+PNBE0UZ+3AvtJJtXAQNL5QLHHA3kDPvnpU2v7tx3+0ZMN/4zguopZrS4MMU6F4Ehj8trQW2WIPUS+bkBcgdBjHNX/FMtxq+leG9U0ywvJl+3Q3vl+WBJGnlOfmUkYOWAxnqakg8d6FPpzXU0N9CgW4d45bYlhFC+ySUgZ+QHvWrrXiHTNItbe6umlME7IqSRRF1AZlVSSOAMsv51V79e39f15itbQ4qx1Lx+6JI1rqDL/aa5imgjSRrZo4ifnC4G1zJ1HIBG7gEnxg0TUtX1qy+xafc3Ma6TfRM8cIdTI5hMcZJIK7ih+YcjrkV0jeOtBWWdJDeR+QXVma2YKxSYQvg98Oy/gc1O3i/R1eBWN0POvTYhvs7bVmEhjwx6D5hj9elLRpa/wBbD2/r5lXxHc+KIY9Ck061JkZ0GoW0WCADtziQggBcseQNwB5BxnAW6+Ici2YcXkRcwC/KW8WYnM+JBFkHKeXk5OTwvOSRXSeG/ERl8I22raxIglluHtwIkI3v5zRoqrzycCqXhLxtbX0Vvaak7DUprmaMRxwMNiiaRI94GduQnX1B6UXu/wCvuFayKurQ+INT+FXk31vdzat50e9RGglZUuVO7aPlzsUNwPw7VVa98dW19Y25XUrqEX+Xn+yxfvLRpGAEgC8OFweNnGDySQOquNYu4vHNnoPkQfZrnT57oS7jv3RvGuMdMfvPfpSeEtautWg1V7yCGF7HUZrQCElgypjB5780Le/z+52B7W/rVHHW9348E9pcXyawwgS9DrawxbLlgkbQkoygrk+YME/eH3iCKSS8+IUumYj/ALVimR9QKsLaEu6hA1sDlMck7eAM859a6TT/AIgeH754Y4jepPcLG1tDJasr3CuG2sgPUfI2fTHNXdE8W6RrWoLZ6b9qnYwLM0gt2EaKSwAZj0OVYY65U0W038gvqcgLjx4l9cJ5mrxxXOoMDIbSOUW8ZgQx7FwMpv3hsk4wOmSa6vxD/bj6/ocFjcXkFi3mtfvBDGwO1VKKS4OATkcevXvS3virT41hkjkkW3e6SD7S1uzQuS5QqGHfKkZ6DrVR/iD4dW3W4Q300bB2Ux2rncqR+YWHHI2c0XTQWdzndGuvH7WgguFudPki05WiC6bG8ckhjYNu242sHwdo4IxgHJqinifxmdUFpNJc2tyirGsBgSWJ52jk2RO4TKhm8ttx2EKQCOprtbbxvo9xdzWscN+ZEuPIi/0cn7Q3lCUmPHUBCCelS3Gv+GorXTdd/cyDUyiWc6QjfKWUkDPXpnj8KGr9R3OanvfH6Q+bbRXc8Ye2PlywRpNISh89AQpVQG2kEjBO4ZAwahn1T4gOuqSWtpqKhXgktYZ7eNWYZlEsasFIXO2MgkOBkc4JI2fFHjqzttGuZdJm3Xa7mtzJAxjnEcyxyhDxuILY/Xmra+PdAM3kt9tR0EzTh7Vx9nEJAkMn90DK/UMMdaLpvcNuhf1Mrq/hnVLS6sdSjR4pLeRFAWWQFcFoznB68H1FcKLj4g6bpLwQw3VwViuo7aeCxjWSdlERgklQ5CMR5inoDgHAyK6vXPFKt4I1DXdFJ32xCr9ohYDO5c8HGRg9QamvvGuhWNxeQXcs8L2nlb98JUN5jmNSpPBBZSM/4ih7iWxS+IEviRI7SXQIJ3mFpdkmOCNykvk/uvvjgl8Djg96ob/HXlv5E16+zUxCPOhhVntpYEHmfdx+6lZj0GQpBzxXU6/4g0/RNMXUb8XAtyAxKQsxVeOWx0xkVG/ifTFlEafaJQ0rQxPHCWWWVSd0anuw2tx/sn0p9Q6I5O8vPHwt9Vkha6+029wUgtzZpsmjDkqySgHlkwCdpCk8gVSu7zxhp+n3V/cPqIeG/vJSbu3hkjt4PsshiKkAcB9g4PqOma61fGGmpdXNvM1wZ0kKrbLaOJlCwpK2R3wHU5GPvAdaik8d+F5C8Us8jWrL81w8DeQwMHnj5sYOYsn8COtTbR6j67HJweIfF9xpxWxOtXF8l0jzRtYxqII90J8piUG7KNIcgD6ggA65vfFt1FC7WN+l9FqiRzW8ttEbYRB3w8b43FduzLZyPY5rb0LxT4dub6HSNNVoZ5AzrCLcx4AOC2MDI6cjPareo+J9KsZJ1madlglEMskcRZFlbbtjJH8R3rge4pv1EjjLL/hOVks9sV5apcvatqUiWsIkWZhIJ9vykFBiPDHJ6YJ5rd87xJL4G0Sa4tp31Y3Np9tRoIy20Sr5pKkbR8uTkdO2Knu/Hvh+13iRrwtEJjOq2zEwiJkWTf6Y8xD9DkVpa74gs9Ju7SzmjupLi7WRoRDA0gATbuZsdANwoukr/wBf8MFnc4qHUPiBa/vZoNTuonyZl+zQ74kF4VzGABlvIIODnpnrwaWiN4v0WCP7PpOpyWm+Vpz9mi+0BXvpWLLxy3lsjbemCSBmusg+IHh1bFZp75n2WqzzSpbuEUFFfnrs4YHBPGetTT+OvD8FwIZpp0+TfI5hOyMeUZfmPb5ATSta2uw73vpuUdOvvEzeNLG2aLVW0gROk8lzbxKHby1ZHJUZB3bgeQM8bRwapeJtb8T23idNPj+1WiT3xgs2WKNoZ4zaSOPmYEh/NXpxwB2NdXYeItNvIb54mnV7GNZbiJ4isioyb1OO+QDj6EViL458M3z2hazvprkyxG1iewYy5kjZ0kQEcAqr/N/skU5LpcSfUw49V8fzQput9Sto5HgSSY2MbSQk23zlU7r5w59M+lelw7xCgkbc+0bjjGTjnjtWFZeMvDty6D+0I7dJYfPhkuP3STR7tm5GbAIzj8x610A5GRyKrzEFFFFABRRRQAUUUUAFFFFABRRRQAUUUUAFFFFABXLS+APDMjSMbW6G9nZAt7MBCzyLKxjAbCHeob5cYPSuprzC70PxwZbmaG41TzCbloh/anybvtStD8u7GPK3Ajp2Pape+w+h2c/hXQ5LiS6ureW4Z4o45hNO7rKsZYoWUnDEFmOff6VQsNN0fUPA9xofh7UpGtbmy2wySzSTGOJ1KrjcdwXAIAyMYrGgsfHKJ5119vuWN+VvIEvI0WW3zJtaA7gU+9HkErkKR7mp4b0Hxpp1np1pItzHY28VolxbpervYKkwkCMG4O4wk8jcFP4rdbbj2+RuWHw+0xYVXU7m9vPJkD2yfa5dsABRgq5bJ+dA3JPJI6cU3T9E8DaxII7CZp3AlYeVezdPtHmSfxc/vevoePatnwgNdt9Lt7HXYzLcRW6l7vzFYSOS3yYHOVULlsYJPFcVpGg+LrHwjeafBbajBfzXM8kZW+hVIVa7aX5Cp3Asjc59KfUXQ7nQfDOj6HIsmmwzRststqN9xI48pWZlXDEjgs3PXms6+8HeFr3U7tbmKZri7SWSWEXkqgrKFSQhQwA3bFBx6Uyz0rXpPBuraZNeXdtfNPdfYLg3O+RELs0OXyTwNoIJzjisq+0vxs8RaG6uopptOVpPLut6R3RmDlFDMDtC5TIIO3oc0X8v63Bf1+R1f/CO6T/Z2paf5Mpt9TZ3u1M75kLqFbnOVyABwRVTUPCmgSLe3FzHcrHcWYt7tVu5VWWJVIBYBuWC5G7rjvXGz6N46TTNXWGC/GoX0ivHJHrBMcP+iqBt3NkYlBz0zkE7hxXVeK4PEVxpelx2dvLMrZXUYIrhYpSGiYAh8gcOQSARkdM9CpfC9P6/4A47oavhHwprVpHqEMdxJFdhp1nivJkMiyxKjDIYHayKmV6cA4zU7eB/DjB91pcHesit/pkvIeJYm/i7oqj8M9eaxfh1pHijTrm2g1o3cVtaWcMUKR3EbQYEKKUZc7i4cMcgYOevas3xQ/i4eJDpwuLm3mvpL1dPlivAsUifZiYl2g5VlcckjrznnFVKyvoKN9DrLnwN4ZufM8+ymkEu7eGupSDuiWIn73XYij2xnrzUdz4f8Mz6pFpt291PfmzUgS3kxd4Y5lcEtu5xJt569B0rn47Dx3camjXB1K20+W5LMsV5EZYv3cO0kliNm5ZcqM/eHB7bHi7T9ck8Sw6jpdnJPGunPbM0dysTbnniJAJIP3FY8Y9AQTml1X9dA6f13L3/AAhfh7yDD9lm2ETqf9JkyUmbdLHnP3CedvQdqn17wtouuC3GoQSlbZNkSxTvGFGVPRSOhRcemK57wfYeNbfUtGbV5ZpLeOyMN6s1wGxIu/a6lWO8tlQdwPQEHOQYfE1v49fxHc3WiwTC1WKSNUa+UJMMxMNq5+RiBKoOMgnJOOhougas3b7wb4Za2uGubeZY2ScyMbuUbRI4lkP3uDuUNntjjFRxeB/DMrwXiRXUhWUXMb/bZTlzIJd/3uTu5rLls/FUk17EtlqkdvJZFtPf+1F328xWQMk3z/OdxUggsBgcjFU7nSviBJYyKt3creHcVkW7AQxG02iPGeJPO53/AI5xxS26bDtfrudfL4X0WTQF0M28os0m8+MLcSCRJBJ5gdXzuBDcjn9Kh03wnoWjXg1GzS7glRX8xvtcrCQF2c7wWO/DOxGc4ya5X+yfHKMtv9o1P7E9ypkMd8jXCg20YLKzt90TCQlc/wAQIBHFdH4QtfEVqmrJrLSXKtKWs3eUGRlOflIyVGDgAjbkYyB3p6N2EtUrlrTW8Oa7q8PiDTr2O9ure3MKSQ3LFVikIY5QHGG2AgkduKu6Xo9lpUd4uno8ZvJ3uJfMleTdK3VvmJx0HAwK4r4ReGte8PiP+0rdYE/sqC3lEkqSSedGz4CMnSMK3Q9z9aZBpfj0RtHc3FzNbhrkKY7vy53LIvkux3FQFbeCFIByrbe1J7bd/wA/1Bb/ANdjb8OeBdOsNE0+11Am7vrNU2XiyOrqVLbdnzEqPnbjOOTWxonh3SNFuJJ9NtmgaSJIWHmuylVJI4JxnLMc9Tk5rlvDel+NLbxDa3Oq3VzPF9pcXLC7BhaI20YBWPPH74ORxkA+hxU2s2njG4u9ZS2SdH8xW065jvQkLQER74imciXiQByuAWByOlMDXj8GeH445IVt7jyHuxeCA3cpiSXcWJVN2FBYklQMHPSoX8JeGrezstPmFyYoxLb2iSX0x2rJGVaNfm6bMgDsOlc1qmi+O5JruS1utQEPl3LWMY1AK0bF4TEsh3fN92brkbWAOasS6f4/F3O1vPJt+3vLBJLcAYjaKYBXTcVKq7R4wBkDlcjJnS2w+u5t2Xh3ws+pXVvZ+eLy0ljlkC3MoaBzCIwQSeN0YAOOuOea0b7wxot5olvok1n/AMS6BVRLdHZU2joDg89O/fmuAtdD8b/b5br7NqVnHetbi98u/je4ysBQsrFsbQ+DjjIPTtV3V9H8bf2XqwsX1SS9uryf7O/9qBViiCkwkLkAfN1Ax2yCOKfcVtjZuNC8EzWOqGRP9GsTMt0FlkAtSxWaXaAflydrHb/9atGLwx4du1N4LYzrd2skTs0zkTRzYL7hnBLYXnqMDGK5S78M+JprzWp4FuYPtjzs0RulMNzG9msaqUzgOJQDuwMAHnBpsei+ODbyQvLqMTRyWywLb3qJCbcNDvXg7g6qsgPTOepzwLs1/XUH3R27eHtNk8PNoM/2q4smUKwlupGkIBBHzlt3Yd6oHwN4dL3rG3uSb1GjuA13IQ6l2cqQWxjLN+BxXKro/j61gk+zTahJlGDrLqIkdlF5lQhZvlc25Izkc4yc81at9E8YR6ukn2vVZLX7RGuZ9QXPkG1dX3KrY3eaUORzxkH1Td1zWHa2lzqdb8J6HrGn2the28ptrWIxRRx3DxgIVC4+UjPAHXpiqF94M8LwwyyTi7t43u1ulK38yCGcnG+PDfIzFjnbjO456msfwPo/i2yu9Jh1WTU47S2sYAc3yygzKrrKsuWLNklWUjOMAfLjFW9a0rxRLqutXlnNqA3XFp/Z6LfbYxEDGZvkzgZ2t16gkDrVPe4vI2pfCGhSXUl2becXMjl2mF1JvyY1ibndwCiKCO+AevNQzeB/C8yNG+mkxMQTEJ5AnEBgA2hsY8slcdO/XmuaGmePv7OExub06it4Glie6T7PMgL8qVYOikMD7FRlDzWV4UuvE+qXGUudXn/exyXIN0uyS3WSQEIQ/wC7kOYyVIQ7UIAHNTo9LD21PQoPCukRT6fO63VxLp53Wz3F1JKyNgrnLE5OCR9KbdeENCur2+uprectfMklxGtzIsbSJt2yBA20ONq/MAD8o5rlbTT/AIhWkm+eSbUENoyNH9rWNkbf8u1s4ZthwxIByuQwzSadB470qPT727jub1LOG4F1bS3i/vAGkaMq+85YjYuHB45yCDl3FY2PEWieCNPgd9bYWyTw3CyySXUieYkhRpmYhu+2Pk9AABgVrrbaHrssGqRyPcNaJLbo6TOu0OBvBAIySAvJ59KpeO7S/wDEHw21S0sLF/t1/pzJFbysqMrOv3WJOBjPP0qp4ht/FEmv6NJpltcpZwSQPdFLtFVl+YSIyZG7AKnJ3dOMEcj35bBfS/qWPDnhvwu+mi80NrkWV5bxoPLu5djqihVbaW+9tULkjJAwaz4fhzZQasZLe4aDTSiQG0jZ9r26xlDCylirKck5xn3rN0DQfG1jp9lab5LfyRaCIR3K+XCqysbhXUH5yyHg89R0xWzp2l+I7f4ZXVo1xfv4imtZMPJe73WcrhSrk4UdDxxQ+rsNb2ubcHh+ys7C+g09Sk13D5TzSu0jEBNqAknJCjtn19aoeHvBmm6dp+kpdeZc32nJFi586QFmSMxg43fd2s2FOR8xrDudJ8bQ3F2mn3d8FjsQdPaW8V4/NMbBkm3EsTvOQwBA45AGKyon8XahNq0el/2mHt7ie3e2fUVLwM9nGYzu34IEuTwcjJ460N6vQSV0j0DSfDOi6XMstnZhSkRhiDOziKMtuKICSFXPOB6D0FbFcR4d0/xkb29k1K/uLaXpA7lJrZkO0j5AwYOMMCeByTk5FdsuQo3HJxycdaroIWiiigAooooAKKKKACiiigAooooAKKKKACiiigArkH8ZxvNGw07UoIBqE9mHKxETvFHMzAfPkD90cHA5x2zXX1lnw7oTRrGdKtSizyXAXZwJXBDv9SGYE+5qZX6DVupg/wDCZi4Ph6T7He2EWqTR7VkELOUkB8vIDkgHHJAJHHStPxN4ps9BnaG5tbqYrZveExBcbEdEYckc5kB+manPhfw8ZrWb+yLXfaJGluQn+rWM5QD/AHSTj0zU2taBo2tPG+q6bb3bRqyIZFzhWxuH0O0cewpiM7SvFtrqHiFtGXT7yFxJcxpNJs2O0DIHAwxI++pGR61HqnjO10/Vr2wl02/cWrwRGZAhWSWbHloo3biTk84wMH2rWtdC0e1vVvbfTbaK5V5HEqphg0mN5z/tbRn1wKbe+HtEvRefatMtpftpQ3JZOZCn3CT6rgYPajWyHpdmInjuzGoJaXGkanagvEkkkyooiaSN5FDLu3dEYHA61nWfjC4ufExP+lppt2NPNmuyJs+cJjuPOQrBF7kj0611Q8OaF563H9lWplV43DlMndGpVDn1AJA+pqCy8H+GLJka10OyiKOjptj+6ULFMemNzY9MmlZ3DSxjad8Q7S9ltVGianFHc/ZtsjmLAW4ZkjJAcn7yEH04PSjTvHtnLp8ckdjqt6yWYurh1gQeUpR2XfhtoJCEcHGSK3IvCvhyJY1j0WyQRiMIBGBtEbFkx/usSR6E0kfhTw5GymPRrRNtubUBUwPKOfkI7j5m/M+tGtg0uYyeP4ZJLVI9Ev8AdNcrDIHkiBjRrf7QJPvEEbO3Xr+Or4c8U2WuXK28NvcwPJZRX8PmhcSQSEhWGCcHjkHB5FTr4Z8Pq8brpNorRyxyoQmCHRNiH8F+X6cVa0zSdM0wsdPsYLYsoU+WuPlGcL7AZOB0GTVdf6/r+vuXQ4/VvHKW3iKzmj+0/wBj+VdxPtRD588c0UICj7wIdmXnAOa6+yvJr/SBdRW01lM6tiK6jwyEEj5lB9s9emKoT+DvC889zNNodk8l1v8AOJj++XxvP1JUEn1ANa0FnbQ2S2UUKrbqmwJ2x6VNny26j0uebah8QtQs/AfhzUZF/wCJhqMdrNczCyleJUeVFcLtBAY7jgE9u/Ge48Sa5/Y4sVTTbq/mvpzBDFAUU7xG8nJdlA4Q/jirMOi6TDpMOkxafbJYQlDFbhBsTawZcDtggEfSq3ibQIddl0triYpHYXgutgXIkPlum0nsMOTx6U3fp3EY2mfELR9Rht7i2tb4281xFa+YyKNk8kYkWNhuznBAzjGT171o2Hiq0m8HDxTd2lzYWTRLMiz7C7IwG04ViBncOCfrV4aBoouBcLpdqsigAERgYwu0ceoUkA9hxUi6Rpa6L/YosLf+zfJ8j7KUBj8vGNu3pjHajXUemhhal4ui0zUzDqFnf27eQrJb7Y38xnmESYKsTkkjjpg+vFNj8cW7anFYSaLqkDu8EbGVY18tpg5QMN2esZB47jtWkfCXhtrT7K2jWjReQLfDLk+WG3hcnn7wB+ozUw8OaEJ1n/su1MqtEwcplsxgiM59V3HH1NFmGhzth8RrKbSY7+60m+tR9mhurhd0b+RFLIUjYkNzkgnA5AHSt7xF4isdDu9Pt71JQL6UxRy8CNW44ZiQATngdTg454pYPC/h6BIUh0e0RYRiMBOFG7eB9A3IHY1dv9MsNQkhkvbWOdoGDR7xnacgg4+qg/UCjUNDitY8d/arfTP7HhvIZrqa0uIVZY/9JtpJthAJJCk8dcEZHvVxfiLp/ktNJpOpxRQ2rXN0zrH+42yyRFCN+WbzIyvy5HIOcVunwx4f8oxf2RaBCyPgJjBRiy49MMSRjoTT5PDuhyCVX0q0YTW32SQGMYeHJOw+oySfxNLUNCCfxHb2vhubW76yvbOOJ9jQyx4lLbwi4GedxIwfeuV1rxPrB1Oc2zXenxCPTmFtcQoHQyX7QyZ4PDIOOemCMV2x0XS20VtFexhfT2jMbW7jcpX0OetQHw1oJC7tKtm2pGgLLk7Y33oMnrtb5h780+qF9mxi33xA0uzfUVuLO8VbBoRLJ8hTbIXUOWDYRQY2BLYxkZ6110MiyxJIpBVlDDBB6/SsWPwj4ajEwj0a1UTDbLhcbhljg+2Xfj/aNaNrpthaw3ENvaxRR3DFpVUYDkgKT+QA/ChXtqN2voc14Q8T3Gp+LdZ0q6I8kKl1preSyb4MmNxkj5sOu7I4xItXtV8XWGnrqMzW9xNbabJ5N1NHswkpVSqYLAkneozjHPWtG20LR7e4sriDTreOaxgNvauqYMMRxlF9AcDj2FR3HhzQrjULm/m0q1kubuLybiRowTKmMYbseOOaNbBpcwdQ+IVjZT3VvJpOpPPZiZrpF8v90IhGzHJfB+WVSMZ796dJ40zdSK+m30EUGqS2KupicXBjgeU/xZUYX65x2Jxsy+F/D0yFJdHtJAySI26PJZXxvBJ652rn6CnN4Z0BpXkbSbVnebz2JTrJsKFvrtJXPoaTUrBoY2m+PbG+FuBpmoQyXEsMcaP5eT5sBmRuGIwVUj1B9uaaPiJoyx2U81vdwW11YPfCV9h8tFiEpDKGLA7T1xjIIzWufCnhwwiH+xrQIDEwATGDEu2Pp/dGQPbimW/g/wAL28iSQ6FYoUTy1xGMBfL8vGOmNny/Tim762BW0uZ+r+MItLu4ft9pfWyyW7yRR7YnEp8yFE5DZBLSqAOB1zjAqk/j+DTreWG8sdRvLqzW5a8KRxJ5fkeWX434PyzIRgnI966CDwn4bgto7aPRbMQxxNCimPIVGILKM9iVX8h6U+bwx4fmjMc2j2kilJIzujByshBkB9d20Z9cCjUBPEviGz0CKzlvI5THdzrAsgwERiOC7MQFB6DPUkDvSeGfEVvr4lktLO9jtl5iuJY9scw3MuUOecFf1FXdQ0vT9QhjhvbSKeOI5RHGQPw7/Sm6VpGmaV5/9m2UVqJ5DJIIxgMxOScduSTx60dRdDlpfiLaRKzS6HqygtIsBHlHzzHcrbuBh+CHdT82Mg5HpVuTxzaRxX0r6Rqvl2AK3LpCHWORdm5CVJ5G/JI4wrHPFWNG8G6RZafPaXcEWoefdSXDvNGM5eYygfQMQR9Aa0D4e0U3V3df2dCJrzb9odQQZCuME47/ACjnrwKS5rFaXME/ELTG0+91C20/ULu0soDLLPAqPHkIjlA+7aTtcY5wcHmpLfxus2sJpy6JfKR9q+0O0kQ8nyPLzxu+YESrjB/rWonhPw0iXMaaLZLHcxLDOgjwsiAAAEdDwAPoKdN4W8OzSPJJo9ozOZS5Kfe81QsmfXcFUH6CjW4tDBl+I1glo1wukajJsN15io0R2i3Clznfg5DgjBOea0/F2rTWH9g3NvcGG3uNQVbj5Ad0PkyuQcjI+6DxzxU6+EfDKxtGNEsyjCQMCmciRQr9f7wVQfXFaNzpun3K2q3FpDKto4ktwy58tgCAR6HBI/Gnr+X/AAQ/4Jy8/wARtIgtEuZ7O+iSS2gu0LKm3yJiwSRm3YQZXB3EYyPWuxjYSRq69GAI5zWUPDHh8WzWw0m1ELgKyBMAqAQF/wB3DNx05NayKqIqIoVVGAAOAKaELRRRQAUUUUAFFFFABRRRQAUUUUAFFFFABRRRQAUUHkYrm/8AhEbAgsNZ8RYBOSNauOP/AB+gDpKK5lPCenOcJrfiFj7a3cH/ANnpx8H2I66x4jH/AHGrj/4ukB0lFc2fB9iASdY8RgD/AKjVx/8AF0DwhYsARrHiMg9CNauP/i6NQOkormh4R08qWGteIiozk/21cY46/wAdaeh6RBpYkMF5qNyJcZN3eyXGMZ+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2i1WMpaGLUJZJlUSH92WjRQvCAMCQxzwQMfeOTXQnpXDRaL41MSAa/b+X8nEUgUYBiJxiLvtl/76H4TJX0Gh2geF9c0uwCRz2UV5Ho/2OOdJNx8/Aw5/dgbQR3BPAzmkk0HxtJOqS65byW28tywMiEF9hB8rHAKgjv1yMcyRaN43aEef4gQS7IwwjkAXdvJkI/dZAK4x6c/WrNraeMobW/a61KxMrQRLbnedquv3yTsG3cPrg9qHqGxSk0fxtLYpCus2k0TRCKZXlP7xdiKQHEfBDCQ7schgMDHFzSNJ8WWOmTW39p2ZdLIw2owSiyAAIfu5AAGD1z1x2pnhrRPE2mWF1aS6hbhBaulmsb7hHIxJy2UycE5z7/d4qKbRvHGGWLxBH8uNhZxyBER837rr5nPHUenSn3APD2h6/aw6lZX19aNbTxz+RAk27a8ru/zkoCfvdR6nipNO0fxXDoV7p82p28cxSFbIwzH92qYDjOwEZAHY9ap/8I94xOozXy6lYwzTTR+bIkhJaNdw4BjO07T0+vJqQaL47X7PnXLRypIldmG8qRHnafK45Vz07j8EgJRpvjzzHk/tWyKl5CsZlOApVQvzeWOQQT0I+b6Umu6L4vvtN0qGPULD7RaxxyTSyMQPtCEHfgJ8wPPHy4Pr2adH8bNdyOniKEqvm7VMmdrMH2ZAjGQAY+PUE/W7d2erXvhy40241GzNz56yRP5xIdBNv8qTCg42gIWGc5Jx2JYdyHWdH8SahpOmW0V/ayGNkluWklJzIkqSKQQnzABWGMLnIOeKjg03xzFJC82rWk0W1ftMbS7TnJ3FHEfHryD0xnniW9sPFT3TS6PcabZ2jqMwpNwGw4Jz5Z5OUP8AwGqf9leOHtts2uWNwJoVjdDLgP8ALGG2kR8E4lOeeo/AYJdCQaX49dGH9u2gQhvLdHG7O0BGP7rGM5JHvweKUaN43WR2/t6JgU2qDJ05lwf9X1+aIk9whHfNWtD0fxPZWLWs2qW+xLIwQCPkI4VQhGV424bPXdkcDFO03T/GCabfJfatateOiLbOn3FwBuJBXIJ55yexxTtqK+g3XrPxZJfQyWt3C1oI4kkjXG538xCz7SuAAA38XQ1RfR/H8keyTXbYcAHZJtJwI+QRGMElX7Hhqjj0vxxcXt7G+tSxRxTJ5XzKqyRko21WEecgBlLdyTx3q7c2vi6PQDDLeGS+m1KPD2rg+Xbsy7gWaPjA3c7T2pAVrrRPGl5Ii3d9YSwJercohmIKbWjZRkR/MPlfjjGR17X/ALD4y/sS1g/tG0+3LdmSeUycGHfkJ/q+fl+XoPrTLTSfGQvrM3evxSW8cmbry1CNMoBxgbDt5xkZ59RTdW0rxpcT3ZtNbhgjkkkEKhsBYyhCfwZDAn1IOM49DZBuwGgeIodI0+xs9Qt4FtrXY8YOUeTepB5QkrtDDtyRxWdqVp4+gs/Mh1aG5lICyxxOPlYuPmU+XwNueDnHati10/xYtrqqT6jb75Y0Fj+83+Wwzu3Hyx1G3se9Y8PhnxVHeSzR6lYxySWnlNGknylgfkLL5eCAMjoKGCZfNv4xh0DU7iS8aS7axf7LEgUyCbkp/DtBAKqeoJBNRS6Z47jD+Vr1s0JyVMzAOAW+6SI+oHG717UJpHjyOOb/AIntvK0kTKN0mNjHZhhiLth/zH4T+INH8UanDbWovLL7P9kEd2rucSS45YAJ0DAEcjvxQBXg0HxguuG+fU7TDmOKaRZPnkhRpCMDy8KfnXI74PIzT9es/Gj6s4s9Q8qzuLhVh8hgTAoSTLNujOBny+OenvS2ejeNE/dz68pjDR/MsoLFfMy/WLqV4HpnHbNRnSPHu1Y/7dtipJLyeZ83KEYGIvU5Hpil0GLpWh+K9Pu2EV7p7WjPK7IkhRg7SySBs+WePnAK+5weOVj0vxwttum162WcbRGN4MZPmuSG/dgn5DGowf4T68zWuj+LoC0n9sQtmIjyy+dziOMKS/l5+8JMnB4K/SpW0/xFeeHYtOv/ALI99azWsgujMSs5jdXZsBBtPy46U2hBLp/jL+woYotWt/7S81zNIzDYVKkDb+77Ng4x7ZrMuvDPiueQSPqVpLJGztC8z7mUnzwP+WfTbJGMHONp/HSj07xaNMs/O1OA3kNxNJLtmKo8ZVtik+XztJXt261RGm+PfsnlJrtg8zRDaxk5UhyQw/d8grtByPxoGSS6b462Rxx6zZxOTOzEz7vvKwRRmLkKdhz7H1xUL6F4ybUbe4uNWsXa3Mot5DId+xz90jy8Ftoxu7Z6cZNnxHpHie78QLe2N/YwrEpW23SFXVWCb1xsIz8rYbJ6jjil8U6L4qvr6ym02/s1FoqvG0zkMJfLkRyQEIOQ64PGMHigRLqOl+LntLX7Lq0QuUt5Y5SZNil2ddjY2HcVXIzgZPOOaqvo/jp2DHX4FO4NgPwCAe3ljI5yR3x2qdtM8aiaZF1i3e3dMRs0m2SN9mA2RHhhuHTAznrxUR03xyzFrjXLWFCV2+XIBjMmWUkxc/JgA8YI980dRl5tP8VNYQQ/2pD5n2vfMd3PkbfuhtnJ3c/dHBxmo4NH8QWWlaVa2eowRfZbD7PLCGwjyqoCFW2kgdc8dMcVWs9J8aQyI1zr1u25o85fI3BYw2BsHB2y/Lx98HjFO1mw8ZS6tM9pfQJbSSH7MAQ3k4ilAZspxljH0z0+tAivZ6B4zgeScatZLczrH5sikku6hQGPyYPyhhjAzkHtVm8s/FSLoNjHq0on8pze3IKFGlBjIz8nII8wAALx9KiOmeN5ZkkOtWpRJAzRpNjpIx27hH02lQcjtVeXQvHEz2UtzqOnzSWkjyxN5zKVLCVf+eXPyumDxjafXNAFg6T45jhH/FQW5ZI4yWdhtLbsybsRjjHQgjjjFRy6P47ktj/xUUCSPCyHbIAN5VxuX91kcmMjk4weve3qmmeKr7R7Cxj1CyZ1t2h1FmkOJmKFSMBOnOe30p+p6P4mf7KNN1S3gS3toUWN8FPNXduYgoSeNuOR0PSi24ySHTfFX9kXUMurILx7lDFIrghIQ4JH+r4Ypx0PPORWemj+PGgQza/bi5R2wUf92R5TBSV8vkhiCexxnjpVbVrbx1bwwm11JbneFSRI5V3o43FsMY8EdAMjqBnjNasFp4qfSbyM61am8kEfkMCCEYMS2cLwCuBgZxgkGgRNcWPiv7FBFBqNsJd0+92Ygpk5h52HftHDAhd3XPHOfcaP45kZjFr8Ma4+RN4+Xh+CfKO7kpzxwCPrdt7XxSmjkXGp2k12bsGRhLsTys4IVtmUPQ4IbkYzzmqraT44Zoz/AG9AApBcAgbyDyf9WcAj+Ht6nNFgJZNH8R3ekXtnqWoWlzLL5LRDkKGWUszcLkArtAHOCvXmnLp3i9tMQTalB9rW/Mw2TEKYdhAjLeXzhiD06DrUJ0bxkstsy65BIAAk7kBXZQxwVOw4O3aSOmcjgc02LRfGkdwJG15ZA7R+aDKPlAaQsEHlYHBj7c7SPejcPIiOl/EEWjIutWRmaMqGLn5G3sQQfL5+UqDkdq7dN2xd+N2OcetcnrGm+L7u9uZdO1uCC3Mn7hQ4ACiMjDDy25EmCTnkV1ibti78FsDOPWmhPcWiiimAUUUUAFFFFABRRRQAUUUUAFFFFABRRRQAHpXGeHNL8Q2sN3p39q2IhgsTaxR28pYwTkAhiNgK8NnqeMHFdmeh5x71x+g+FdYsNVS9utfNwpk8ydER085xGiBid55+Q5HT5uBSauxp2IBY+NYbmKNtcsV3GMRQyTljJsVt+T5YPOQeP7tO1bR/FN34Vi0+81GxeVpZPtTvKVBQtmMBgnOOARgZ9fUn8H6xJcm6/wCEkl+0DzVVyr/ceRG24D4Hypt4HfPFSP4U1mQwM/iFzJCzgSfvcupdCu4eZgsAhXOOQelLVhsXIbHxUulRxzahby3Zuy0zCTaPJwRhCE+Ug4bBB7jPNUJ9F8bTQSI3iBEJt5FXyn2kzFVCtnyyQuQxwOme9XLfw1qcFzA48RXbxxy7irliSokyB97n5BsOc55PBqknhjXLu6u7ibXb2yD3krJGk7sDHucxkfPgY3LxjGFAINAFw2Xi2HQrlTqEM18Z964fAMQz8qnZ8rEY7Hkdeaoadp/j2aK2kuNWhjjcRtIjECUDksP9WQCCQMcg7e2alfwvrhZ0TxDdxkwPiQMxjVyV2gKWzxhyeed/sMPbwtrREZ/t7dJDK7RO3m52tGyhWxIM7S3B44AzzzR5h0JJtP1q38XCa0v7GC2u7sXEsJlxLNGsSIw27DnB54PHHrVTUvB11Nd301rDpqCXUYLiEElSsaRhWU4XgkjOBke9M/4Q3xARG0niYSyxWxgjmeKTeoYKG5En+znPXJ5JrRj8O62ulXdq3iOVp5pYpI5ihzHtA3D73IYjp7nn0LDuU/CnhvxBoPhe506K7s5Lt3hdJfMYAgKiyJ9zC8KQGA7gkZ65EWha5Z2Vhpt54i063ms5U+yBbkAxjyjGMBo8lt8i9fvAgcEiteTwj4haGLZ4uuUuYw2ZdrkMxYfMV346AjHTk0t34O1O6vI7qXWYgY/LZY/JdlRlaNjt3SEgEx9Pf2o31FsXLfTvFq6EkM2rwPqQuld5RxG0YPKgbQVyOcc4PcisqfT/AIgG4gtRrKxuY3YXCBWiVlWIDeDGCdxEh2j+914FSnwd4gkT974sn3ZcjZ5oA3b/APpp2LDr/dFPfwjr0kCrJ4ruTKHdmceYNwLqR8ocAYVSv/As0aj0HzaT43+yP5OtRCdoolUNKNqOC5kb/VZPVAPYH8ZNUsvFS6Ra20OpTG9n1CQyzxMu2GErJs6p91T5fGMk9+al0nw3qlppV9Zza9NLJPCsUEoLgwALjjLHPOeevrS2fh/XINKvbeTxA093O0ZjnZGCqqkZXbu4B5GQQcEc8U2hdClaWXjK5mlvE12zntHDtbiGYbWJChcnyzxwx4J5PepdWtvGUOj6WkF7HLcRqkd48R+ZnLqDIMphht3ZHy9c1WsfBeuWmnraw+KZY2jkUxOkbbUQAjZsLYPJyD16ZzU1x4X8RyYMfic2+YgHVEkKl+ckBpDgHI+nalbQC1oOn+MItRhk1jVbaa2VG3JE3JbaBz+7GRnJ7Y96qRaT4os7TVdSuLyO51N9LeGBoCC3mgsy7QUAAyRgHOCccig+ENZEwlXxLO+2XzESVpWAI37c/vMnAYfXbVnQvDWs2OoW11deI5rpYgVeMh8OCJOMFyOrpzg/cFG6C9mVLPT/ABbI1wq+JI5WQoPIaRd8QYO21yI+GG6PB7hTxzmn/wBm+NnVvJ11AVmcBpYwuQEGGwFOV37hjjK7ecjl+i+FdYstYS+udfM6mTfPGiOnnMFVVYneeflOR05PFOk8NeIJL27lbxJ+4uGkKxBJB5WRhWUiTIK4HHQ5PHSgEMbSfGZM0kesRQmUKVRpzII28thwTGMgOVbGPmAxx3m1O28UXHiCZdN1uzW0QxGSDeBLH8rZ/hbAJweeoB5qunhTX3b/AErxTPIu5WKp5iYHm72UEPnBX5eTxjj0psPg/Wkubic+JHWSYgM6RsGOAQrE7+WAPT7vXimBbaw8Zf8ACNi2XUrQambln87zDtWLJIXPl844HTp3rN1yHxnZaXdXs2qwpstmCrBMPmmLYUjfHgA5XjPykHk5rV1Xw/rN5e3MsevNBFI5MSqrhkUx7cHDgHa3zg4HPBzUcXhfUv7M1GzuNdkuvtbIyNKjN5ZWUv0L9wVXjA+X8KQFMaH40V3T+3IriGS4VmM0vPk9DHtEeM4yCeMnB4qvY+FfFdmbFodWtgYLcWzEt86R/JlUby8YyhIyO+PetZPDmsNpDWs+uGW4/tAXayYkAVRj939/djOT1x7VQbwl4l+yyRDxY4eSN0LFJDt3OWBX95kEZx1PAHpQlb+vIbLXibQ7nVdX0m6ubq0spIopUjAnJZp9yPHt+UbgPLJYcHGR0zUun2niKzvRNq2vQLbtG0UMZYEGd9oXOVG7ndgZHUDBqLxN4Y1rVbq1mt9fFt9njXZmFiVkCSKzDDAfMHGcgkbeDT/EfhjVNTtrGC11w2y20acujSN5qMrCQHcMngj5s9c0CK0Wi+NTc75vEChCkSlUkxtw8ZkIzHglgJMdMbgPerMmi+IrnSrm1vtQtbmRpoJIt2QoKSbmbIXjIC4XnBHXmmW/hnXIdQt5/wDhInltlRVntpBIQ5HVlYOCvPIHIqtF4S8R/OJvF1w4MJjTaJFKNsVQ+d+TnBJHqeKAILvQPHV4lv5+q6eXgnNxE5cnym+bHHljdw2B0xjvmtl4/EyaTd2LT2yXDY+zXbz4xuc4Q/J1VcYbHzE9B1rPi8H61GLjb4nuMyscN+8JUbWC9XPK5Uj1I5z2t63oWu3OtC8ttZdLZjEnkKXTaoZSzE7sE4DcAD71FtLBfW4yy0XxLbaaI0v7WO6mvxcXckbffTygrYJTAbeM4xgjjIzWVqdn420+GOSbXhKJp44dqSqGy7xj5SYsDgP69elWk8H+IGMZuvFUswUoWQiQK21kP9/IztbPP8XtRN4Q8QzEGXxLHKFuftCK8MhWNgVI2/vM9Qep78YofT+uwdxNP0HxjYfadur2biTfIWDbN8rYBZ/3Z7DPGMEe9WbG18Tnw5cTN4gtJ7qcQfZ51lBhCBUDkMEGCx3kHB+8Knfw/rh0TTrBfEBE1tcebNOVcmVd+4J9/OMfLyTxTX8LagLKwt4Nclg+yWiwjyw6qziRWL7Q+D8qlcHP3qPL+v66B5/1/XUik8L6k2gJDHdW6anBqUl7BOclfnkYsGwByUdgcDGapN8Pw15dTb1iD3iNbGC4ZGhiEcY3jC/6wPGCOowTzyct1fwr4qFjb/YvEU084GycMzKJMn7w+cbT7A/yre8O6RrNhOJ7vVjciRQJYpNz4+Zm4YnqNyrnHITkZoSBlMaPrcvhu50O6WxkmbEv2xSUSVzOXOUwdp2hTwTySO1SaRp/jGPUBNf6paPbkzExgltoZRsx8i5wwPXsa6minYLnDXWiePJrMKviCKOYwbX2y4G/EmSpEWQMmPHpg/jYutL8cCYvZ6zbAGSZsTSbgFKkRrgRdvlJPqD1rsaKLBc4O30Dxpa25t7HU7K1jxO4Xzi+ZJJjICcxgnAJBPHU13Ue4RrvwWwN2OmadRTSEFFFFABRRRQAUUUUAFFFFABRRRQAUUUUAFFFFABRRRQAUUUUAFFFFABRRRQAUUUUAFFFFABRRRQAUUUUAFFFFABRRRQAUUUUAFFFFABRRRQAUUUUAFFFFABRRRQAUUUUAFFFFABRRRQAUUUUAFFFFABRRRQAUUUUAf/Z">
          <a:extLst>
            <a:ext uri="{FF2B5EF4-FFF2-40B4-BE49-F238E27FC236}">
              <a16:creationId xmlns:a16="http://schemas.microsoft.com/office/drawing/2014/main" id="{F363C133-9BAC-4D62-B53A-D1DD0A8FA82F}"/>
            </a:ext>
          </a:extLst>
        </xdr:cNvPr>
        <xdr:cNvSpPr>
          <a:spLocks noChangeAspect="1" noChangeArrowheads="1"/>
        </xdr:cNvSpPr>
      </xdr:nvSpPr>
      <xdr:spPr bwMode="auto">
        <a:xfrm>
          <a:off x="8168640" y="685800"/>
          <a:ext cx="304800" cy="32194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CC79-42EF-4A05-92ED-1E8660F8C82F}">
  <dimension ref="B2:V53"/>
  <sheetViews>
    <sheetView topLeftCell="B32" workbookViewId="0">
      <selection activeCell="B50" sqref="B50:G50"/>
    </sheetView>
  </sheetViews>
  <sheetFormatPr baseColWidth="10" defaultColWidth="9.109375" defaultRowHeight="13.8" x14ac:dyDescent="0.25"/>
  <cols>
    <col min="1" max="1" width="9.109375" style="10"/>
    <col min="2" max="2" width="37.88671875" style="10" customWidth="1"/>
    <col min="3" max="3" width="9.88671875" style="10" bestFit="1" customWidth="1"/>
    <col min="4" max="4" width="13.44140625" style="10" customWidth="1"/>
    <col min="5" max="5" width="10.6640625" style="10" customWidth="1"/>
    <col min="6" max="6" width="10.109375" style="10" customWidth="1"/>
    <col min="7" max="8" width="10.33203125" style="10" bestFit="1" customWidth="1"/>
    <col min="9" max="9" width="9.109375" style="10"/>
    <col min="10" max="10" width="11.77734375" style="10" customWidth="1"/>
    <col min="11" max="11" width="10.77734375" style="10" customWidth="1"/>
    <col min="12" max="12" width="12.6640625" style="10" customWidth="1"/>
    <col min="13" max="13" width="12.88671875" style="10" customWidth="1"/>
    <col min="14" max="14" width="11.33203125" style="10" customWidth="1"/>
    <col min="15" max="15" width="15.109375" style="10" customWidth="1"/>
    <col min="16" max="16" width="11.88671875" style="10" customWidth="1"/>
    <col min="17" max="17" width="12" style="10" customWidth="1"/>
    <col min="18" max="18" width="13.33203125" style="10" customWidth="1"/>
    <col min="19" max="19" width="13" style="10" customWidth="1"/>
    <col min="20" max="20" width="11.33203125" style="10" customWidth="1"/>
    <col min="21" max="21" width="13.109375" style="10" customWidth="1"/>
    <col min="22" max="16384" width="9.109375" style="10"/>
  </cols>
  <sheetData>
    <row r="2" spans="2:19" ht="22.8" customHeight="1" thickBot="1" x14ac:dyDescent="0.3">
      <c r="B2" s="320" t="s">
        <v>55</v>
      </c>
      <c r="C2" s="320"/>
      <c r="D2" s="320"/>
      <c r="E2" s="320"/>
      <c r="F2" s="320"/>
      <c r="G2" s="320"/>
      <c r="H2" s="320"/>
      <c r="I2" s="320"/>
      <c r="J2" s="320"/>
      <c r="K2" s="320"/>
      <c r="L2" s="320"/>
      <c r="M2" s="320"/>
      <c r="N2" s="320"/>
      <c r="O2" s="320"/>
    </row>
    <row r="3" spans="2:19" ht="16.8" thickTop="1" thickBot="1" x14ac:dyDescent="0.35">
      <c r="B3" s="1"/>
      <c r="C3" s="1"/>
      <c r="D3" s="1"/>
      <c r="E3" s="1"/>
      <c r="F3" s="1"/>
      <c r="G3" s="1"/>
      <c r="H3" s="1"/>
      <c r="I3" s="1"/>
      <c r="J3" s="1"/>
      <c r="K3" s="1"/>
      <c r="L3" s="1"/>
      <c r="M3" s="1"/>
      <c r="N3" s="1"/>
      <c r="O3" s="1"/>
    </row>
    <row r="4" spans="2:19" ht="16.2" thickBot="1" x14ac:dyDescent="0.35">
      <c r="B4" s="323" t="s">
        <v>0</v>
      </c>
      <c r="C4" s="324"/>
      <c r="D4" s="324"/>
      <c r="E4" s="324"/>
      <c r="F4" s="324"/>
      <c r="G4" s="324"/>
      <c r="H4" s="324"/>
      <c r="I4" s="324"/>
      <c r="J4" s="324"/>
      <c r="K4" s="324"/>
      <c r="L4" s="324"/>
      <c r="M4" s="324"/>
      <c r="N4" s="324"/>
      <c r="O4" s="325"/>
    </row>
    <row r="5" spans="2:19" ht="15.6" x14ac:dyDescent="0.3">
      <c r="B5" s="1"/>
      <c r="C5" s="1"/>
      <c r="D5" s="1"/>
      <c r="E5" s="1"/>
      <c r="F5" s="1"/>
      <c r="G5" s="1"/>
      <c r="H5" s="1"/>
      <c r="I5" s="1"/>
      <c r="J5" s="1"/>
      <c r="K5" s="1"/>
      <c r="L5" s="1"/>
      <c r="M5" s="1"/>
      <c r="N5" s="1"/>
      <c r="O5" s="1"/>
    </row>
    <row r="6" spans="2:19" ht="17.399999999999999" customHeight="1" x14ac:dyDescent="0.3">
      <c r="B6" s="321" t="s">
        <v>166</v>
      </c>
      <c r="C6" s="321"/>
      <c r="D6" s="321"/>
      <c r="E6" s="321"/>
      <c r="F6" s="321"/>
      <c r="G6" s="321"/>
      <c r="H6" s="321"/>
      <c r="I6" s="321"/>
      <c r="J6" s="321"/>
      <c r="K6" s="321"/>
      <c r="L6" s="321"/>
      <c r="M6" s="321"/>
      <c r="N6" s="321"/>
      <c r="O6" s="321"/>
    </row>
    <row r="7" spans="2:19" x14ac:dyDescent="0.25">
      <c r="B7" s="322"/>
      <c r="C7" s="322"/>
      <c r="D7" s="322"/>
      <c r="E7" s="322"/>
      <c r="F7" s="322"/>
      <c r="G7" s="322"/>
      <c r="H7" s="322"/>
    </row>
    <row r="8" spans="2:19" x14ac:dyDescent="0.25">
      <c r="B8" s="306" t="s">
        <v>153</v>
      </c>
      <c r="C8" s="306"/>
      <c r="D8" s="306"/>
      <c r="E8" s="306"/>
      <c r="F8" s="306"/>
      <c r="G8" s="306"/>
      <c r="H8" s="306"/>
    </row>
    <row r="9" spans="2:19" ht="14.4" customHeight="1" x14ac:dyDescent="0.25">
      <c r="B9" s="13"/>
      <c r="C9" s="13"/>
      <c r="D9" s="13"/>
      <c r="E9" s="13"/>
      <c r="F9" s="13"/>
      <c r="G9" s="13"/>
      <c r="H9" s="13"/>
      <c r="J9" s="322" t="s">
        <v>2</v>
      </c>
      <c r="K9" s="322"/>
      <c r="L9" s="322"/>
      <c r="M9" s="322"/>
      <c r="N9" s="322"/>
      <c r="Q9" s="12"/>
      <c r="R9" s="12"/>
      <c r="S9" s="14"/>
    </row>
    <row r="10" spans="2:19" x14ac:dyDescent="0.25">
      <c r="B10" s="322" t="s">
        <v>3</v>
      </c>
      <c r="C10" s="322"/>
      <c r="D10" s="322"/>
      <c r="E10" s="15"/>
      <c r="F10" s="15"/>
      <c r="J10" s="322" t="s">
        <v>4</v>
      </c>
      <c r="K10" s="322"/>
      <c r="L10" s="322"/>
      <c r="M10" s="322"/>
      <c r="N10" s="322"/>
      <c r="Q10" s="12"/>
      <c r="R10" s="12"/>
      <c r="S10" s="14"/>
    </row>
    <row r="11" spans="2:19" x14ac:dyDescent="0.25">
      <c r="B11" s="322" t="s">
        <v>5</v>
      </c>
      <c r="C11" s="322"/>
      <c r="D11" s="322"/>
      <c r="E11" s="15"/>
      <c r="F11" s="15"/>
      <c r="J11" s="322" t="s">
        <v>6</v>
      </c>
      <c r="K11" s="322"/>
      <c r="L11" s="322"/>
      <c r="M11" s="322"/>
      <c r="N11" s="322"/>
      <c r="Q11" s="16"/>
      <c r="R11" s="17"/>
      <c r="S11" s="14"/>
    </row>
    <row r="12" spans="2:19" x14ac:dyDescent="0.25">
      <c r="B12" s="322" t="s">
        <v>7</v>
      </c>
      <c r="C12" s="322"/>
      <c r="D12" s="322"/>
      <c r="E12" s="15"/>
      <c r="F12" s="15"/>
      <c r="J12" s="322" t="s">
        <v>7</v>
      </c>
      <c r="K12" s="322"/>
      <c r="L12" s="322"/>
      <c r="M12" s="322"/>
      <c r="N12" s="322"/>
      <c r="Q12" s="18"/>
      <c r="R12" s="19"/>
      <c r="S12" s="14"/>
    </row>
    <row r="13" spans="2:19" x14ac:dyDescent="0.25">
      <c r="B13" s="11"/>
      <c r="C13" s="11"/>
      <c r="D13" s="11"/>
      <c r="E13" s="11" t="s">
        <v>8</v>
      </c>
      <c r="F13" s="11" t="s">
        <v>8</v>
      </c>
      <c r="G13" s="15"/>
      <c r="O13" s="11" t="s">
        <v>8</v>
      </c>
      <c r="P13" s="11" t="s">
        <v>8</v>
      </c>
      <c r="Q13" s="15"/>
      <c r="R13" s="19"/>
      <c r="S13" s="14"/>
    </row>
    <row r="14" spans="2:19" ht="15.6" x14ac:dyDescent="0.3">
      <c r="B14" s="20"/>
      <c r="C14" s="21" t="s">
        <v>9</v>
      </c>
      <c r="D14" s="22" t="s">
        <v>10</v>
      </c>
      <c r="E14" s="23" t="s">
        <v>11</v>
      </c>
      <c r="F14" s="11" t="s">
        <v>12</v>
      </c>
      <c r="G14" s="11" t="s">
        <v>13</v>
      </c>
      <c r="J14" s="201" t="s">
        <v>14</v>
      </c>
      <c r="K14" s="202"/>
      <c r="L14" s="203"/>
      <c r="M14" s="204" t="s">
        <v>9</v>
      </c>
      <c r="N14" s="22" t="s">
        <v>10</v>
      </c>
      <c r="O14" s="23" t="s">
        <v>11</v>
      </c>
      <c r="P14" s="11" t="s">
        <v>12</v>
      </c>
      <c r="Q14" s="11" t="s">
        <v>13</v>
      </c>
      <c r="R14" s="17"/>
      <c r="S14" s="14"/>
    </row>
    <row r="15" spans="2:19" x14ac:dyDescent="0.25">
      <c r="B15" s="24" t="s">
        <v>15</v>
      </c>
      <c r="C15" s="25">
        <v>6000</v>
      </c>
      <c r="D15" s="26">
        <v>8000</v>
      </c>
      <c r="E15" s="27">
        <f>D15-C15</f>
        <v>2000</v>
      </c>
      <c r="F15" s="28">
        <f>E15/C15</f>
        <v>0.33333333333333331</v>
      </c>
      <c r="G15" s="29">
        <f>(D15-C15)/C15</f>
        <v>0.33333333333333331</v>
      </c>
      <c r="J15" s="301" t="s">
        <v>16</v>
      </c>
      <c r="K15" s="302"/>
      <c r="L15" s="303"/>
      <c r="M15" s="205"/>
      <c r="N15" s="206"/>
      <c r="R15" s="19"/>
      <c r="S15" s="14"/>
    </row>
    <row r="16" spans="2:19" x14ac:dyDescent="0.25">
      <c r="B16" s="30" t="s">
        <v>17</v>
      </c>
      <c r="C16" s="31">
        <v>4000</v>
      </c>
      <c r="D16" s="32">
        <v>6000</v>
      </c>
      <c r="E16" s="27">
        <f>D16-C16</f>
        <v>2000</v>
      </c>
      <c r="F16" s="28">
        <f t="shared" ref="F16:F26" si="0">E16/C16</f>
        <v>0.5</v>
      </c>
      <c r="G16" s="29">
        <f t="shared" ref="G16:G26" si="1">(D16-C16)/C16</f>
        <v>0.5</v>
      </c>
      <c r="J16" s="301" t="s">
        <v>18</v>
      </c>
      <c r="K16" s="302"/>
      <c r="L16" s="303"/>
      <c r="M16" s="207">
        <v>300</v>
      </c>
      <c r="N16" s="208">
        <v>500</v>
      </c>
      <c r="O16" s="33">
        <f>N16-M16</f>
        <v>200</v>
      </c>
      <c r="P16" s="209">
        <f>O16/M16</f>
        <v>0.66666666666666663</v>
      </c>
      <c r="Q16" s="209">
        <f>(N16-M16)/M16</f>
        <v>0.66666666666666663</v>
      </c>
      <c r="R16" s="19"/>
      <c r="S16" s="14"/>
    </row>
    <row r="17" spans="2:22" x14ac:dyDescent="0.25">
      <c r="B17" s="30" t="s">
        <v>19</v>
      </c>
      <c r="C17" s="34">
        <f>+C15-C16</f>
        <v>2000</v>
      </c>
      <c r="D17" s="35">
        <f>+D15-D16</f>
        <v>2000</v>
      </c>
      <c r="E17" s="27">
        <f>D17-C17</f>
        <v>0</v>
      </c>
      <c r="F17" s="28">
        <f t="shared" si="0"/>
        <v>0</v>
      </c>
      <c r="G17" s="29">
        <f t="shared" si="1"/>
        <v>0</v>
      </c>
      <c r="J17" s="301" t="s">
        <v>20</v>
      </c>
      <c r="K17" s="302"/>
      <c r="L17" s="303"/>
      <c r="M17" s="207">
        <v>200</v>
      </c>
      <c r="N17" s="208">
        <v>300</v>
      </c>
      <c r="O17" s="33">
        <f t="shared" ref="O17:O40" si="2">N17-M17</f>
        <v>100</v>
      </c>
      <c r="P17" s="209">
        <f t="shared" ref="P17:P37" si="3">O17/M17</f>
        <v>0.5</v>
      </c>
      <c r="Q17" s="209">
        <f t="shared" ref="Q17:Q40" si="4">(N17-M17)/M17</f>
        <v>0.5</v>
      </c>
      <c r="R17" s="37"/>
    </row>
    <row r="18" spans="2:22" x14ac:dyDescent="0.25">
      <c r="B18" s="30" t="s">
        <v>21</v>
      </c>
      <c r="C18" s="31">
        <v>500</v>
      </c>
      <c r="D18" s="32">
        <v>400</v>
      </c>
      <c r="E18" s="27">
        <f t="shared" ref="E18:E26" si="5">D18-C18</f>
        <v>-100</v>
      </c>
      <c r="F18" s="28">
        <f t="shared" si="0"/>
        <v>-0.2</v>
      </c>
      <c r="G18" s="29">
        <f t="shared" si="1"/>
        <v>-0.2</v>
      </c>
      <c r="J18" s="301" t="s">
        <v>22</v>
      </c>
      <c r="K18" s="302"/>
      <c r="L18" s="303"/>
      <c r="M18" s="210">
        <v>300</v>
      </c>
      <c r="N18" s="211">
        <v>450</v>
      </c>
      <c r="O18" s="33">
        <f t="shared" si="2"/>
        <v>150</v>
      </c>
      <c r="P18" s="209">
        <f t="shared" si="3"/>
        <v>0.5</v>
      </c>
      <c r="Q18" s="209">
        <f t="shared" si="4"/>
        <v>0.5</v>
      </c>
      <c r="R18" s="36"/>
    </row>
    <row r="19" spans="2:22" x14ac:dyDescent="0.25">
      <c r="B19" s="30" t="s">
        <v>23</v>
      </c>
      <c r="C19" s="31">
        <v>300</v>
      </c>
      <c r="D19" s="32">
        <v>320</v>
      </c>
      <c r="E19" s="27">
        <f t="shared" si="5"/>
        <v>20</v>
      </c>
      <c r="F19" s="28">
        <f t="shared" si="0"/>
        <v>6.6666666666666666E-2</v>
      </c>
      <c r="G19" s="29">
        <f t="shared" si="1"/>
        <v>6.6666666666666666E-2</v>
      </c>
      <c r="J19" s="301" t="s">
        <v>24</v>
      </c>
      <c r="K19" s="302"/>
      <c r="L19" s="303"/>
      <c r="M19" s="212">
        <v>400</v>
      </c>
      <c r="N19" s="213">
        <v>500</v>
      </c>
      <c r="O19" s="33">
        <f t="shared" si="2"/>
        <v>100</v>
      </c>
      <c r="P19" s="209">
        <f t="shared" si="3"/>
        <v>0.25</v>
      </c>
      <c r="Q19" s="209">
        <f t="shared" si="4"/>
        <v>0.25</v>
      </c>
      <c r="R19" s="37"/>
    </row>
    <row r="20" spans="2:22" x14ac:dyDescent="0.25">
      <c r="B20" s="30" t="s">
        <v>25</v>
      </c>
      <c r="C20" s="31">
        <v>110</v>
      </c>
      <c r="D20" s="32">
        <v>160</v>
      </c>
      <c r="E20" s="27">
        <f t="shared" si="5"/>
        <v>50</v>
      </c>
      <c r="F20" s="28">
        <f t="shared" si="0"/>
        <v>0.45454545454545453</v>
      </c>
      <c r="G20" s="29">
        <f t="shared" si="1"/>
        <v>0.45454545454545453</v>
      </c>
      <c r="J20" s="308" t="s">
        <v>26</v>
      </c>
      <c r="K20" s="309"/>
      <c r="L20" s="310"/>
      <c r="M20" s="214">
        <f>SUM(M16:M19)</f>
        <v>1200</v>
      </c>
      <c r="N20" s="215">
        <f>SUM(N16:N19)</f>
        <v>1750</v>
      </c>
      <c r="O20" s="33">
        <f t="shared" si="2"/>
        <v>550</v>
      </c>
      <c r="P20" s="209">
        <f t="shared" si="3"/>
        <v>0.45833333333333331</v>
      </c>
      <c r="Q20" s="209">
        <f t="shared" si="4"/>
        <v>0.45833333333333331</v>
      </c>
      <c r="R20" s="39"/>
    </row>
    <row r="21" spans="2:22" x14ac:dyDescent="0.25">
      <c r="B21" s="30" t="s">
        <v>27</v>
      </c>
      <c r="C21" s="40">
        <f>+C18+C19+C20</f>
        <v>910</v>
      </c>
      <c r="D21" s="41">
        <f>+D18+D19+D20</f>
        <v>880</v>
      </c>
      <c r="E21" s="27">
        <f t="shared" si="5"/>
        <v>-30</v>
      </c>
      <c r="F21" s="28">
        <f t="shared" si="0"/>
        <v>-3.2967032967032968E-2</v>
      </c>
      <c r="G21" s="29">
        <f t="shared" si="1"/>
        <v>-3.2967032967032968E-2</v>
      </c>
      <c r="J21" s="301" t="s">
        <v>28</v>
      </c>
      <c r="K21" s="302"/>
      <c r="L21" s="303"/>
      <c r="M21" s="216"/>
      <c r="N21" s="217"/>
      <c r="O21" s="33"/>
      <c r="P21" s="209"/>
      <c r="Q21" s="209"/>
      <c r="R21" s="42"/>
    </row>
    <row r="22" spans="2:22" x14ac:dyDescent="0.25">
      <c r="B22" s="30" t="s">
        <v>29</v>
      </c>
      <c r="C22" s="31">
        <f>+C17-C21</f>
        <v>1090</v>
      </c>
      <c r="D22" s="32">
        <v>1200</v>
      </c>
      <c r="E22" s="27">
        <f t="shared" si="5"/>
        <v>110</v>
      </c>
      <c r="F22" s="28">
        <f t="shared" si="0"/>
        <v>0.10091743119266056</v>
      </c>
      <c r="G22" s="29">
        <f t="shared" si="1"/>
        <v>0.10091743119266056</v>
      </c>
      <c r="J22" s="301" t="s">
        <v>30</v>
      </c>
      <c r="K22" s="302"/>
      <c r="L22" s="303"/>
      <c r="M22" s="218">
        <v>400</v>
      </c>
      <c r="N22" s="219">
        <v>550</v>
      </c>
      <c r="O22" s="33">
        <f t="shared" si="2"/>
        <v>150</v>
      </c>
      <c r="P22" s="209">
        <f t="shared" si="3"/>
        <v>0.375</v>
      </c>
      <c r="Q22" s="209">
        <f t="shared" si="4"/>
        <v>0.375</v>
      </c>
      <c r="R22" s="39"/>
    </row>
    <row r="23" spans="2:22" x14ac:dyDescent="0.25">
      <c r="B23" s="30" t="s">
        <v>31</v>
      </c>
      <c r="C23" s="31">
        <v>110</v>
      </c>
      <c r="D23" s="32">
        <v>170</v>
      </c>
      <c r="E23" s="27">
        <f t="shared" si="5"/>
        <v>60</v>
      </c>
      <c r="F23" s="28">
        <f t="shared" si="0"/>
        <v>0.54545454545454541</v>
      </c>
      <c r="G23" s="29">
        <f t="shared" si="1"/>
        <v>0.54545454545454541</v>
      </c>
      <c r="J23" s="311" t="s">
        <v>32</v>
      </c>
      <c r="K23" s="312"/>
      <c r="L23" s="313"/>
      <c r="M23" s="220">
        <v>-140</v>
      </c>
      <c r="N23" s="221">
        <v>-200</v>
      </c>
      <c r="O23" s="33">
        <f t="shared" si="2"/>
        <v>-60</v>
      </c>
      <c r="P23" s="209">
        <f t="shared" si="3"/>
        <v>0.42857142857142855</v>
      </c>
      <c r="Q23" s="209">
        <f t="shared" si="4"/>
        <v>0.42857142857142855</v>
      </c>
      <c r="R23" s="42"/>
    </row>
    <row r="24" spans="2:22" x14ac:dyDescent="0.25">
      <c r="B24" s="30" t="s">
        <v>33</v>
      </c>
      <c r="C24" s="34">
        <f>+C22-C23</f>
        <v>980</v>
      </c>
      <c r="D24" s="44">
        <f>+D22-D23</f>
        <v>1030</v>
      </c>
      <c r="E24" s="27">
        <f t="shared" si="5"/>
        <v>50</v>
      </c>
      <c r="F24" s="28">
        <f t="shared" si="0"/>
        <v>5.1020408163265307E-2</v>
      </c>
      <c r="G24" s="29">
        <f t="shared" si="1"/>
        <v>5.1020408163265307E-2</v>
      </c>
      <c r="J24" s="305" t="s">
        <v>34</v>
      </c>
      <c r="K24" s="306"/>
      <c r="L24" s="307"/>
      <c r="M24" s="222">
        <f>SUM(M22:M23)</f>
        <v>260</v>
      </c>
      <c r="N24" s="45">
        <f>SUM(N22:N23)</f>
        <v>350</v>
      </c>
      <c r="O24" s="33">
        <f t="shared" si="2"/>
        <v>90</v>
      </c>
      <c r="P24" s="209">
        <f t="shared" si="3"/>
        <v>0.34615384615384615</v>
      </c>
      <c r="Q24" s="209">
        <f t="shared" si="4"/>
        <v>0.34615384615384615</v>
      </c>
    </row>
    <row r="25" spans="2:22" x14ac:dyDescent="0.25">
      <c r="B25" s="30" t="s">
        <v>35</v>
      </c>
      <c r="C25" s="31">
        <f>+C24*30%</f>
        <v>294</v>
      </c>
      <c r="D25" s="32">
        <f>+D24*30%</f>
        <v>309</v>
      </c>
      <c r="E25" s="27">
        <f t="shared" si="5"/>
        <v>15</v>
      </c>
      <c r="F25" s="28">
        <f t="shared" si="0"/>
        <v>5.1020408163265307E-2</v>
      </c>
      <c r="G25" s="29">
        <f t="shared" si="1"/>
        <v>5.1020408163265307E-2</v>
      </c>
      <c r="J25" s="314" t="s">
        <v>36</v>
      </c>
      <c r="K25" s="315"/>
      <c r="L25" s="316"/>
      <c r="M25" s="223">
        <f>+M20+M24</f>
        <v>1460</v>
      </c>
      <c r="N25" s="224">
        <f>+N20+N24</f>
        <v>2100</v>
      </c>
      <c r="O25" s="33">
        <f t="shared" si="2"/>
        <v>640</v>
      </c>
      <c r="P25" s="209">
        <f t="shared" si="3"/>
        <v>0.43835616438356162</v>
      </c>
      <c r="Q25" s="209">
        <f t="shared" si="4"/>
        <v>0.43835616438356162</v>
      </c>
    </row>
    <row r="26" spans="2:22" x14ac:dyDescent="0.25">
      <c r="B26" s="46" t="s">
        <v>37</v>
      </c>
      <c r="C26" s="40">
        <f>+C24-C25</f>
        <v>686</v>
      </c>
      <c r="D26" s="41">
        <f>+D24-D25</f>
        <v>721</v>
      </c>
      <c r="E26" s="27">
        <f t="shared" si="5"/>
        <v>35</v>
      </c>
      <c r="F26" s="28">
        <f t="shared" si="0"/>
        <v>5.1020408163265307E-2</v>
      </c>
      <c r="G26" s="29">
        <f t="shared" si="1"/>
        <v>5.1020408163265307E-2</v>
      </c>
      <c r="J26" s="200"/>
      <c r="L26" s="206"/>
      <c r="M26" s="200"/>
      <c r="N26" s="47"/>
      <c r="O26" s="33"/>
      <c r="P26" s="209"/>
      <c r="Q26" s="209"/>
    </row>
    <row r="27" spans="2:22" ht="15.6" x14ac:dyDescent="0.3">
      <c r="D27" s="48"/>
      <c r="F27" s="48"/>
      <c r="J27" s="317" t="s">
        <v>38</v>
      </c>
      <c r="K27" s="318"/>
      <c r="L27" s="319"/>
      <c r="M27" s="20"/>
      <c r="N27" s="225"/>
      <c r="O27" s="33"/>
      <c r="P27" s="209"/>
      <c r="Q27" s="209"/>
    </row>
    <row r="28" spans="2:22" x14ac:dyDescent="0.25">
      <c r="D28" s="48"/>
      <c r="F28" s="48"/>
      <c r="J28" s="301" t="s">
        <v>39</v>
      </c>
      <c r="K28" s="302"/>
      <c r="L28" s="303"/>
      <c r="M28" s="200"/>
      <c r="N28" s="206"/>
      <c r="O28" s="33"/>
      <c r="P28" s="209"/>
      <c r="Q28" s="209"/>
    </row>
    <row r="29" spans="2:22" x14ac:dyDescent="0.25">
      <c r="J29" s="301" t="s">
        <v>40</v>
      </c>
      <c r="K29" s="302"/>
      <c r="L29" s="303"/>
      <c r="M29" s="207"/>
      <c r="N29" s="208"/>
      <c r="O29" s="33"/>
      <c r="P29" s="209"/>
      <c r="Q29" s="209"/>
    </row>
    <row r="30" spans="2:22" x14ac:dyDescent="0.25">
      <c r="J30" s="301" t="s">
        <v>41</v>
      </c>
      <c r="K30" s="302"/>
      <c r="L30" s="303"/>
      <c r="M30" s="207">
        <v>400</v>
      </c>
      <c r="N30" s="208">
        <v>600</v>
      </c>
      <c r="O30" s="33">
        <f t="shared" si="2"/>
        <v>200</v>
      </c>
      <c r="P30" s="209">
        <f t="shared" si="3"/>
        <v>0.5</v>
      </c>
      <c r="Q30" s="209">
        <f t="shared" si="4"/>
        <v>0.5</v>
      </c>
      <c r="R30" s="15"/>
      <c r="S30" s="15"/>
      <c r="T30" s="15"/>
      <c r="U30" s="15"/>
      <c r="V30" s="15"/>
    </row>
    <row r="31" spans="2:22" ht="13.8" customHeight="1" x14ac:dyDescent="0.25">
      <c r="B31" s="304" t="s">
        <v>150</v>
      </c>
      <c r="C31" s="304"/>
      <c r="D31" s="304"/>
      <c r="E31" s="304"/>
      <c r="F31" s="304"/>
      <c r="G31" s="304"/>
      <c r="H31" s="49"/>
      <c r="I31" s="49"/>
      <c r="J31" s="301" t="s">
        <v>42</v>
      </c>
      <c r="K31" s="302"/>
      <c r="L31" s="303"/>
      <c r="M31" s="207">
        <v>350</v>
      </c>
      <c r="N31" s="208">
        <v>450</v>
      </c>
      <c r="O31" s="33">
        <f t="shared" si="2"/>
        <v>100</v>
      </c>
      <c r="P31" s="209">
        <f t="shared" si="3"/>
        <v>0.2857142857142857</v>
      </c>
      <c r="Q31" s="209">
        <f t="shared" si="4"/>
        <v>0.2857142857142857</v>
      </c>
      <c r="R31" s="15"/>
      <c r="S31" s="15"/>
      <c r="T31" s="15"/>
      <c r="U31" s="15"/>
      <c r="V31" s="15"/>
    </row>
    <row r="32" spans="2:22" x14ac:dyDescent="0.25">
      <c r="B32" s="304"/>
      <c r="C32" s="304"/>
      <c r="D32" s="304"/>
      <c r="E32" s="304"/>
      <c r="F32" s="304"/>
      <c r="G32" s="304"/>
      <c r="H32" s="49"/>
      <c r="I32" s="49"/>
      <c r="J32" s="301" t="s">
        <v>43</v>
      </c>
      <c r="K32" s="302"/>
      <c r="L32" s="303"/>
      <c r="M32" s="212">
        <v>120</v>
      </c>
      <c r="N32" s="213">
        <v>220</v>
      </c>
      <c r="O32" s="33">
        <f t="shared" si="2"/>
        <v>100</v>
      </c>
      <c r="P32" s="209">
        <f t="shared" si="3"/>
        <v>0.83333333333333337</v>
      </c>
      <c r="Q32" s="209">
        <f t="shared" si="4"/>
        <v>0.83333333333333337</v>
      </c>
      <c r="R32" s="15"/>
      <c r="S32" s="15"/>
      <c r="T32" s="15"/>
      <c r="U32" s="15"/>
      <c r="V32" s="15"/>
    </row>
    <row r="33" spans="2:22" x14ac:dyDescent="0.25">
      <c r="B33" s="304"/>
      <c r="C33" s="304"/>
      <c r="D33" s="304"/>
      <c r="E33" s="304"/>
      <c r="F33" s="304"/>
      <c r="G33" s="304"/>
      <c r="H33" s="49"/>
      <c r="I33" s="49"/>
      <c r="J33" s="305" t="s">
        <v>44</v>
      </c>
      <c r="K33" s="306"/>
      <c r="L33" s="307"/>
      <c r="M33" s="214">
        <f>SUM(M30:M32)</f>
        <v>870</v>
      </c>
      <c r="N33" s="226">
        <f>SUM(N30:N32)</f>
        <v>1270</v>
      </c>
      <c r="O33" s="33">
        <f t="shared" si="2"/>
        <v>400</v>
      </c>
      <c r="P33" s="209">
        <f t="shared" si="3"/>
        <v>0.45977011494252873</v>
      </c>
      <c r="Q33" s="209">
        <f t="shared" si="4"/>
        <v>0.45977011494252873</v>
      </c>
      <c r="R33" s="15"/>
      <c r="S33" s="15"/>
      <c r="T33" s="15"/>
      <c r="U33" s="15"/>
      <c r="V33" s="15"/>
    </row>
    <row r="34" spans="2:22" x14ac:dyDescent="0.25">
      <c r="B34" s="304"/>
      <c r="C34" s="304"/>
      <c r="D34" s="304"/>
      <c r="E34" s="304"/>
      <c r="F34" s="304"/>
      <c r="G34" s="304"/>
      <c r="J34" s="301" t="s">
        <v>45</v>
      </c>
      <c r="K34" s="302"/>
      <c r="L34" s="303"/>
      <c r="M34" s="227"/>
      <c r="N34" s="228"/>
      <c r="O34" s="33"/>
      <c r="P34" s="209"/>
      <c r="Q34" s="209"/>
      <c r="T34" s="11"/>
      <c r="U34" s="11"/>
      <c r="V34" s="15"/>
    </row>
    <row r="35" spans="2:22" x14ac:dyDescent="0.25">
      <c r="J35" s="269" t="s">
        <v>46</v>
      </c>
      <c r="K35" s="270"/>
      <c r="L35" s="271"/>
      <c r="M35" s="229">
        <v>100</v>
      </c>
      <c r="N35" s="230">
        <v>170</v>
      </c>
      <c r="O35" s="33">
        <f t="shared" si="2"/>
        <v>70</v>
      </c>
      <c r="P35" s="209">
        <f t="shared" si="3"/>
        <v>0.7</v>
      </c>
      <c r="Q35" s="209">
        <f t="shared" si="4"/>
        <v>0.7</v>
      </c>
      <c r="R35" s="11"/>
      <c r="S35" s="11"/>
      <c r="T35" s="11"/>
      <c r="U35" s="11"/>
      <c r="V35" s="11"/>
    </row>
    <row r="36" spans="2:22" ht="17.399999999999999" x14ac:dyDescent="0.3">
      <c r="B36" s="275" t="s">
        <v>151</v>
      </c>
      <c r="C36" s="275"/>
      <c r="D36" s="275"/>
      <c r="E36" s="275"/>
      <c r="F36" s="275"/>
      <c r="G36" s="275"/>
      <c r="J36" s="231" t="s">
        <v>47</v>
      </c>
      <c r="L36" s="206"/>
      <c r="M36" s="218">
        <f>+M35</f>
        <v>100</v>
      </c>
      <c r="N36" s="219">
        <f>+N35</f>
        <v>170</v>
      </c>
      <c r="O36" s="33">
        <f t="shared" si="2"/>
        <v>70</v>
      </c>
      <c r="P36" s="209">
        <f t="shared" si="3"/>
        <v>0.7</v>
      </c>
      <c r="Q36" s="209">
        <f t="shared" si="4"/>
        <v>0.7</v>
      </c>
      <c r="R36" s="13"/>
    </row>
    <row r="37" spans="2:22" ht="13.8" customHeight="1" x14ac:dyDescent="0.25">
      <c r="B37" s="286" t="s">
        <v>168</v>
      </c>
      <c r="C37" s="287"/>
      <c r="D37" s="287"/>
      <c r="E37" s="287"/>
      <c r="F37" s="287"/>
      <c r="G37" s="288"/>
      <c r="J37" s="292" t="s">
        <v>48</v>
      </c>
      <c r="K37" s="293"/>
      <c r="L37" s="294"/>
      <c r="M37" s="232">
        <f>+M33+M36</f>
        <v>970</v>
      </c>
      <c r="N37" s="50">
        <f>+N33+N36</f>
        <v>1440</v>
      </c>
      <c r="O37" s="33">
        <f t="shared" si="2"/>
        <v>470</v>
      </c>
      <c r="P37" s="209">
        <f t="shared" si="3"/>
        <v>0.4845360824742268</v>
      </c>
      <c r="Q37" s="209">
        <f t="shared" si="4"/>
        <v>0.4845360824742268</v>
      </c>
      <c r="R37" s="51"/>
      <c r="S37" s="51"/>
      <c r="T37" s="33"/>
      <c r="U37" s="52"/>
      <c r="V37" s="52"/>
    </row>
    <row r="38" spans="2:22" x14ac:dyDescent="0.25">
      <c r="B38" s="289"/>
      <c r="C38" s="290"/>
      <c r="D38" s="290"/>
      <c r="E38" s="290"/>
      <c r="F38" s="290"/>
      <c r="G38" s="291"/>
      <c r="J38" s="231"/>
      <c r="L38" s="206"/>
      <c r="M38" s="233"/>
      <c r="N38" s="234"/>
      <c r="O38" s="33"/>
      <c r="P38" s="209"/>
      <c r="Q38" s="209"/>
      <c r="R38" s="51"/>
      <c r="S38" s="51"/>
      <c r="T38" s="33"/>
      <c r="U38" s="52"/>
      <c r="V38" s="52"/>
    </row>
    <row r="39" spans="2:22" ht="15.6" customHeight="1" x14ac:dyDescent="0.25">
      <c r="B39" s="286" t="s">
        <v>170</v>
      </c>
      <c r="C39" s="287"/>
      <c r="D39" s="287"/>
      <c r="E39" s="287"/>
      <c r="F39" s="287"/>
      <c r="G39" s="288"/>
      <c r="J39" s="295" t="s">
        <v>49</v>
      </c>
      <c r="K39" s="296"/>
      <c r="L39" s="297"/>
      <c r="M39" s="235"/>
      <c r="N39" s="236"/>
      <c r="O39" s="33"/>
      <c r="P39" s="209"/>
      <c r="Q39" s="209"/>
      <c r="R39" s="53"/>
      <c r="S39" s="53"/>
      <c r="T39" s="33"/>
      <c r="U39" s="52"/>
      <c r="V39" s="52"/>
    </row>
    <row r="40" spans="2:22" x14ac:dyDescent="0.25">
      <c r="B40" s="289"/>
      <c r="C40" s="290"/>
      <c r="D40" s="290"/>
      <c r="E40" s="290"/>
      <c r="F40" s="290"/>
      <c r="G40" s="291"/>
      <c r="J40" s="298" t="s">
        <v>50</v>
      </c>
      <c r="K40" s="299"/>
      <c r="L40" s="300"/>
      <c r="M40" s="233">
        <v>100</v>
      </c>
      <c r="N40" s="234">
        <v>100</v>
      </c>
      <c r="O40" s="33">
        <f t="shared" si="2"/>
        <v>0</v>
      </c>
      <c r="P40" s="209">
        <f>O40/M40</f>
        <v>0</v>
      </c>
      <c r="Q40" s="209">
        <f t="shared" si="4"/>
        <v>0</v>
      </c>
      <c r="R40" s="51"/>
      <c r="S40" s="51"/>
      <c r="T40" s="33"/>
      <c r="U40" s="52"/>
      <c r="V40" s="52"/>
    </row>
    <row r="41" spans="2:22" ht="28.2" customHeight="1" x14ac:dyDescent="0.25">
      <c r="B41" s="266" t="s">
        <v>169</v>
      </c>
      <c r="C41" s="266"/>
      <c r="D41" s="266"/>
      <c r="E41" s="266"/>
      <c r="F41" s="266"/>
      <c r="G41" s="266"/>
      <c r="J41" s="279" t="s">
        <v>51</v>
      </c>
      <c r="K41" s="280"/>
      <c r="L41" s="281"/>
      <c r="M41" s="282">
        <v>90</v>
      </c>
      <c r="N41" s="283">
        <v>90</v>
      </c>
      <c r="O41" s="284">
        <f>N41-M41</f>
        <v>0</v>
      </c>
      <c r="P41" s="267">
        <f>O41/M41</f>
        <v>0</v>
      </c>
      <c r="Q41" s="267">
        <f>(N41-M41)/M41</f>
        <v>0</v>
      </c>
      <c r="R41" s="54"/>
      <c r="S41" s="55"/>
      <c r="T41" s="38"/>
      <c r="U41" s="56"/>
      <c r="V41" s="56"/>
    </row>
    <row r="42" spans="2:22" ht="28.2" customHeight="1" x14ac:dyDescent="0.25">
      <c r="B42" s="266" t="s">
        <v>171</v>
      </c>
      <c r="C42" s="266"/>
      <c r="D42" s="266"/>
      <c r="E42" s="266"/>
      <c r="F42" s="266"/>
      <c r="G42" s="266"/>
      <c r="J42" s="279"/>
      <c r="K42" s="280"/>
      <c r="L42" s="281"/>
      <c r="M42" s="282"/>
      <c r="N42" s="283"/>
      <c r="O42" s="285"/>
      <c r="P42" s="268"/>
      <c r="Q42" s="268"/>
      <c r="R42" s="51"/>
      <c r="S42" s="51"/>
      <c r="T42" s="33"/>
      <c r="U42" s="52"/>
      <c r="V42" s="39"/>
    </row>
    <row r="43" spans="2:22" x14ac:dyDescent="0.25">
      <c r="J43" s="269" t="s">
        <v>52</v>
      </c>
      <c r="K43" s="270"/>
      <c r="L43" s="271"/>
      <c r="M43" s="229">
        <v>300</v>
      </c>
      <c r="N43" s="230">
        <v>470</v>
      </c>
      <c r="O43" s="33">
        <f>N43-M43</f>
        <v>170</v>
      </c>
      <c r="P43" s="209">
        <f>O43/M43</f>
        <v>0.56666666666666665</v>
      </c>
      <c r="Q43" s="209">
        <f>(N43-M43)/M43</f>
        <v>0.56666666666666665</v>
      </c>
      <c r="R43" s="33"/>
      <c r="S43" s="33"/>
      <c r="T43" s="33"/>
      <c r="U43" s="52"/>
      <c r="V43" s="52"/>
    </row>
    <row r="44" spans="2:22" x14ac:dyDescent="0.25">
      <c r="J44" s="237" t="s">
        <v>53</v>
      </c>
      <c r="K44" s="68"/>
      <c r="L44" s="238"/>
      <c r="M44" s="239">
        <f>SUM(M40:M43)</f>
        <v>490</v>
      </c>
      <c r="N44" s="57">
        <f>SUM(N40:N43)</f>
        <v>660</v>
      </c>
      <c r="O44" s="33">
        <f t="shared" ref="O44:O46" si="6">N44-M44</f>
        <v>170</v>
      </c>
      <c r="P44" s="209">
        <f t="shared" ref="P44:P46" si="7">O44/M44</f>
        <v>0.34693877551020408</v>
      </c>
      <c r="Q44" s="209">
        <f t="shared" ref="Q44:Q46" si="8">(N44-M44)/M44</f>
        <v>0.34693877551020408</v>
      </c>
      <c r="R44" s="33"/>
      <c r="S44" s="33"/>
      <c r="T44" s="33"/>
      <c r="U44" s="52"/>
      <c r="V44" s="52"/>
    </row>
    <row r="45" spans="2:22" ht="13.8" customHeight="1" x14ac:dyDescent="0.25">
      <c r="J45" s="272"/>
      <c r="K45" s="273"/>
      <c r="L45" s="274"/>
      <c r="M45" s="240"/>
      <c r="N45" s="241"/>
      <c r="O45" s="33"/>
      <c r="P45" s="209"/>
      <c r="Q45" s="209"/>
      <c r="R45" s="43"/>
      <c r="S45" s="43"/>
      <c r="T45" s="43"/>
      <c r="U45" s="52"/>
      <c r="V45" s="52"/>
    </row>
    <row r="46" spans="2:22" ht="17.399999999999999" x14ac:dyDescent="0.3">
      <c r="B46" s="275" t="s">
        <v>152</v>
      </c>
      <c r="C46" s="275"/>
      <c r="D46" s="275"/>
      <c r="E46" s="275"/>
      <c r="F46" s="275"/>
      <c r="G46" s="275"/>
      <c r="J46" s="276" t="s">
        <v>54</v>
      </c>
      <c r="K46" s="277"/>
      <c r="L46" s="278"/>
      <c r="M46" s="242">
        <f>+M37+M44</f>
        <v>1460</v>
      </c>
      <c r="N46" s="243">
        <f>+N37+N44</f>
        <v>2100</v>
      </c>
      <c r="O46" s="33">
        <f t="shared" si="6"/>
        <v>640</v>
      </c>
      <c r="P46" s="209">
        <f t="shared" si="7"/>
        <v>0.43835616438356162</v>
      </c>
      <c r="Q46" s="209">
        <f t="shared" si="8"/>
        <v>0.43835616438356162</v>
      </c>
      <c r="R46" s="38"/>
      <c r="S46" s="38"/>
      <c r="T46" s="33"/>
      <c r="U46" s="52"/>
      <c r="V46" s="52"/>
    </row>
    <row r="47" spans="2:22" ht="30" customHeight="1" x14ac:dyDescent="0.25">
      <c r="B47" s="266" t="s">
        <v>172</v>
      </c>
      <c r="C47" s="266"/>
      <c r="D47" s="266"/>
      <c r="E47" s="266"/>
      <c r="F47" s="266"/>
      <c r="G47" s="266"/>
      <c r="J47" s="58"/>
      <c r="K47" s="38"/>
      <c r="L47" s="59"/>
      <c r="M47" s="60"/>
      <c r="N47" s="58"/>
      <c r="O47" s="15"/>
      <c r="P47" s="15"/>
      <c r="Q47" s="15"/>
      <c r="R47" s="38"/>
      <c r="S47" s="38"/>
      <c r="T47" s="33"/>
      <c r="U47" s="52"/>
      <c r="V47" s="52"/>
    </row>
    <row r="48" spans="2:22" ht="30.6" customHeight="1" x14ac:dyDescent="0.25">
      <c r="B48" s="266" t="s">
        <v>173</v>
      </c>
      <c r="C48" s="266"/>
      <c r="D48" s="266"/>
      <c r="E48" s="266"/>
      <c r="F48" s="266"/>
      <c r="G48" s="266"/>
      <c r="J48" s="39"/>
      <c r="K48" s="51"/>
      <c r="L48" s="39"/>
      <c r="N48" s="39"/>
      <c r="T48" s="33"/>
      <c r="U48" s="52"/>
      <c r="V48" s="39"/>
    </row>
    <row r="49" spans="2:22" ht="30" customHeight="1" x14ac:dyDescent="0.25">
      <c r="B49" s="266" t="s">
        <v>174</v>
      </c>
      <c r="C49" s="266"/>
      <c r="D49" s="266"/>
      <c r="E49" s="266"/>
      <c r="F49" s="266"/>
      <c r="G49" s="266"/>
      <c r="J49" s="39"/>
      <c r="K49" s="51"/>
      <c r="L49" s="39"/>
      <c r="M49" s="39"/>
      <c r="N49" s="39"/>
      <c r="O49" s="61"/>
      <c r="P49" s="61"/>
      <c r="Q49" s="61"/>
      <c r="R49" s="51"/>
      <c r="S49" s="51"/>
      <c r="T49" s="33"/>
      <c r="U49" s="52"/>
      <c r="V49" s="52"/>
    </row>
    <row r="50" spans="2:22" ht="17.399999999999999" x14ac:dyDescent="0.3">
      <c r="B50" s="266"/>
      <c r="C50" s="266"/>
      <c r="D50" s="266"/>
      <c r="E50" s="266"/>
      <c r="F50" s="266"/>
      <c r="G50" s="266"/>
      <c r="H50" s="62"/>
      <c r="I50" s="62"/>
      <c r="J50" s="62"/>
      <c r="K50" s="62"/>
      <c r="L50" s="62"/>
      <c r="M50" s="62"/>
      <c r="N50" s="62"/>
      <c r="O50" s="63"/>
      <c r="P50" s="63"/>
      <c r="Q50" s="63"/>
      <c r="R50" s="54"/>
      <c r="S50" s="54"/>
      <c r="T50" s="33"/>
      <c r="U50" s="52"/>
      <c r="V50" s="52"/>
    </row>
    <row r="51" spans="2:22" ht="13.8" customHeight="1" x14ac:dyDescent="0.25">
      <c r="B51" s="266"/>
      <c r="C51" s="266"/>
      <c r="D51" s="266"/>
      <c r="E51" s="266"/>
      <c r="F51" s="266"/>
      <c r="G51" s="266"/>
      <c r="H51" s="64"/>
      <c r="I51" s="64"/>
      <c r="J51" s="64"/>
      <c r="K51" s="64"/>
      <c r="L51" s="64"/>
      <c r="M51" s="64"/>
      <c r="N51" s="64"/>
      <c r="O51" s="63"/>
      <c r="P51" s="63"/>
      <c r="Q51" s="63"/>
      <c r="R51" s="54"/>
      <c r="S51" s="54"/>
      <c r="T51" s="38"/>
      <c r="U51" s="56"/>
      <c r="V51" s="56"/>
    </row>
    <row r="52" spans="2:22" x14ac:dyDescent="0.25">
      <c r="B52" s="266"/>
      <c r="C52" s="266"/>
      <c r="D52" s="266"/>
      <c r="E52" s="266"/>
      <c r="F52" s="266"/>
      <c r="G52" s="266"/>
      <c r="H52" s="64"/>
      <c r="I52" s="64"/>
      <c r="J52" s="64"/>
      <c r="K52" s="64"/>
      <c r="L52" s="64"/>
      <c r="M52" s="64"/>
      <c r="N52" s="64"/>
    </row>
    <row r="53" spans="2:22" x14ac:dyDescent="0.25">
      <c r="F53" s="64"/>
      <c r="G53" s="64"/>
      <c r="H53" s="64"/>
      <c r="I53" s="64"/>
      <c r="J53" s="64"/>
      <c r="K53" s="64"/>
      <c r="L53" s="64"/>
      <c r="M53" s="64"/>
      <c r="N53" s="64"/>
    </row>
  </sheetData>
  <mergeCells count="57">
    <mergeCell ref="J16:L16"/>
    <mergeCell ref="B2:O2"/>
    <mergeCell ref="B6:O6"/>
    <mergeCell ref="B7:H7"/>
    <mergeCell ref="B8:H8"/>
    <mergeCell ref="J9:N9"/>
    <mergeCell ref="B10:D10"/>
    <mergeCell ref="J10:N10"/>
    <mergeCell ref="B4:O4"/>
    <mergeCell ref="B11:D11"/>
    <mergeCell ref="J11:N11"/>
    <mergeCell ref="B12:D12"/>
    <mergeCell ref="J12:N12"/>
    <mergeCell ref="J15:L15"/>
    <mergeCell ref="J29:L29"/>
    <mergeCell ref="J17:L17"/>
    <mergeCell ref="J18:L18"/>
    <mergeCell ref="J19:L19"/>
    <mergeCell ref="J20:L20"/>
    <mergeCell ref="J21:L21"/>
    <mergeCell ref="J22:L22"/>
    <mergeCell ref="J23:L23"/>
    <mergeCell ref="J24:L24"/>
    <mergeCell ref="J25:L25"/>
    <mergeCell ref="J27:L27"/>
    <mergeCell ref="J28:L28"/>
    <mergeCell ref="J30:L30"/>
    <mergeCell ref="B31:G34"/>
    <mergeCell ref="J31:L31"/>
    <mergeCell ref="J32:L32"/>
    <mergeCell ref="J33:L33"/>
    <mergeCell ref="J34:L34"/>
    <mergeCell ref="B48:G48"/>
    <mergeCell ref="B49:G49"/>
    <mergeCell ref="J35:L35"/>
    <mergeCell ref="B36:G36"/>
    <mergeCell ref="B37:G38"/>
    <mergeCell ref="J37:L37"/>
    <mergeCell ref="B39:G40"/>
    <mergeCell ref="J39:L39"/>
    <mergeCell ref="J40:L40"/>
    <mergeCell ref="B50:G50"/>
    <mergeCell ref="B51:G51"/>
    <mergeCell ref="B52:G52"/>
    <mergeCell ref="Q41:Q42"/>
    <mergeCell ref="B42:G42"/>
    <mergeCell ref="J43:L43"/>
    <mergeCell ref="J45:L45"/>
    <mergeCell ref="B46:G46"/>
    <mergeCell ref="J46:L46"/>
    <mergeCell ref="B41:G41"/>
    <mergeCell ref="J41:L42"/>
    <mergeCell ref="M41:M42"/>
    <mergeCell ref="N41:N42"/>
    <mergeCell ref="O41:O42"/>
    <mergeCell ref="P41:P42"/>
    <mergeCell ref="B47:G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A91BF-DEB1-4683-B55B-969962DA79CB}">
  <dimension ref="B2:Z89"/>
  <sheetViews>
    <sheetView topLeftCell="A3" workbookViewId="0">
      <selection activeCell="O49" sqref="O49"/>
    </sheetView>
  </sheetViews>
  <sheetFormatPr baseColWidth="10" defaultColWidth="9.109375" defaultRowHeight="15.6" x14ac:dyDescent="0.3"/>
  <cols>
    <col min="1" max="1" width="9.109375" style="1"/>
    <col min="2" max="2" width="62.33203125" style="1" bestFit="1" customWidth="1"/>
    <col min="3" max="3" width="18.33203125" style="1" bestFit="1" customWidth="1"/>
    <col min="4" max="4" width="17.77734375" style="1" bestFit="1" customWidth="1"/>
    <col min="5" max="5" width="18.5546875" style="1" bestFit="1" customWidth="1"/>
    <col min="6" max="7" width="9.109375" style="1"/>
    <col min="8" max="8" width="10.33203125" style="1" bestFit="1" customWidth="1"/>
    <col min="9" max="10" width="9.109375" style="1"/>
    <col min="11" max="11" width="15.88671875" style="1" bestFit="1" customWidth="1"/>
    <col min="12" max="12" width="18.109375" style="1" bestFit="1" customWidth="1"/>
    <col min="13" max="13" width="9.109375" style="1"/>
    <col min="14" max="14" width="4.33203125" style="1" customWidth="1"/>
    <col min="15" max="15" width="62.33203125" style="1" bestFit="1" customWidth="1"/>
    <col min="16" max="16" width="18.33203125" style="1" bestFit="1" customWidth="1"/>
    <col min="17" max="17" width="9.109375" style="1"/>
    <col min="18" max="18" width="17.33203125" style="1" bestFit="1" customWidth="1"/>
    <col min="19" max="20" width="9.109375" style="1"/>
    <col min="21" max="21" width="11.33203125" style="1" customWidth="1"/>
    <col min="22" max="22" width="11.5546875" style="1" bestFit="1" customWidth="1"/>
    <col min="23" max="23" width="9.109375" style="1"/>
    <col min="24" max="24" width="17.33203125" style="1" bestFit="1" customWidth="1"/>
    <col min="25" max="25" width="18.109375" style="1" bestFit="1" customWidth="1"/>
    <col min="26" max="16384" width="9.109375" style="1"/>
  </cols>
  <sheetData>
    <row r="2" spans="2:26" ht="16.2" thickBot="1" x14ac:dyDescent="0.35">
      <c r="B2" s="320" t="s">
        <v>56</v>
      </c>
      <c r="C2" s="320"/>
      <c r="D2" s="320"/>
      <c r="E2" s="320"/>
      <c r="F2" s="320"/>
      <c r="G2" s="320"/>
      <c r="H2" s="320"/>
      <c r="I2" s="320"/>
      <c r="J2" s="320"/>
      <c r="K2" s="320"/>
      <c r="L2" s="320"/>
      <c r="M2" s="320"/>
      <c r="N2" s="320"/>
    </row>
    <row r="3" spans="2:26" ht="16.8" thickTop="1" thickBot="1" x14ac:dyDescent="0.35">
      <c r="B3" s="2"/>
      <c r="C3" s="2"/>
      <c r="D3" s="2"/>
      <c r="E3" s="2"/>
      <c r="F3" s="2"/>
      <c r="G3" s="2"/>
      <c r="H3" s="2"/>
      <c r="I3" s="2"/>
      <c r="J3" s="2"/>
      <c r="K3" s="2"/>
      <c r="L3" s="2"/>
      <c r="M3" s="2"/>
      <c r="N3" s="2"/>
    </row>
    <row r="4" spans="2:26" ht="17.25" customHeight="1" thickBot="1" x14ac:dyDescent="0.35">
      <c r="B4" s="323" t="s">
        <v>0</v>
      </c>
      <c r="C4" s="324"/>
      <c r="D4" s="324"/>
      <c r="E4" s="324"/>
      <c r="F4" s="324"/>
      <c r="G4" s="324"/>
      <c r="H4" s="324"/>
      <c r="I4" s="324"/>
      <c r="J4" s="324"/>
      <c r="K4" s="324"/>
      <c r="L4" s="324"/>
      <c r="M4" s="324"/>
      <c r="N4" s="324"/>
      <c r="O4" s="325"/>
    </row>
    <row r="5" spans="2:26" ht="17.25" customHeight="1" x14ac:dyDescent="0.3">
      <c r="N5" s="70"/>
    </row>
    <row r="6" spans="2:26" ht="17.25" customHeight="1" x14ac:dyDescent="0.3">
      <c r="B6" s="321" t="s">
        <v>159</v>
      </c>
      <c r="C6" s="321"/>
      <c r="D6" s="321"/>
      <c r="E6" s="321"/>
      <c r="F6" s="321"/>
      <c r="G6" s="321"/>
      <c r="H6" s="321"/>
      <c r="I6" s="321"/>
      <c r="J6" s="321"/>
      <c r="K6" s="321"/>
      <c r="L6" s="321"/>
      <c r="M6" s="321"/>
      <c r="N6" s="321"/>
    </row>
    <row r="7" spans="2:26" ht="17.25" customHeight="1" thickBot="1" x14ac:dyDescent="0.35">
      <c r="N7" s="70"/>
    </row>
    <row r="8" spans="2:26" x14ac:dyDescent="0.3">
      <c r="B8" s="334" t="s">
        <v>57</v>
      </c>
      <c r="C8" s="335"/>
      <c r="D8" s="335"/>
      <c r="E8" s="335"/>
      <c r="F8" s="335"/>
      <c r="G8" s="335"/>
      <c r="H8" s="335"/>
      <c r="I8" s="335"/>
      <c r="J8" s="335"/>
      <c r="K8" s="335"/>
      <c r="L8" s="335"/>
      <c r="M8" s="336"/>
      <c r="O8" s="337" t="s">
        <v>58</v>
      </c>
      <c r="P8" s="338"/>
      <c r="Q8" s="338"/>
      <c r="R8" s="338"/>
      <c r="S8" s="338"/>
      <c r="T8" s="338"/>
      <c r="U8" s="338"/>
      <c r="V8" s="338"/>
      <c r="W8" s="338"/>
      <c r="X8" s="338"/>
      <c r="Y8" s="338"/>
      <c r="Z8" s="339"/>
    </row>
    <row r="9" spans="2:26" ht="15.75" customHeight="1" x14ac:dyDescent="0.3">
      <c r="B9" s="340" t="s">
        <v>160</v>
      </c>
      <c r="C9" s="341"/>
      <c r="D9" s="341"/>
      <c r="E9" s="341"/>
      <c r="F9" s="341"/>
      <c r="G9" s="341"/>
      <c r="H9" s="341"/>
      <c r="I9" s="341"/>
      <c r="J9" s="341"/>
      <c r="K9" s="341"/>
      <c r="L9" s="341"/>
      <c r="M9" s="342"/>
      <c r="O9" s="346" t="s">
        <v>161</v>
      </c>
      <c r="P9" s="347"/>
      <c r="Q9" s="347"/>
      <c r="R9" s="347"/>
      <c r="S9" s="347"/>
      <c r="T9" s="347"/>
      <c r="U9" s="347"/>
      <c r="V9" s="347"/>
      <c r="W9" s="347"/>
      <c r="X9" s="347"/>
      <c r="Y9" s="347"/>
      <c r="Z9" s="348"/>
    </row>
    <row r="10" spans="2:26" x14ac:dyDescent="0.3">
      <c r="B10" s="340"/>
      <c r="C10" s="341"/>
      <c r="D10" s="341"/>
      <c r="E10" s="341"/>
      <c r="F10" s="341"/>
      <c r="G10" s="341"/>
      <c r="H10" s="341"/>
      <c r="I10" s="341"/>
      <c r="J10" s="341"/>
      <c r="K10" s="341"/>
      <c r="L10" s="341"/>
      <c r="M10" s="342"/>
      <c r="O10" s="346"/>
      <c r="P10" s="347"/>
      <c r="Q10" s="347"/>
      <c r="R10" s="347"/>
      <c r="S10" s="347"/>
      <c r="T10" s="347"/>
      <c r="U10" s="347"/>
      <c r="V10" s="347"/>
      <c r="W10" s="347"/>
      <c r="X10" s="347"/>
      <c r="Y10" s="347"/>
      <c r="Z10" s="348"/>
    </row>
    <row r="11" spans="2:26" ht="16.2" thickBot="1" x14ac:dyDescent="0.35">
      <c r="B11" s="343"/>
      <c r="C11" s="344"/>
      <c r="D11" s="344"/>
      <c r="E11" s="344"/>
      <c r="F11" s="344"/>
      <c r="G11" s="344"/>
      <c r="H11" s="344"/>
      <c r="I11" s="344"/>
      <c r="J11" s="344"/>
      <c r="K11" s="344"/>
      <c r="L11" s="344"/>
      <c r="M11" s="345"/>
      <c r="O11" s="349"/>
      <c r="P11" s="350"/>
      <c r="Q11" s="350"/>
      <c r="R11" s="350"/>
      <c r="S11" s="350"/>
      <c r="T11" s="350"/>
      <c r="U11" s="350"/>
      <c r="V11" s="350"/>
      <c r="W11" s="350"/>
      <c r="X11" s="350"/>
      <c r="Y11" s="350"/>
      <c r="Z11" s="351"/>
    </row>
    <row r="12" spans="2:26" x14ac:dyDescent="0.3">
      <c r="B12" s="71"/>
      <c r="C12" s="71"/>
      <c r="D12" s="71"/>
      <c r="E12" s="71"/>
      <c r="F12" s="71"/>
      <c r="G12" s="71"/>
      <c r="H12" s="71"/>
      <c r="I12" s="71"/>
      <c r="J12" s="71"/>
      <c r="K12" s="71"/>
      <c r="L12" s="71"/>
      <c r="M12" s="71"/>
      <c r="O12" s="71"/>
      <c r="P12" s="71"/>
      <c r="Q12" s="71"/>
      <c r="R12" s="71"/>
      <c r="S12" s="71"/>
      <c r="T12" s="71"/>
      <c r="U12" s="71"/>
      <c r="V12" s="71"/>
      <c r="W12" s="71"/>
      <c r="X12" s="71"/>
      <c r="Y12" s="71"/>
      <c r="Z12" s="71"/>
    </row>
    <row r="15" spans="2:26" ht="18" x14ac:dyDescent="0.35">
      <c r="B15" s="3" t="s">
        <v>59</v>
      </c>
      <c r="K15" s="72"/>
      <c r="O15" s="3" t="s">
        <v>59</v>
      </c>
    </row>
    <row r="17" spans="2:25" ht="15.75" customHeight="1" x14ac:dyDescent="0.3">
      <c r="B17" s="352"/>
      <c r="C17" s="352"/>
      <c r="D17" s="352"/>
      <c r="E17" s="352"/>
      <c r="F17" s="352"/>
      <c r="G17" s="3"/>
      <c r="H17" s="352"/>
      <c r="I17" s="352"/>
      <c r="J17" s="352"/>
      <c r="K17" s="352"/>
      <c r="L17" s="352"/>
      <c r="O17" s="332" t="s">
        <v>181</v>
      </c>
      <c r="P17" s="332"/>
      <c r="Q17" s="332"/>
      <c r="R17" s="332"/>
      <c r="S17" s="332"/>
      <c r="T17" s="332"/>
      <c r="U17" s="332"/>
      <c r="V17" s="332"/>
      <c r="W17" s="252"/>
      <c r="X17" s="252"/>
      <c r="Y17" s="252"/>
    </row>
    <row r="18" spans="2:25" ht="15.75" customHeight="1" x14ac:dyDescent="0.3">
      <c r="B18" s="332" t="s">
        <v>193</v>
      </c>
      <c r="C18" s="332"/>
      <c r="D18" s="332"/>
      <c r="E18" s="332"/>
      <c r="F18" s="332"/>
      <c r="G18" s="332"/>
      <c r="H18" s="332"/>
      <c r="I18" s="332"/>
      <c r="J18" s="252"/>
      <c r="K18" s="252"/>
      <c r="L18" s="252"/>
      <c r="O18" s="333" t="s">
        <v>189</v>
      </c>
      <c r="P18" s="333"/>
      <c r="Q18" s="333"/>
      <c r="R18" s="333"/>
      <c r="S18" s="333"/>
      <c r="T18" s="333"/>
      <c r="U18" s="333"/>
      <c r="V18" s="333"/>
      <c r="W18" s="252"/>
      <c r="X18" s="252"/>
      <c r="Y18" s="252"/>
    </row>
    <row r="19" spans="2:25" x14ac:dyDescent="0.3">
      <c r="B19" s="333" t="s">
        <v>189</v>
      </c>
      <c r="C19" s="333"/>
      <c r="D19" s="333"/>
      <c r="E19" s="333"/>
      <c r="F19" s="333"/>
      <c r="G19" s="333"/>
      <c r="H19" s="333"/>
      <c r="I19" s="333"/>
      <c r="J19" s="252"/>
      <c r="K19" s="252"/>
      <c r="L19" s="252"/>
      <c r="O19" s="333"/>
      <c r="P19" s="333"/>
      <c r="Q19" s="333"/>
      <c r="R19" s="333"/>
      <c r="S19" s="333"/>
      <c r="T19" s="333"/>
      <c r="U19" s="333"/>
      <c r="V19" s="333"/>
      <c r="W19" s="252"/>
      <c r="X19" s="252"/>
      <c r="Y19" s="252"/>
    </row>
    <row r="20" spans="2:25" x14ac:dyDescent="0.3">
      <c r="B20" s="333"/>
      <c r="C20" s="333"/>
      <c r="D20" s="333"/>
      <c r="E20" s="333"/>
      <c r="F20" s="333"/>
      <c r="G20" s="333"/>
      <c r="H20" s="333"/>
      <c r="I20" s="333"/>
      <c r="J20" s="252"/>
      <c r="K20" s="252"/>
      <c r="L20" s="252"/>
      <c r="O20" s="1" t="s">
        <v>187</v>
      </c>
      <c r="P20" s="260">
        <v>40000000</v>
      </c>
      <c r="Q20" s="256"/>
      <c r="R20" s="256"/>
      <c r="S20" s="256"/>
      <c r="T20" s="256"/>
      <c r="U20" s="256"/>
      <c r="V20" s="256"/>
      <c r="W20" s="252"/>
      <c r="X20" s="252"/>
      <c r="Y20" s="252"/>
    </row>
    <row r="21" spans="2:25" x14ac:dyDescent="0.3">
      <c r="B21" s="254" t="s">
        <v>183</v>
      </c>
      <c r="C21" s="255">
        <v>0</v>
      </c>
      <c r="D21" s="256"/>
      <c r="E21" s="256"/>
      <c r="F21" s="256"/>
      <c r="G21" s="256"/>
      <c r="H21" s="256"/>
      <c r="I21" s="256"/>
      <c r="L21" s="5"/>
      <c r="O21" s="257" t="s">
        <v>184</v>
      </c>
      <c r="P21" s="260"/>
      <c r="Q21" s="256"/>
      <c r="R21" s="256"/>
      <c r="S21" s="256"/>
      <c r="T21" s="256"/>
      <c r="U21" s="256"/>
      <c r="V21" s="256"/>
      <c r="Y21" s="5"/>
    </row>
    <row r="22" spans="2:25" x14ac:dyDescent="0.3">
      <c r="B22" s="257" t="s">
        <v>184</v>
      </c>
      <c r="C22" s="256"/>
      <c r="D22" s="256"/>
      <c r="E22" s="256"/>
      <c r="F22" s="256"/>
      <c r="G22" s="256"/>
      <c r="H22" s="256"/>
      <c r="I22" s="256"/>
      <c r="L22" s="6"/>
      <c r="O22" s="1" t="s">
        <v>188</v>
      </c>
      <c r="P22" s="260">
        <v>25000000</v>
      </c>
      <c r="Q22" s="256"/>
      <c r="R22" s="256"/>
      <c r="S22" s="256"/>
      <c r="T22" s="256"/>
      <c r="U22" s="256"/>
      <c r="V22" s="256"/>
      <c r="Y22" s="6"/>
    </row>
    <row r="23" spans="2:25" x14ac:dyDescent="0.3">
      <c r="B23" s="258" t="s">
        <v>185</v>
      </c>
      <c r="C23" s="255">
        <v>25000000</v>
      </c>
      <c r="D23" s="256"/>
      <c r="E23" s="256"/>
      <c r="F23" s="256"/>
      <c r="G23" s="256"/>
      <c r="H23" s="256"/>
      <c r="I23" s="256"/>
      <c r="L23" s="73"/>
      <c r="O23" s="1" t="s">
        <v>137</v>
      </c>
      <c r="P23" s="260">
        <f>P20-P22</f>
        <v>15000000</v>
      </c>
      <c r="Q23" s="256"/>
      <c r="R23" s="256"/>
      <c r="S23" s="256"/>
      <c r="T23" s="256"/>
      <c r="U23" s="256"/>
      <c r="V23" s="256"/>
      <c r="Y23" s="73"/>
    </row>
    <row r="24" spans="2:25" x14ac:dyDescent="0.3">
      <c r="B24" s="1" t="s">
        <v>186</v>
      </c>
      <c r="C24" s="259">
        <f>C21-C23</f>
        <v>-25000000</v>
      </c>
      <c r="D24" s="256"/>
      <c r="E24" s="256"/>
      <c r="F24" s="256"/>
      <c r="G24" s="256"/>
      <c r="H24" s="256"/>
      <c r="I24" s="256"/>
      <c r="O24" s="256"/>
      <c r="P24" s="256"/>
      <c r="Q24" s="256"/>
      <c r="R24" s="256"/>
      <c r="S24" s="256"/>
      <c r="T24" s="256"/>
      <c r="U24" s="256"/>
      <c r="V24" s="256"/>
      <c r="X24" s="8"/>
    </row>
    <row r="25" spans="2:25" x14ac:dyDescent="0.3">
      <c r="B25" s="256"/>
      <c r="C25" s="256"/>
      <c r="D25" s="256"/>
      <c r="E25" s="256"/>
      <c r="F25" s="256"/>
      <c r="G25" s="256"/>
      <c r="H25" s="256"/>
      <c r="I25" s="256"/>
      <c r="O25" s="332" t="s">
        <v>193</v>
      </c>
      <c r="P25" s="332"/>
      <c r="Q25" s="332"/>
      <c r="R25" s="332"/>
      <c r="S25" s="332"/>
      <c r="T25" s="332"/>
      <c r="U25" s="332"/>
      <c r="V25" s="332"/>
    </row>
    <row r="26" spans="2:25" x14ac:dyDescent="0.3">
      <c r="B26" s="332" t="s">
        <v>181</v>
      </c>
      <c r="C26" s="332"/>
      <c r="D26" s="332"/>
      <c r="E26" s="332"/>
      <c r="F26" s="332"/>
      <c r="G26" s="332"/>
      <c r="H26" s="332"/>
      <c r="I26" s="332"/>
      <c r="O26" s="333" t="s">
        <v>189</v>
      </c>
      <c r="P26" s="333"/>
      <c r="Q26" s="333"/>
      <c r="R26" s="333"/>
      <c r="S26" s="333"/>
      <c r="T26" s="333"/>
      <c r="U26" s="333"/>
      <c r="V26" s="333"/>
      <c r="W26" s="4"/>
      <c r="X26" s="5"/>
    </row>
    <row r="27" spans="2:25" x14ac:dyDescent="0.3">
      <c r="B27" s="333" t="s">
        <v>189</v>
      </c>
      <c r="C27" s="333"/>
      <c r="D27" s="333"/>
      <c r="E27" s="333"/>
      <c r="F27" s="333"/>
      <c r="G27" s="333"/>
      <c r="H27" s="333"/>
      <c r="I27" s="333"/>
      <c r="O27" s="333"/>
      <c r="P27" s="333"/>
      <c r="Q27" s="333"/>
      <c r="R27" s="333"/>
      <c r="S27" s="333"/>
      <c r="T27" s="333"/>
      <c r="U27" s="333"/>
      <c r="V27" s="333"/>
      <c r="W27" s="4"/>
      <c r="X27" s="6"/>
    </row>
    <row r="28" spans="2:25" x14ac:dyDescent="0.3">
      <c r="B28" s="333"/>
      <c r="C28" s="333"/>
      <c r="D28" s="333"/>
      <c r="E28" s="333"/>
      <c r="F28" s="333"/>
      <c r="G28" s="333"/>
      <c r="H28" s="333"/>
      <c r="I28" s="333"/>
      <c r="O28" s="256"/>
      <c r="P28" s="256"/>
      <c r="Q28" s="256"/>
      <c r="R28" s="256"/>
      <c r="S28" s="256"/>
      <c r="T28" s="256"/>
      <c r="U28" s="256"/>
      <c r="V28" s="256"/>
      <c r="X28" s="5"/>
    </row>
    <row r="29" spans="2:25" x14ac:dyDescent="0.3">
      <c r="B29" s="256"/>
      <c r="C29" s="256"/>
      <c r="D29" s="256"/>
      <c r="E29" s="256"/>
      <c r="F29" s="256"/>
      <c r="G29" s="256"/>
      <c r="H29" s="256"/>
      <c r="I29" s="256"/>
      <c r="O29" s="254" t="s">
        <v>183</v>
      </c>
      <c r="P29" s="255">
        <f>P35</f>
        <v>14000000</v>
      </c>
      <c r="Q29" s="256"/>
      <c r="R29" s="256"/>
      <c r="S29" s="256"/>
      <c r="T29" s="256"/>
      <c r="U29" s="256"/>
      <c r="V29" s="256"/>
      <c r="X29" s="8"/>
    </row>
    <row r="30" spans="2:25" x14ac:dyDescent="0.3">
      <c r="B30" s="1" t="s">
        <v>187</v>
      </c>
      <c r="C30" s="260">
        <v>40000000</v>
      </c>
      <c r="D30" s="256"/>
      <c r="E30" s="256"/>
      <c r="F30" s="256"/>
      <c r="G30" s="256"/>
      <c r="H30" s="256"/>
      <c r="I30" s="256"/>
      <c r="O30" s="257" t="s">
        <v>184</v>
      </c>
      <c r="P30" s="256"/>
      <c r="Q30" s="256"/>
      <c r="R30" s="256"/>
      <c r="S30" s="256"/>
      <c r="T30" s="256"/>
      <c r="U30" s="256"/>
      <c r="V30" s="256"/>
      <c r="X30" s="8"/>
    </row>
    <row r="31" spans="2:25" x14ac:dyDescent="0.3">
      <c r="B31" s="257" t="s">
        <v>184</v>
      </c>
      <c r="C31" s="260"/>
      <c r="D31" s="256"/>
      <c r="E31" s="256"/>
      <c r="F31" s="256"/>
      <c r="G31" s="256"/>
      <c r="H31" s="256"/>
      <c r="I31" s="256"/>
      <c r="O31" s="258" t="s">
        <v>185</v>
      </c>
      <c r="P31" s="255">
        <v>25000000</v>
      </c>
      <c r="Q31" s="256"/>
      <c r="R31" s="256"/>
      <c r="S31" s="256"/>
      <c r="T31" s="256"/>
      <c r="U31" s="256"/>
      <c r="V31" s="256"/>
      <c r="X31" s="8"/>
    </row>
    <row r="32" spans="2:25" x14ac:dyDescent="0.3">
      <c r="B32" s="1" t="s">
        <v>188</v>
      </c>
      <c r="C32" s="260">
        <f>C23</f>
        <v>25000000</v>
      </c>
      <c r="D32" s="256"/>
      <c r="E32" s="256"/>
      <c r="F32" s="256"/>
      <c r="G32" s="256"/>
      <c r="H32" s="256"/>
      <c r="I32" s="256"/>
      <c r="O32" s="1" t="s">
        <v>186</v>
      </c>
      <c r="P32" s="259">
        <f>P29-P31</f>
        <v>-11000000</v>
      </c>
      <c r="Q32" s="256"/>
      <c r="R32" s="256"/>
      <c r="S32" s="256"/>
      <c r="T32" s="256"/>
      <c r="U32" s="256"/>
      <c r="V32" s="256"/>
      <c r="W32" s="71"/>
      <c r="X32" s="71"/>
      <c r="Y32" s="71"/>
    </row>
    <row r="33" spans="2:25" x14ac:dyDescent="0.3">
      <c r="B33" s="1" t="s">
        <v>137</v>
      </c>
      <c r="C33" s="260">
        <f>C30-C32</f>
        <v>15000000</v>
      </c>
      <c r="D33" s="256"/>
      <c r="E33" s="256"/>
      <c r="F33" s="256"/>
      <c r="G33" s="256"/>
      <c r="H33" s="256"/>
      <c r="I33" s="256"/>
      <c r="O33" s="256"/>
      <c r="P33" s="256"/>
      <c r="Q33" s="256"/>
      <c r="R33" s="256"/>
      <c r="S33" s="256"/>
      <c r="T33" s="256"/>
      <c r="U33" s="256"/>
      <c r="V33" s="256"/>
      <c r="W33" s="71"/>
      <c r="X33" s="71"/>
      <c r="Y33" s="71"/>
    </row>
    <row r="34" spans="2:25" x14ac:dyDescent="0.3">
      <c r="O34" s="1" t="s">
        <v>190</v>
      </c>
      <c r="P34" s="262">
        <v>40000000</v>
      </c>
      <c r="Q34" s="256"/>
      <c r="R34" s="256"/>
      <c r="S34" s="256"/>
      <c r="T34" s="256"/>
      <c r="U34" s="256"/>
      <c r="V34" s="256"/>
      <c r="W34" s="71"/>
      <c r="X34" s="71"/>
      <c r="Y34" s="71"/>
    </row>
    <row r="35" spans="2:25" x14ac:dyDescent="0.3">
      <c r="E35" s="261">
        <f>C33/C30</f>
        <v>0.375</v>
      </c>
      <c r="O35" s="1" t="s">
        <v>191</v>
      </c>
      <c r="P35" s="262">
        <f>P34*0.35</f>
        <v>14000000</v>
      </c>
      <c r="Q35" s="256"/>
      <c r="R35" s="256"/>
      <c r="S35" s="256"/>
      <c r="T35" s="256"/>
      <c r="U35" s="256"/>
      <c r="V35" s="256"/>
      <c r="W35" s="71"/>
      <c r="X35" s="71"/>
      <c r="Y35" s="71"/>
    </row>
    <row r="36" spans="2:25" x14ac:dyDescent="0.3">
      <c r="B36" s="3" t="s">
        <v>60</v>
      </c>
      <c r="O36" s="1" t="s">
        <v>192</v>
      </c>
      <c r="P36" s="263">
        <f>P34*0.65</f>
        <v>26000000</v>
      </c>
      <c r="Q36" s="256"/>
      <c r="R36" s="256"/>
      <c r="S36" s="256"/>
      <c r="T36" s="256"/>
      <c r="U36" s="256"/>
      <c r="V36" s="256"/>
    </row>
    <row r="37" spans="2:25" x14ac:dyDescent="0.3">
      <c r="B37" s="253"/>
      <c r="C37" s="253"/>
      <c r="D37" s="253"/>
      <c r="O37" s="256"/>
      <c r="P37" s="262">
        <f>P35+P36</f>
        <v>40000000</v>
      </c>
      <c r="Q37" s="256"/>
      <c r="R37" s="256"/>
      <c r="S37" s="256"/>
      <c r="T37" s="256"/>
      <c r="U37" s="256"/>
      <c r="V37" s="256"/>
    </row>
    <row r="38" spans="2:25" ht="15.6" customHeight="1" x14ac:dyDescent="0.3">
      <c r="B38" s="330" t="s">
        <v>199</v>
      </c>
      <c r="C38" s="331"/>
      <c r="D38" s="331"/>
      <c r="E38" s="331"/>
      <c r="F38" s="331"/>
      <c r="G38" s="331"/>
      <c r="H38" s="331"/>
      <c r="I38" s="331"/>
    </row>
    <row r="39" spans="2:25" x14ac:dyDescent="0.3">
      <c r="B39" s="330"/>
      <c r="C39" s="331"/>
      <c r="D39" s="331"/>
      <c r="E39" s="331"/>
      <c r="F39" s="331"/>
      <c r="G39" s="331"/>
      <c r="H39" s="331"/>
      <c r="I39" s="331"/>
      <c r="O39" s="3" t="s">
        <v>60</v>
      </c>
    </row>
    <row r="40" spans="2:25" ht="16.2" customHeight="1" x14ac:dyDescent="0.3">
      <c r="B40" s="330"/>
      <c r="C40" s="331"/>
      <c r="D40" s="331"/>
      <c r="E40" s="331"/>
      <c r="F40" s="331"/>
      <c r="G40" s="331"/>
      <c r="H40" s="331"/>
      <c r="I40" s="331"/>
    </row>
    <row r="41" spans="2:25" x14ac:dyDescent="0.3">
      <c r="O41" s="328" t="s">
        <v>194</v>
      </c>
      <c r="P41" s="328"/>
      <c r="Q41" s="328"/>
    </row>
    <row r="42" spans="2:25" ht="15.6" customHeight="1" x14ac:dyDescent="0.3">
      <c r="B42" s="326" t="s">
        <v>162</v>
      </c>
      <c r="C42" s="327"/>
      <c r="D42" s="327"/>
      <c r="E42" s="327"/>
      <c r="F42" s="327"/>
      <c r="G42" s="327"/>
      <c r="H42" s="327"/>
      <c r="I42" s="327"/>
      <c r="J42" s="327"/>
      <c r="K42" s="327"/>
      <c r="L42" s="327"/>
      <c r="O42" s="328"/>
      <c r="P42" s="328"/>
      <c r="Q42" s="328"/>
    </row>
    <row r="43" spans="2:25" x14ac:dyDescent="0.3">
      <c r="B43" s="326"/>
      <c r="C43" s="327"/>
      <c r="D43" s="327"/>
      <c r="E43" s="327"/>
      <c r="F43" s="327"/>
      <c r="G43" s="327"/>
      <c r="H43" s="327"/>
      <c r="I43" s="327"/>
      <c r="J43" s="327"/>
      <c r="K43" s="327"/>
      <c r="L43" s="327"/>
      <c r="O43" s="328"/>
      <c r="P43" s="328"/>
      <c r="Q43" s="328"/>
    </row>
    <row r="44" spans="2:25" x14ac:dyDescent="0.3">
      <c r="B44" s="326"/>
      <c r="C44" s="327"/>
      <c r="D44" s="327"/>
      <c r="E44" s="327"/>
      <c r="F44" s="327"/>
      <c r="G44" s="327"/>
      <c r="H44" s="327"/>
      <c r="I44" s="327"/>
      <c r="J44" s="327"/>
      <c r="K44" s="327"/>
      <c r="L44" s="327"/>
      <c r="O44" s="328"/>
      <c r="P44" s="328"/>
      <c r="Q44" s="328"/>
    </row>
    <row r="46" spans="2:25" x14ac:dyDescent="0.3">
      <c r="B46" s="3" t="s">
        <v>59</v>
      </c>
    </row>
    <row r="47" spans="2:25" ht="15.75" customHeight="1" x14ac:dyDescent="0.3"/>
    <row r="48" spans="2:25" x14ac:dyDescent="0.3">
      <c r="B48" s="3" t="s">
        <v>59</v>
      </c>
    </row>
    <row r="50" spans="2:12" x14ac:dyDescent="0.3">
      <c r="B50" s="332" t="s">
        <v>181</v>
      </c>
      <c r="C50" s="332"/>
      <c r="D50" s="332"/>
      <c r="E50" s="332"/>
      <c r="F50" s="332"/>
      <c r="G50" s="332"/>
      <c r="H50" s="332"/>
      <c r="I50" s="332"/>
      <c r="J50" s="250"/>
      <c r="K50" s="250"/>
      <c r="L50" s="250"/>
    </row>
    <row r="51" spans="2:12" x14ac:dyDescent="0.3">
      <c r="B51" s="333" t="s">
        <v>182</v>
      </c>
      <c r="C51" s="333"/>
      <c r="D51" s="333"/>
      <c r="E51" s="333"/>
      <c r="F51" s="333"/>
      <c r="G51" s="333"/>
      <c r="H51" s="333"/>
      <c r="I51" s="333"/>
      <c r="J51" s="250"/>
      <c r="K51" s="250"/>
      <c r="L51" s="250"/>
    </row>
    <row r="52" spans="2:12" x14ac:dyDescent="0.3">
      <c r="B52" s="333"/>
      <c r="C52" s="333"/>
      <c r="D52" s="333"/>
      <c r="E52" s="333"/>
      <c r="F52" s="333"/>
      <c r="G52" s="333"/>
      <c r="H52" s="333"/>
      <c r="I52" s="333"/>
      <c r="J52" s="250"/>
      <c r="K52" s="250"/>
      <c r="L52" s="250"/>
    </row>
    <row r="53" spans="2:12" x14ac:dyDescent="0.3">
      <c r="B53" s="1" t="s">
        <v>187</v>
      </c>
      <c r="C53" s="260">
        <v>40000000</v>
      </c>
      <c r="D53" s="256"/>
      <c r="E53" s="256"/>
      <c r="F53" s="256"/>
      <c r="G53" s="256"/>
      <c r="H53" s="256"/>
      <c r="I53" s="256"/>
      <c r="J53" s="250"/>
      <c r="K53" s="250"/>
      <c r="L53" s="250"/>
    </row>
    <row r="54" spans="2:12" x14ac:dyDescent="0.3">
      <c r="B54" s="257" t="s">
        <v>184</v>
      </c>
      <c r="C54" s="260"/>
      <c r="D54" s="256"/>
      <c r="E54" s="256"/>
      <c r="F54" s="256"/>
      <c r="G54" s="256"/>
      <c r="H54" s="256"/>
      <c r="I54" s="256"/>
      <c r="L54" s="5"/>
    </row>
    <row r="55" spans="2:12" x14ac:dyDescent="0.3">
      <c r="B55" s="1" t="s">
        <v>188</v>
      </c>
      <c r="C55" s="260">
        <v>25000000</v>
      </c>
      <c r="D55" s="256"/>
      <c r="E55" s="256"/>
      <c r="F55" s="256"/>
      <c r="G55" s="256"/>
      <c r="H55" s="256"/>
      <c r="I55" s="256"/>
      <c r="L55" s="6"/>
    </row>
    <row r="56" spans="2:12" x14ac:dyDescent="0.3">
      <c r="B56" s="1" t="s">
        <v>137</v>
      </c>
      <c r="C56" s="260">
        <f>C53-C55</f>
        <v>15000000</v>
      </c>
      <c r="D56" s="256"/>
      <c r="E56" s="256"/>
      <c r="F56" s="256"/>
      <c r="G56" s="256"/>
      <c r="H56" s="256"/>
      <c r="I56" s="256"/>
      <c r="L56" s="7"/>
    </row>
    <row r="57" spans="2:12" x14ac:dyDescent="0.3">
      <c r="B57" s="256"/>
      <c r="C57" s="256"/>
      <c r="D57" s="256"/>
      <c r="E57" s="256"/>
      <c r="F57" s="256"/>
      <c r="G57" s="256"/>
      <c r="H57" s="256"/>
      <c r="I57" s="256"/>
      <c r="K57" s="8"/>
    </row>
    <row r="58" spans="2:12" ht="15.6" customHeight="1" x14ac:dyDescent="0.3">
      <c r="B58" s="332" t="s">
        <v>193</v>
      </c>
      <c r="C58" s="332"/>
      <c r="D58" s="332"/>
      <c r="E58" s="332"/>
      <c r="F58" s="332"/>
      <c r="G58" s="332"/>
      <c r="H58" s="332"/>
      <c r="I58" s="332"/>
    </row>
    <row r="59" spans="2:12" x14ac:dyDescent="0.3">
      <c r="B59" s="333" t="s">
        <v>182</v>
      </c>
      <c r="C59" s="333"/>
      <c r="D59" s="333"/>
      <c r="E59" s="333"/>
      <c r="F59" s="333"/>
      <c r="G59" s="333"/>
      <c r="H59" s="333"/>
      <c r="I59" s="333"/>
      <c r="J59" s="4"/>
      <c r="K59" s="5"/>
    </row>
    <row r="60" spans="2:12" x14ac:dyDescent="0.3">
      <c r="B60" s="333"/>
      <c r="C60" s="333"/>
      <c r="D60" s="333"/>
      <c r="E60" s="333"/>
      <c r="F60" s="333"/>
      <c r="G60" s="333"/>
      <c r="H60" s="333"/>
      <c r="I60" s="333"/>
      <c r="J60" s="4"/>
      <c r="K60" s="6"/>
    </row>
    <row r="61" spans="2:12" x14ac:dyDescent="0.3">
      <c r="B61" s="256"/>
      <c r="C61" s="256"/>
      <c r="D61" s="256"/>
      <c r="E61" s="256"/>
      <c r="F61" s="256"/>
      <c r="G61" s="256"/>
      <c r="H61" s="256"/>
      <c r="I61" s="256"/>
      <c r="K61" s="5"/>
    </row>
    <row r="62" spans="2:12" x14ac:dyDescent="0.3">
      <c r="B62" s="254" t="s">
        <v>183</v>
      </c>
      <c r="C62" s="255">
        <f>D68</f>
        <v>24000000</v>
      </c>
      <c r="D62" s="256"/>
      <c r="E62" s="256"/>
      <c r="F62" s="256"/>
      <c r="G62" s="256"/>
      <c r="H62" s="256"/>
      <c r="I62" s="256"/>
    </row>
    <row r="63" spans="2:12" x14ac:dyDescent="0.3">
      <c r="B63" s="257" t="s">
        <v>184</v>
      </c>
      <c r="C63" s="256"/>
      <c r="D63" s="256"/>
      <c r="E63" s="256"/>
      <c r="F63" s="256"/>
      <c r="G63" s="256"/>
      <c r="H63" s="256"/>
      <c r="I63" s="256"/>
    </row>
    <row r="64" spans="2:12" x14ac:dyDescent="0.3">
      <c r="B64" s="258" t="s">
        <v>185</v>
      </c>
      <c r="C64" s="255">
        <f>D73</f>
        <v>17500000</v>
      </c>
      <c r="D64" s="256"/>
      <c r="E64" s="256"/>
      <c r="F64" s="256"/>
      <c r="G64" s="256"/>
      <c r="H64" s="256"/>
      <c r="I64" s="256"/>
      <c r="J64" s="4"/>
      <c r="K64" s="5"/>
    </row>
    <row r="65" spans="2:11" x14ac:dyDescent="0.3">
      <c r="B65" s="1" t="s">
        <v>186</v>
      </c>
      <c r="C65" s="264">
        <f>C62-C64</f>
        <v>6500000</v>
      </c>
      <c r="D65" s="256"/>
      <c r="E65" s="256"/>
      <c r="F65" s="256"/>
      <c r="G65" s="256"/>
      <c r="H65" s="256"/>
      <c r="I65" s="256"/>
      <c r="J65" s="4"/>
      <c r="K65" s="9"/>
    </row>
    <row r="66" spans="2:11" ht="15.6" customHeight="1" x14ac:dyDescent="0.3">
      <c r="B66" s="256"/>
      <c r="C66" s="256"/>
      <c r="D66" s="256"/>
      <c r="E66" s="256"/>
      <c r="F66" s="256"/>
      <c r="G66" s="256"/>
      <c r="H66" s="256"/>
      <c r="I66" s="256"/>
      <c r="J66" s="4"/>
      <c r="K66" s="5"/>
    </row>
    <row r="67" spans="2:11" x14ac:dyDescent="0.3">
      <c r="B67" s="1" t="s">
        <v>190</v>
      </c>
      <c r="C67" s="262">
        <f>C53</f>
        <v>40000000</v>
      </c>
      <c r="D67" s="256"/>
      <c r="E67" s="256"/>
      <c r="F67" s="256"/>
      <c r="G67" s="256"/>
      <c r="H67" s="256"/>
      <c r="I67" s="256"/>
    </row>
    <row r="68" spans="2:11" x14ac:dyDescent="0.3">
      <c r="B68" s="1" t="s">
        <v>195</v>
      </c>
      <c r="C68" s="265">
        <v>0.6</v>
      </c>
      <c r="D68" s="262">
        <f>C67*C68</f>
        <v>24000000</v>
      </c>
      <c r="E68" s="256"/>
      <c r="F68" s="256"/>
      <c r="G68" s="256"/>
      <c r="H68" s="256"/>
      <c r="I68" s="256"/>
    </row>
    <row r="69" spans="2:11" x14ac:dyDescent="0.3">
      <c r="B69" s="1" t="s">
        <v>196</v>
      </c>
      <c r="C69" s="265">
        <v>0.4</v>
      </c>
      <c r="D69" s="262">
        <f>C67*C69</f>
        <v>16000000</v>
      </c>
      <c r="E69" s="256"/>
      <c r="F69" s="256"/>
      <c r="G69" s="256"/>
      <c r="H69" s="256"/>
      <c r="I69" s="256"/>
    </row>
    <row r="70" spans="2:11" x14ac:dyDescent="0.3">
      <c r="B70" s="256"/>
      <c r="C70" s="256"/>
      <c r="D70" s="262">
        <f>D68+D69</f>
        <v>40000000</v>
      </c>
      <c r="E70" s="256"/>
      <c r="F70" s="256"/>
      <c r="G70" s="256"/>
      <c r="H70" s="256"/>
      <c r="I70" s="256"/>
    </row>
    <row r="71" spans="2:11" x14ac:dyDescent="0.3">
      <c r="B71" s="256"/>
      <c r="C71" s="256"/>
      <c r="D71" s="256"/>
      <c r="E71" s="256"/>
      <c r="F71" s="256"/>
      <c r="G71" s="256"/>
      <c r="H71" s="256"/>
      <c r="I71" s="256"/>
    </row>
    <row r="72" spans="2:11" x14ac:dyDescent="0.3">
      <c r="B72" s="1" t="s">
        <v>197</v>
      </c>
      <c r="C72" s="262">
        <v>25000000</v>
      </c>
      <c r="D72" s="256"/>
      <c r="E72" s="256"/>
      <c r="F72" s="256"/>
      <c r="G72" s="256"/>
      <c r="H72" s="256"/>
      <c r="I72" s="256"/>
    </row>
    <row r="73" spans="2:11" x14ac:dyDescent="0.3">
      <c r="B73" s="1" t="s">
        <v>195</v>
      </c>
      <c r="C73" s="265">
        <v>0.7</v>
      </c>
      <c r="D73" s="262">
        <f>C72*C73</f>
        <v>17500000</v>
      </c>
      <c r="E73" s="256"/>
      <c r="F73" s="256"/>
      <c r="G73" s="256"/>
      <c r="H73" s="256"/>
      <c r="I73" s="256"/>
    </row>
    <row r="74" spans="2:11" x14ac:dyDescent="0.3">
      <c r="B74" s="1" t="s">
        <v>196</v>
      </c>
      <c r="C74" s="265">
        <v>0.3</v>
      </c>
      <c r="D74" s="263">
        <f>C72*C74</f>
        <v>7500000</v>
      </c>
      <c r="E74" s="256"/>
      <c r="F74" s="256"/>
      <c r="G74" s="256"/>
      <c r="H74" s="256"/>
      <c r="I74" s="256"/>
    </row>
    <row r="75" spans="2:11" x14ac:dyDescent="0.3">
      <c r="B75" s="256"/>
      <c r="C75" s="256"/>
      <c r="D75" s="262">
        <f>D73+D74</f>
        <v>25000000</v>
      </c>
      <c r="E75" s="256"/>
      <c r="F75" s="256"/>
      <c r="G75" s="256"/>
      <c r="H75" s="256"/>
      <c r="I75" s="256"/>
    </row>
    <row r="77" spans="2:11" x14ac:dyDescent="0.3">
      <c r="B77" s="3" t="s">
        <v>60</v>
      </c>
    </row>
    <row r="79" spans="2:11" x14ac:dyDescent="0.3">
      <c r="B79" s="329" t="s">
        <v>198</v>
      </c>
      <c r="C79" s="329"/>
      <c r="D79" s="329"/>
    </row>
    <row r="80" spans="2:11" x14ac:dyDescent="0.3">
      <c r="B80" s="329"/>
      <c r="C80" s="329"/>
      <c r="D80" s="329"/>
    </row>
    <row r="81" spans="2:12" x14ac:dyDescent="0.3">
      <c r="B81" s="329"/>
      <c r="C81" s="329"/>
      <c r="D81" s="329"/>
    </row>
    <row r="82" spans="2:12" x14ac:dyDescent="0.3">
      <c r="B82" s="329"/>
      <c r="C82" s="329"/>
      <c r="D82" s="329"/>
    </row>
    <row r="86" spans="2:12" x14ac:dyDescent="0.3">
      <c r="B86" s="251"/>
      <c r="C86" s="251"/>
      <c r="D86" s="251"/>
      <c r="E86" s="251"/>
      <c r="F86" s="251"/>
      <c r="G86" s="251"/>
      <c r="H86" s="251"/>
      <c r="I86" s="251"/>
      <c r="J86" s="251"/>
      <c r="K86" s="251"/>
      <c r="L86" s="251"/>
    </row>
    <row r="87" spans="2:12" x14ac:dyDescent="0.3">
      <c r="B87" s="251"/>
      <c r="C87" s="251"/>
      <c r="D87" s="251"/>
      <c r="E87" s="251"/>
      <c r="F87" s="251"/>
      <c r="G87" s="251"/>
      <c r="H87" s="251"/>
      <c r="I87" s="251"/>
      <c r="J87" s="251"/>
      <c r="K87" s="251"/>
      <c r="L87" s="251"/>
    </row>
    <row r="88" spans="2:12" x14ac:dyDescent="0.3">
      <c r="B88" s="251"/>
      <c r="C88" s="251"/>
      <c r="D88" s="251"/>
      <c r="E88" s="251"/>
      <c r="F88" s="251"/>
      <c r="G88" s="251"/>
      <c r="H88" s="251"/>
      <c r="I88" s="251"/>
      <c r="J88" s="251"/>
      <c r="K88" s="251"/>
      <c r="L88" s="251"/>
    </row>
    <row r="89" spans="2:12" x14ac:dyDescent="0.3">
      <c r="B89" s="251"/>
      <c r="C89" s="251"/>
      <c r="D89" s="251"/>
      <c r="E89" s="251"/>
      <c r="F89" s="251"/>
      <c r="G89" s="251"/>
      <c r="H89" s="251"/>
      <c r="I89" s="251"/>
      <c r="J89" s="251"/>
      <c r="K89" s="251"/>
      <c r="L89" s="251"/>
    </row>
  </sheetData>
  <mergeCells count="25">
    <mergeCell ref="B9:M11"/>
    <mergeCell ref="O9:Z11"/>
    <mergeCell ref="B18:I18"/>
    <mergeCell ref="B19:I20"/>
    <mergeCell ref="B17:F17"/>
    <mergeCell ref="H17:L17"/>
    <mergeCell ref="B2:N2"/>
    <mergeCell ref="B4:O4"/>
    <mergeCell ref="B6:N6"/>
    <mergeCell ref="B8:M8"/>
    <mergeCell ref="O8:Z8"/>
    <mergeCell ref="B42:L44"/>
    <mergeCell ref="O41:Q44"/>
    <mergeCell ref="B79:D82"/>
    <mergeCell ref="B38:I40"/>
    <mergeCell ref="O17:V17"/>
    <mergeCell ref="O18:V19"/>
    <mergeCell ref="O25:V25"/>
    <mergeCell ref="O26:V27"/>
    <mergeCell ref="B50:I50"/>
    <mergeCell ref="B51:I52"/>
    <mergeCell ref="B58:I58"/>
    <mergeCell ref="B59:I60"/>
    <mergeCell ref="B26:I26"/>
    <mergeCell ref="B27:I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3DC1-9374-4E64-ADD2-68AE9D0C6CF7}">
  <dimension ref="B1:P76"/>
  <sheetViews>
    <sheetView tabSelected="1" workbookViewId="0">
      <selection activeCell="I73" sqref="I73:M74"/>
    </sheetView>
  </sheetViews>
  <sheetFormatPr baseColWidth="10" defaultRowHeight="14.4" x14ac:dyDescent="0.3"/>
  <cols>
    <col min="3" max="3" width="15.21875" customWidth="1"/>
    <col min="4" max="4" width="23" customWidth="1"/>
  </cols>
  <sheetData>
    <row r="1" spans="2:15" s="10" customFormat="1" ht="13.8" x14ac:dyDescent="0.25"/>
    <row r="2" spans="2:15" s="10" customFormat="1" ht="22.8" customHeight="1" thickBot="1" x14ac:dyDescent="0.3">
      <c r="B2" s="371" t="s">
        <v>1</v>
      </c>
      <c r="C2" s="371"/>
      <c r="D2" s="371"/>
      <c r="E2" s="371"/>
      <c r="F2" s="371"/>
      <c r="G2" s="371"/>
      <c r="H2" s="371"/>
      <c r="I2" s="371"/>
      <c r="J2" s="371"/>
      <c r="K2" s="371"/>
      <c r="L2" s="371"/>
      <c r="M2" s="371"/>
      <c r="N2" s="371"/>
      <c r="O2" s="371"/>
    </row>
    <row r="3" spans="2:15" s="10" customFormat="1" ht="17.399999999999999" customHeight="1" thickTop="1" thickBot="1" x14ac:dyDescent="0.35">
      <c r="C3" s="1"/>
      <c r="D3" s="1"/>
      <c r="E3" s="1"/>
      <c r="F3" s="1"/>
      <c r="G3" s="1"/>
      <c r="H3" s="1"/>
      <c r="I3" s="1"/>
      <c r="J3" s="1"/>
      <c r="K3" s="1"/>
      <c r="L3" s="1"/>
      <c r="M3" s="1"/>
      <c r="N3" s="1"/>
      <c r="O3" s="1"/>
    </row>
    <row r="4" spans="2:15" s="10" customFormat="1" ht="17.399999999999999" customHeight="1" thickBot="1" x14ac:dyDescent="0.35">
      <c r="B4" s="323" t="s">
        <v>0</v>
      </c>
      <c r="C4" s="324"/>
      <c r="D4" s="324"/>
      <c r="E4" s="324"/>
      <c r="F4" s="324"/>
      <c r="G4" s="324"/>
      <c r="H4" s="324"/>
      <c r="I4" s="324"/>
      <c r="J4" s="324"/>
      <c r="K4" s="324"/>
      <c r="L4" s="324"/>
      <c r="M4" s="324"/>
      <c r="N4" s="324"/>
      <c r="O4" s="325"/>
    </row>
    <row r="5" spans="2:15" s="10" customFormat="1" ht="17.399999999999999" customHeight="1" x14ac:dyDescent="0.3">
      <c r="C5" s="1"/>
      <c r="D5" s="1"/>
      <c r="E5" s="1"/>
      <c r="F5" s="1"/>
      <c r="G5" s="1"/>
      <c r="H5" s="1"/>
      <c r="I5" s="1"/>
      <c r="J5" s="1"/>
      <c r="K5" s="1"/>
      <c r="L5" s="1"/>
      <c r="M5" s="1"/>
      <c r="N5" s="1"/>
      <c r="O5" s="1"/>
    </row>
    <row r="6" spans="2:15" s="10" customFormat="1" ht="17.399999999999999" customHeight="1" x14ac:dyDescent="0.3">
      <c r="C6" s="372" t="s">
        <v>165</v>
      </c>
      <c r="D6" s="372"/>
      <c r="E6" s="372"/>
      <c r="F6" s="372"/>
      <c r="G6" s="372"/>
      <c r="H6" s="372"/>
      <c r="I6" s="372"/>
      <c r="J6" s="372"/>
      <c r="K6" s="372"/>
      <c r="L6" s="372"/>
      <c r="M6" s="372"/>
      <c r="N6" s="372"/>
      <c r="O6" s="372"/>
    </row>
    <row r="7" spans="2:15" s="10" customFormat="1" ht="17.399999999999999" customHeight="1" x14ac:dyDescent="0.3">
      <c r="C7" s="146"/>
      <c r="D7" s="146"/>
      <c r="E7" s="146"/>
      <c r="F7" s="146"/>
      <c r="G7" s="146"/>
      <c r="H7" s="146"/>
      <c r="I7" s="146"/>
      <c r="J7" s="146"/>
      <c r="K7" s="146"/>
      <c r="L7" s="146"/>
      <c r="M7" s="146"/>
      <c r="N7" s="146"/>
      <c r="O7" s="146"/>
    </row>
    <row r="8" spans="2:15" s="10" customFormat="1" ht="17.399999999999999" customHeight="1" x14ac:dyDescent="0.3">
      <c r="C8" s="146" t="s">
        <v>144</v>
      </c>
      <c r="D8" s="146"/>
      <c r="E8" s="146"/>
      <c r="F8" s="146"/>
      <c r="G8" s="146"/>
      <c r="H8" s="146"/>
      <c r="I8" s="146"/>
      <c r="J8" s="146"/>
      <c r="K8" s="146"/>
      <c r="L8" s="146"/>
      <c r="M8" s="146"/>
      <c r="N8" s="146"/>
      <c r="O8" s="146"/>
    </row>
    <row r="9" spans="2:15" s="10" customFormat="1" ht="17.399999999999999" customHeight="1" x14ac:dyDescent="0.3">
      <c r="C9" s="146"/>
      <c r="D9" s="146"/>
      <c r="E9" s="146"/>
      <c r="F9" s="146"/>
      <c r="G9" s="146"/>
      <c r="H9" s="146"/>
      <c r="I9" s="146"/>
      <c r="J9" s="146"/>
      <c r="K9" s="146"/>
      <c r="L9" s="146"/>
      <c r="M9" s="146"/>
      <c r="N9" s="146"/>
      <c r="O9" s="146"/>
    </row>
    <row r="10" spans="2:15" s="10" customFormat="1" ht="14.25" customHeight="1" x14ac:dyDescent="0.25">
      <c r="B10" s="373"/>
      <c r="C10" s="374" t="s">
        <v>145</v>
      </c>
      <c r="D10" s="374"/>
      <c r="E10" s="374"/>
      <c r="F10" s="374"/>
      <c r="G10" s="374"/>
      <c r="H10" s="374"/>
      <c r="I10" s="374"/>
      <c r="J10" s="374"/>
      <c r="K10" s="374"/>
      <c r="L10" s="374"/>
      <c r="M10" s="374"/>
      <c r="N10" s="374"/>
    </row>
    <row r="11" spans="2:15" s="10" customFormat="1" ht="13.8" x14ac:dyDescent="0.25">
      <c r="B11" s="373"/>
      <c r="C11" s="374"/>
      <c r="D11" s="374"/>
      <c r="E11" s="374"/>
      <c r="F11" s="374"/>
      <c r="G11" s="374"/>
      <c r="H11" s="374"/>
      <c r="I11" s="374"/>
      <c r="J11" s="374"/>
      <c r="K11" s="374"/>
      <c r="L11" s="374"/>
      <c r="M11" s="374"/>
      <c r="N11" s="374"/>
    </row>
    <row r="12" spans="2:15" s="10" customFormat="1" ht="13.8" x14ac:dyDescent="0.25">
      <c r="B12" s="147"/>
      <c r="C12" s="374"/>
      <c r="D12" s="374"/>
      <c r="E12" s="374"/>
      <c r="F12" s="374"/>
      <c r="G12" s="374"/>
      <c r="H12" s="374"/>
      <c r="I12" s="374"/>
      <c r="J12" s="374"/>
      <c r="K12" s="374"/>
      <c r="L12" s="374"/>
      <c r="M12" s="374"/>
      <c r="N12" s="374"/>
    </row>
    <row r="13" spans="2:15" s="10" customFormat="1" ht="13.8" x14ac:dyDescent="0.25">
      <c r="C13" s="148"/>
      <c r="D13" s="148"/>
      <c r="E13" s="148"/>
      <c r="F13" s="148"/>
      <c r="G13" s="148"/>
      <c r="H13" s="148"/>
      <c r="I13" s="148"/>
      <c r="J13" s="148"/>
      <c r="K13" s="148"/>
      <c r="L13" s="148"/>
      <c r="M13" s="148"/>
    </row>
    <row r="14" spans="2:15" s="10" customFormat="1" ht="14.25" customHeight="1" x14ac:dyDescent="0.25">
      <c r="B14" s="360" t="s">
        <v>61</v>
      </c>
      <c r="C14" s="361" t="s">
        <v>146</v>
      </c>
      <c r="D14" s="361"/>
      <c r="E14" s="361"/>
      <c r="F14" s="361"/>
      <c r="G14" s="361"/>
      <c r="H14" s="361"/>
      <c r="I14" s="361"/>
      <c r="J14" s="361"/>
      <c r="K14" s="361"/>
      <c r="L14" s="361"/>
      <c r="M14" s="361"/>
      <c r="N14" s="361"/>
    </row>
    <row r="15" spans="2:15" s="10" customFormat="1" ht="13.8" x14ac:dyDescent="0.25">
      <c r="B15" s="360"/>
      <c r="C15" s="361"/>
      <c r="D15" s="361"/>
      <c r="E15" s="361"/>
      <c r="F15" s="361"/>
      <c r="G15" s="361"/>
      <c r="H15" s="361"/>
      <c r="I15" s="361"/>
      <c r="J15" s="361"/>
      <c r="K15" s="361"/>
      <c r="L15" s="361"/>
      <c r="M15" s="361"/>
      <c r="N15" s="361"/>
    </row>
    <row r="16" spans="2:15" s="10" customFormat="1" ht="13.8" x14ac:dyDescent="0.25">
      <c r="B16" s="15"/>
      <c r="C16" s="65"/>
      <c r="D16" s="49"/>
      <c r="E16" s="49"/>
      <c r="F16" s="49"/>
      <c r="G16" s="49"/>
      <c r="H16" s="49"/>
      <c r="I16" s="49"/>
      <c r="J16" s="49"/>
      <c r="K16" s="49"/>
      <c r="L16" s="49"/>
      <c r="M16" s="49"/>
    </row>
    <row r="17" spans="2:16" s="10" customFormat="1" ht="14.25" customHeight="1" x14ac:dyDescent="0.25">
      <c r="B17" s="360" t="s">
        <v>62</v>
      </c>
      <c r="C17" s="361" t="s">
        <v>147</v>
      </c>
      <c r="D17" s="361"/>
      <c r="E17" s="361"/>
      <c r="F17" s="361"/>
      <c r="G17" s="361"/>
      <c r="H17" s="361"/>
      <c r="I17" s="361"/>
      <c r="J17" s="361"/>
      <c r="K17" s="361"/>
      <c r="L17" s="361"/>
      <c r="M17" s="361"/>
      <c r="N17" s="361"/>
    </row>
    <row r="18" spans="2:16" s="10" customFormat="1" ht="13.8" x14ac:dyDescent="0.25">
      <c r="B18" s="360"/>
      <c r="C18" s="361"/>
      <c r="D18" s="361"/>
      <c r="E18" s="361"/>
      <c r="F18" s="361"/>
      <c r="G18" s="361"/>
      <c r="H18" s="361"/>
      <c r="I18" s="361"/>
      <c r="J18" s="361"/>
      <c r="K18" s="361"/>
      <c r="L18" s="361"/>
      <c r="M18" s="361"/>
      <c r="N18" s="361"/>
    </row>
    <row r="19" spans="2:16" s="10" customFormat="1" ht="13.8" x14ac:dyDescent="0.25">
      <c r="B19" s="149"/>
      <c r="C19" s="150"/>
      <c r="D19" s="150"/>
      <c r="E19" s="150"/>
      <c r="F19" s="150"/>
      <c r="G19" s="150"/>
      <c r="H19" s="150"/>
      <c r="I19" s="150"/>
      <c r="J19" s="150"/>
      <c r="K19" s="150"/>
      <c r="L19" s="150"/>
      <c r="M19" s="150"/>
    </row>
    <row r="20" spans="2:16" s="10" customFormat="1" ht="14.25" customHeight="1" x14ac:dyDescent="0.25">
      <c r="B20" s="360" t="s">
        <v>63</v>
      </c>
      <c r="C20" s="361" t="s">
        <v>148</v>
      </c>
      <c r="D20" s="361"/>
      <c r="E20" s="361"/>
      <c r="F20" s="361"/>
      <c r="G20" s="361"/>
      <c r="H20" s="361"/>
      <c r="I20" s="361"/>
      <c r="J20" s="361"/>
      <c r="K20" s="361"/>
      <c r="L20" s="361"/>
      <c r="M20" s="361"/>
      <c r="N20" s="361"/>
    </row>
    <row r="21" spans="2:16" s="10" customFormat="1" ht="13.8" x14ac:dyDescent="0.25">
      <c r="B21" s="360"/>
      <c r="C21" s="361"/>
      <c r="D21" s="361"/>
      <c r="E21" s="361"/>
      <c r="F21" s="361"/>
      <c r="G21" s="361"/>
      <c r="H21" s="361"/>
      <c r="I21" s="361"/>
      <c r="J21" s="361"/>
      <c r="K21" s="361"/>
      <c r="L21" s="361"/>
      <c r="M21" s="361"/>
      <c r="N21" s="361"/>
    </row>
    <row r="22" spans="2:16" s="10" customFormat="1" ht="13.8" x14ac:dyDescent="0.25">
      <c r="B22" s="151"/>
      <c r="C22" s="152"/>
      <c r="D22" s="152"/>
      <c r="E22" s="152"/>
      <c r="F22" s="152"/>
      <c r="G22" s="152"/>
      <c r="H22" s="152"/>
      <c r="I22" s="152"/>
      <c r="J22" s="152"/>
      <c r="K22" s="152"/>
      <c r="L22" s="152"/>
      <c r="M22" s="152"/>
    </row>
    <row r="25" spans="2:16" s="10" customFormat="1" ht="13.8" x14ac:dyDescent="0.25"/>
    <row r="26" spans="2:16" s="10" customFormat="1" ht="13.8" x14ac:dyDescent="0.25">
      <c r="B26" s="358">
        <v>1</v>
      </c>
      <c r="C26" s="304" t="s">
        <v>158</v>
      </c>
      <c r="D26" s="304"/>
      <c r="E26" s="304"/>
      <c r="F26" s="304"/>
      <c r="G26" s="304"/>
      <c r="H26" s="304"/>
      <c r="I26" s="304"/>
      <c r="J26" s="304"/>
      <c r="K26" s="304"/>
      <c r="L26" s="304"/>
      <c r="M26" s="304"/>
      <c r="N26" s="304"/>
    </row>
    <row r="27" spans="2:16" s="10" customFormat="1" ht="13.8" x14ac:dyDescent="0.25">
      <c r="B27" s="358"/>
      <c r="C27" s="304"/>
      <c r="D27" s="304"/>
      <c r="E27" s="304"/>
      <c r="F27" s="304"/>
      <c r="G27" s="304"/>
      <c r="H27" s="304"/>
      <c r="I27" s="304"/>
      <c r="J27" s="304"/>
      <c r="K27" s="304"/>
      <c r="L27" s="304"/>
      <c r="M27" s="304"/>
      <c r="N27" s="304"/>
    </row>
    <row r="28" spans="2:16" s="10" customFormat="1" ht="13.8" x14ac:dyDescent="0.25"/>
    <row r="29" spans="2:16" s="10" customFormat="1" ht="20.399999999999999" x14ac:dyDescent="0.35">
      <c r="C29" s="166" t="s">
        <v>99</v>
      </c>
    </row>
    <row r="30" spans="2:16" s="10" customFormat="1" thickBot="1" x14ac:dyDescent="0.3"/>
    <row r="31" spans="2:16" s="10" customFormat="1" ht="15.6" x14ac:dyDescent="0.3">
      <c r="C31" s="3" t="s">
        <v>64</v>
      </c>
      <c r="E31" s="362" t="s">
        <v>68</v>
      </c>
      <c r="F31" s="363"/>
      <c r="G31" s="363"/>
      <c r="H31" s="364"/>
      <c r="I31" s="362" t="s">
        <v>69</v>
      </c>
      <c r="J31" s="363"/>
      <c r="K31" s="363"/>
      <c r="L31" s="363"/>
      <c r="M31" s="362" t="s">
        <v>70</v>
      </c>
      <c r="N31" s="363"/>
      <c r="O31" s="363"/>
      <c r="P31" s="364"/>
    </row>
    <row r="32" spans="2:16" s="10" customFormat="1" ht="15.6" x14ac:dyDescent="0.3">
      <c r="C32" s="3" t="s">
        <v>66</v>
      </c>
      <c r="E32" s="365"/>
      <c r="F32" s="366"/>
      <c r="G32" s="366"/>
      <c r="H32" s="367"/>
      <c r="I32" s="365"/>
      <c r="J32" s="366"/>
      <c r="K32" s="366"/>
      <c r="L32" s="366"/>
      <c r="M32" s="365"/>
      <c r="N32" s="366"/>
      <c r="O32" s="366"/>
      <c r="P32" s="367"/>
    </row>
    <row r="33" spans="3:16" s="10" customFormat="1" thickBot="1" x14ac:dyDescent="0.3">
      <c r="C33" s="10" t="s">
        <v>67</v>
      </c>
      <c r="E33" s="368"/>
      <c r="F33" s="369"/>
      <c r="G33" s="369"/>
      <c r="H33" s="370"/>
      <c r="I33" s="368"/>
      <c r="J33" s="369"/>
      <c r="K33" s="369"/>
      <c r="L33" s="369"/>
      <c r="M33" s="368"/>
      <c r="N33" s="369"/>
      <c r="O33" s="369"/>
      <c r="P33" s="370"/>
    </row>
    <row r="34" spans="3:16" s="10" customFormat="1" thickTop="1" x14ac:dyDescent="0.25">
      <c r="C34" s="158" t="s">
        <v>71</v>
      </c>
      <c r="D34" s="154"/>
      <c r="E34" s="167"/>
      <c r="F34" s="154"/>
      <c r="G34" s="154"/>
      <c r="H34" s="155"/>
      <c r="I34" s="167"/>
      <c r="J34" s="154"/>
      <c r="K34" s="154"/>
      <c r="L34" s="154"/>
      <c r="M34" s="167"/>
      <c r="N34" s="154"/>
      <c r="O34" s="154"/>
      <c r="P34" s="155"/>
    </row>
    <row r="35" spans="3:16" s="10" customFormat="1" ht="13.8" x14ac:dyDescent="0.25">
      <c r="C35" s="10" t="s">
        <v>72</v>
      </c>
      <c r="E35" s="69"/>
      <c r="F35" s="168"/>
      <c r="H35" s="67"/>
      <c r="I35" s="69"/>
      <c r="J35" s="168"/>
      <c r="L35" s="168"/>
      <c r="M35" s="69"/>
      <c r="N35" s="168"/>
      <c r="P35" s="67"/>
    </row>
    <row r="36" spans="3:16" s="10" customFormat="1" ht="13.8" x14ac:dyDescent="0.25">
      <c r="C36" s="10" t="s">
        <v>73</v>
      </c>
      <c r="E36" s="69">
        <v>200</v>
      </c>
      <c r="F36" s="168">
        <f>E36/$E$43</f>
        <v>9.5238095238095233E-2</v>
      </c>
      <c r="H36" s="67">
        <f>E36/$E$39</f>
        <v>0.14285714285714285</v>
      </c>
      <c r="I36" s="10">
        <v>150</v>
      </c>
      <c r="J36" s="168">
        <f>I36/$I$43</f>
        <v>8.8235294117647065E-2</v>
      </c>
      <c r="L36" s="168">
        <f>I36/$I$39</f>
        <v>0.15</v>
      </c>
      <c r="M36" s="69">
        <v>100</v>
      </c>
      <c r="N36" s="168">
        <f>M36/$M$43</f>
        <v>6.6666666666666666E-2</v>
      </c>
      <c r="P36" s="67">
        <f>M36/$M$39</f>
        <v>0.125</v>
      </c>
    </row>
    <row r="37" spans="3:16" s="10" customFormat="1" ht="13.8" x14ac:dyDescent="0.25">
      <c r="C37" s="10" t="s">
        <v>22</v>
      </c>
      <c r="E37" s="69">
        <v>500</v>
      </c>
      <c r="F37" s="168">
        <f t="shared" ref="F37:F41" si="0">E37/$E$43</f>
        <v>0.23809523809523808</v>
      </c>
      <c r="H37" s="67">
        <f t="shared" ref="H37:H38" si="1">E37/$E$39</f>
        <v>0.35714285714285715</v>
      </c>
      <c r="I37" s="10">
        <v>350</v>
      </c>
      <c r="J37" s="168">
        <f t="shared" ref="J37:J41" si="2">I37/$I$43</f>
        <v>0.20588235294117646</v>
      </c>
      <c r="L37" s="168">
        <f t="shared" ref="L37:L38" si="3">I37/$I$39</f>
        <v>0.35</v>
      </c>
      <c r="M37" s="69">
        <v>300</v>
      </c>
      <c r="N37" s="168">
        <f t="shared" ref="N37:N41" si="4">M37/$M$43</f>
        <v>0.2</v>
      </c>
      <c r="P37" s="67">
        <f t="shared" ref="P37:P38" si="5">M37/$M$39</f>
        <v>0.375</v>
      </c>
    </row>
    <row r="38" spans="3:16" s="10" customFormat="1" ht="13.8" x14ac:dyDescent="0.25">
      <c r="C38" s="10" t="s">
        <v>24</v>
      </c>
      <c r="E38" s="69">
        <v>700</v>
      </c>
      <c r="F38" s="168">
        <f t="shared" si="0"/>
        <v>0.33333333333333331</v>
      </c>
      <c r="H38" s="67">
        <f t="shared" si="1"/>
        <v>0.5</v>
      </c>
      <c r="I38" s="10">
        <v>500</v>
      </c>
      <c r="J38" s="168">
        <f t="shared" si="2"/>
        <v>0.29411764705882354</v>
      </c>
      <c r="L38" s="168">
        <f t="shared" si="3"/>
        <v>0.5</v>
      </c>
      <c r="M38" s="171">
        <v>400</v>
      </c>
      <c r="N38" s="168">
        <f t="shared" si="4"/>
        <v>0.26666666666666666</v>
      </c>
      <c r="P38" s="67">
        <f t="shared" si="5"/>
        <v>0.5</v>
      </c>
    </row>
    <row r="39" spans="3:16" s="10" customFormat="1" ht="13.8" x14ac:dyDescent="0.25">
      <c r="C39" s="157" t="s">
        <v>77</v>
      </c>
      <c r="D39" s="157"/>
      <c r="E39" s="156">
        <f>SUM(E36:E38)</f>
        <v>1400</v>
      </c>
      <c r="F39" s="168"/>
      <c r="G39" s="59">
        <f>SUM(F36:F38)</f>
        <v>0.66666666666666663</v>
      </c>
      <c r="H39" s="172">
        <f>SUM(H35:H38)</f>
        <v>1</v>
      </c>
      <c r="I39" s="156">
        <f>SUM(I36:I38)</f>
        <v>1000</v>
      </c>
      <c r="J39" s="168"/>
      <c r="K39" s="59">
        <f>SUM(J36:J38)</f>
        <v>0.58823529411764708</v>
      </c>
      <c r="L39" s="173">
        <f>SUM(L36:L38)</f>
        <v>1</v>
      </c>
      <c r="M39" s="156">
        <f>SUM(M36:M38)</f>
        <v>800</v>
      </c>
      <c r="N39" s="168"/>
      <c r="O39" s="59">
        <f>SUM(N36:N38)</f>
        <v>0.53333333333333333</v>
      </c>
      <c r="P39" s="172">
        <f>SUM(P36:P38)</f>
        <v>1</v>
      </c>
    </row>
    <row r="40" spans="3:16" s="10" customFormat="1" ht="13.8" x14ac:dyDescent="0.25">
      <c r="C40" s="10" t="s">
        <v>28</v>
      </c>
      <c r="E40" s="69"/>
      <c r="F40" s="168"/>
      <c r="H40" s="67"/>
      <c r="I40" s="69"/>
      <c r="J40" s="168"/>
      <c r="L40" s="168"/>
      <c r="M40" s="69"/>
      <c r="N40" s="168"/>
      <c r="P40" s="67"/>
    </row>
    <row r="41" spans="3:16" s="10" customFormat="1" ht="13.8" x14ac:dyDescent="0.25">
      <c r="C41" s="10" t="s">
        <v>80</v>
      </c>
      <c r="E41" s="171">
        <v>700</v>
      </c>
      <c r="F41" s="168">
        <f t="shared" si="0"/>
        <v>0.33333333333333331</v>
      </c>
      <c r="H41" s="67"/>
      <c r="I41" s="10">
        <v>700</v>
      </c>
      <c r="J41" s="168">
        <f t="shared" si="2"/>
        <v>0.41176470588235292</v>
      </c>
      <c r="L41" s="168"/>
      <c r="M41" s="69">
        <v>700</v>
      </c>
      <c r="N41" s="168">
        <f t="shared" si="4"/>
        <v>0.46666666666666667</v>
      </c>
      <c r="P41" s="67"/>
    </row>
    <row r="42" spans="3:16" s="10" customFormat="1" ht="13.8" x14ac:dyDescent="0.25">
      <c r="C42" s="157" t="s">
        <v>34</v>
      </c>
      <c r="D42" s="157"/>
      <c r="E42" s="174">
        <f>+E41</f>
        <v>700</v>
      </c>
      <c r="F42" s="168"/>
      <c r="G42" s="66">
        <f>F41</f>
        <v>0.33333333333333331</v>
      </c>
      <c r="H42" s="67">
        <f>E41/E42</f>
        <v>1</v>
      </c>
      <c r="I42" s="174">
        <f>+I41</f>
        <v>700</v>
      </c>
      <c r="J42" s="168"/>
      <c r="K42" s="66">
        <f>J41</f>
        <v>0.41176470588235292</v>
      </c>
      <c r="L42" s="168">
        <f>I41/I42</f>
        <v>1</v>
      </c>
      <c r="M42" s="175">
        <f>+M41</f>
        <v>700</v>
      </c>
      <c r="N42" s="168"/>
      <c r="O42" s="66">
        <f>N41</f>
        <v>0.46666666666666667</v>
      </c>
      <c r="P42" s="67">
        <f>M41/M42</f>
        <v>1</v>
      </c>
    </row>
    <row r="43" spans="3:16" s="10" customFormat="1" ht="13.8" x14ac:dyDescent="0.25">
      <c r="C43" s="158" t="s">
        <v>36</v>
      </c>
      <c r="D43" s="158"/>
      <c r="E43" s="153">
        <f>+E39+E42</f>
        <v>2100</v>
      </c>
      <c r="F43" s="176">
        <f>+SUM(F36:F41)</f>
        <v>1</v>
      </c>
      <c r="G43" s="177">
        <f>G39+G42</f>
        <v>1</v>
      </c>
      <c r="H43" s="178"/>
      <c r="I43" s="153">
        <f>+I39+I42</f>
        <v>1700</v>
      </c>
      <c r="J43" s="176">
        <f>SUM(J36:J41)</f>
        <v>1</v>
      </c>
      <c r="K43" s="177">
        <f>K39+K42</f>
        <v>1</v>
      </c>
      <c r="L43" s="176"/>
      <c r="M43" s="153">
        <f>+M39+M42</f>
        <v>1500</v>
      </c>
      <c r="N43" s="176">
        <f>SUM(N36:N41)</f>
        <v>1</v>
      </c>
      <c r="O43" s="177">
        <f>O39+O42</f>
        <v>1</v>
      </c>
      <c r="P43" s="178"/>
    </row>
    <row r="44" spans="3:16" s="10" customFormat="1" ht="13.8" x14ac:dyDescent="0.25">
      <c r="E44" s="69"/>
      <c r="F44" s="168"/>
      <c r="H44" s="67"/>
      <c r="I44" s="69"/>
      <c r="J44" s="168"/>
      <c r="L44" s="168"/>
      <c r="M44" s="69"/>
      <c r="N44" s="168"/>
      <c r="P44" s="67"/>
    </row>
    <row r="45" spans="3:16" s="10" customFormat="1" ht="13.8" x14ac:dyDescent="0.25">
      <c r="C45" s="161" t="s">
        <v>83</v>
      </c>
      <c r="D45" s="160"/>
      <c r="E45" s="179"/>
      <c r="F45" s="180"/>
      <c r="G45" s="160"/>
      <c r="H45" s="181"/>
      <c r="I45" s="179"/>
      <c r="J45" s="180"/>
      <c r="K45" s="160"/>
      <c r="L45" s="180"/>
      <c r="M45" s="179"/>
      <c r="N45" s="180"/>
      <c r="O45" s="160"/>
      <c r="P45" s="181"/>
    </row>
    <row r="46" spans="3:16" s="10" customFormat="1" ht="13.8" x14ac:dyDescent="0.25">
      <c r="C46" s="10" t="s">
        <v>85</v>
      </c>
      <c r="E46" s="69"/>
      <c r="F46" s="168"/>
      <c r="H46" s="67"/>
      <c r="I46" s="69"/>
      <c r="J46" s="168"/>
      <c r="L46" s="168"/>
      <c r="M46" s="69"/>
      <c r="N46" s="168"/>
      <c r="P46" s="67"/>
    </row>
    <row r="47" spans="3:16" s="10" customFormat="1" ht="13.8" x14ac:dyDescent="0.25">
      <c r="C47" s="10" t="s">
        <v>86</v>
      </c>
      <c r="E47" s="69">
        <v>200</v>
      </c>
      <c r="F47" s="168">
        <f>E47/$E$61</f>
        <v>9.5238095238095233E-2</v>
      </c>
      <c r="H47" s="67">
        <f>E47/E49</f>
        <v>0.5714285714285714</v>
      </c>
      <c r="I47" s="10">
        <v>200</v>
      </c>
      <c r="J47" s="168">
        <f>I47/$I$61</f>
        <v>0.11764705882352941</v>
      </c>
      <c r="L47" s="168">
        <f>I47/I49</f>
        <v>0.5714285714285714</v>
      </c>
      <c r="M47" s="69">
        <v>200</v>
      </c>
      <c r="N47" s="168">
        <f>M47/$M$61</f>
        <v>0.13333333333333333</v>
      </c>
      <c r="P47" s="67">
        <f>M47/M49</f>
        <v>0.5714285714285714</v>
      </c>
    </row>
    <row r="48" spans="3:16" s="10" customFormat="1" ht="13.8" x14ac:dyDescent="0.25">
      <c r="C48" s="10" t="s">
        <v>87</v>
      </c>
      <c r="E48" s="69">
        <v>150</v>
      </c>
      <c r="F48" s="168">
        <f t="shared" ref="F48:F52" si="6">E48/$E$61</f>
        <v>7.1428571428571425E-2</v>
      </c>
      <c r="H48" s="169">
        <f>E48/E49</f>
        <v>0.42857142857142855</v>
      </c>
      <c r="I48" s="10">
        <v>150</v>
      </c>
      <c r="J48" s="168">
        <f t="shared" ref="J48:J52" si="7">I48/$I$61</f>
        <v>8.8235294117647065E-2</v>
      </c>
      <c r="L48" s="170">
        <f>I48/I49</f>
        <v>0.42857142857142855</v>
      </c>
      <c r="M48" s="171">
        <v>150</v>
      </c>
      <c r="N48" s="168">
        <f t="shared" ref="N48:N52" si="8">M48/$M$61</f>
        <v>0.1</v>
      </c>
      <c r="P48" s="169">
        <f>M48/M49</f>
        <v>0.42857142857142855</v>
      </c>
    </row>
    <row r="49" spans="2:16" s="10" customFormat="1" ht="13.8" x14ac:dyDescent="0.25">
      <c r="C49" s="157" t="s">
        <v>88</v>
      </c>
      <c r="D49" s="157"/>
      <c r="E49" s="156">
        <f>SUM(E47:E48)</f>
        <v>350</v>
      </c>
      <c r="F49" s="168"/>
      <c r="G49" s="59">
        <f>F47+F48</f>
        <v>0.16666666666666666</v>
      </c>
      <c r="H49" s="172">
        <f>H47+H48</f>
        <v>1</v>
      </c>
      <c r="I49" s="156">
        <f>SUM(I47:I48)</f>
        <v>350</v>
      </c>
      <c r="J49" s="168"/>
      <c r="K49" s="59">
        <f>J47+J48</f>
        <v>0.20588235294117646</v>
      </c>
      <c r="L49" s="173">
        <f>L47+L48</f>
        <v>1</v>
      </c>
      <c r="M49" s="156">
        <f>SUM(M47:M48)</f>
        <v>350</v>
      </c>
      <c r="N49" s="168"/>
      <c r="O49" s="59">
        <f>N47+N48</f>
        <v>0.23333333333333334</v>
      </c>
      <c r="P49" s="172">
        <f>P48+P47</f>
        <v>1</v>
      </c>
    </row>
    <row r="50" spans="2:16" s="10" customFormat="1" ht="13.8" x14ac:dyDescent="0.25">
      <c r="C50" s="10" t="s">
        <v>89</v>
      </c>
      <c r="D50" s="15"/>
      <c r="E50" s="69"/>
      <c r="F50" s="168"/>
      <c r="H50" s="67"/>
      <c r="I50" s="69"/>
      <c r="J50" s="168"/>
      <c r="L50" s="168"/>
      <c r="M50" s="69"/>
      <c r="N50" s="168"/>
      <c r="P50" s="67"/>
    </row>
    <row r="51" spans="2:16" s="10" customFormat="1" ht="13.8" x14ac:dyDescent="0.25">
      <c r="C51" s="10" t="s">
        <v>90</v>
      </c>
      <c r="E51" s="69">
        <v>350</v>
      </c>
      <c r="F51" s="168">
        <f t="shared" si="6"/>
        <v>0.16666666666666666</v>
      </c>
      <c r="H51" s="67">
        <f>E51/E53</f>
        <v>0.46666666666666667</v>
      </c>
      <c r="I51" s="10">
        <v>220</v>
      </c>
      <c r="J51" s="168">
        <f t="shared" si="7"/>
        <v>0.12941176470588237</v>
      </c>
      <c r="L51" s="168">
        <f>I51/I53</f>
        <v>0.48888888888888887</v>
      </c>
      <c r="M51" s="69">
        <v>200</v>
      </c>
      <c r="N51" s="168">
        <f t="shared" si="8"/>
        <v>0.13333333333333333</v>
      </c>
      <c r="P51" s="67">
        <f>M51/M53</f>
        <v>0.5714285714285714</v>
      </c>
    </row>
    <row r="52" spans="2:16" s="10" customFormat="1" ht="13.8" x14ac:dyDescent="0.25">
      <c r="C52" s="10" t="s">
        <v>91</v>
      </c>
      <c r="E52" s="69">
        <v>400</v>
      </c>
      <c r="F52" s="168">
        <f t="shared" si="6"/>
        <v>0.19047619047619047</v>
      </c>
      <c r="H52" s="169">
        <f>E52/E53</f>
        <v>0.53333333333333333</v>
      </c>
      <c r="I52" s="10">
        <v>230</v>
      </c>
      <c r="J52" s="168">
        <f t="shared" si="7"/>
        <v>0.13529411764705881</v>
      </c>
      <c r="L52" s="170">
        <f>I52/I53</f>
        <v>0.51111111111111107</v>
      </c>
      <c r="M52" s="69">
        <v>150</v>
      </c>
      <c r="N52" s="168">
        <f t="shared" si="8"/>
        <v>0.1</v>
      </c>
      <c r="P52" s="169">
        <f>M52/M53</f>
        <v>0.42857142857142855</v>
      </c>
    </row>
    <row r="53" spans="2:16" s="10" customFormat="1" ht="13.8" x14ac:dyDescent="0.25">
      <c r="C53" s="182" t="s">
        <v>92</v>
      </c>
      <c r="D53" s="157"/>
      <c r="E53" s="174">
        <f>SUM(E51:E52)</f>
        <v>750</v>
      </c>
      <c r="F53" s="168"/>
      <c r="G53" s="59">
        <f>F51+F52</f>
        <v>0.3571428571428571</v>
      </c>
      <c r="H53" s="172">
        <f>H51+H52</f>
        <v>1</v>
      </c>
      <c r="I53" s="174">
        <f>SUM(I51:I52)</f>
        <v>450</v>
      </c>
      <c r="J53" s="168"/>
      <c r="K53" s="59">
        <f>J51+J52</f>
        <v>0.26470588235294118</v>
      </c>
      <c r="L53" s="173">
        <f>L51+L52</f>
        <v>1</v>
      </c>
      <c r="M53" s="175">
        <f>SUM(M51:M52)</f>
        <v>350</v>
      </c>
      <c r="N53" s="168"/>
      <c r="O53" s="59">
        <f>N51+N52</f>
        <v>0.23333333333333334</v>
      </c>
      <c r="P53" s="172">
        <f>P51+P52</f>
        <v>1</v>
      </c>
    </row>
    <row r="54" spans="2:16" s="10" customFormat="1" ht="13.8" x14ac:dyDescent="0.25">
      <c r="C54" s="183" t="s">
        <v>93</v>
      </c>
      <c r="D54" s="161"/>
      <c r="E54" s="159">
        <f>+E49+E53</f>
        <v>1100</v>
      </c>
      <c r="F54" s="180"/>
      <c r="G54" s="184">
        <f>G49+G53</f>
        <v>0.52380952380952372</v>
      </c>
      <c r="H54" s="181"/>
      <c r="I54" s="159">
        <f>+I49+I53</f>
        <v>800</v>
      </c>
      <c r="J54" s="180"/>
      <c r="K54" s="184">
        <f>K49+K53</f>
        <v>0.47058823529411764</v>
      </c>
      <c r="L54" s="180"/>
      <c r="M54" s="159">
        <f>+M49+M53</f>
        <v>700</v>
      </c>
      <c r="N54" s="180"/>
      <c r="O54" s="184">
        <f>O49+O53</f>
        <v>0.46666666666666667</v>
      </c>
      <c r="P54" s="181"/>
    </row>
    <row r="55" spans="2:16" s="10" customFormat="1" ht="13.8" x14ac:dyDescent="0.25">
      <c r="C55" s="63"/>
      <c r="E55" s="69"/>
      <c r="F55" s="168"/>
      <c r="H55" s="67"/>
      <c r="I55" s="69"/>
      <c r="J55" s="168"/>
      <c r="L55" s="168"/>
      <c r="M55" s="69"/>
      <c r="N55" s="168"/>
      <c r="P55" s="67"/>
    </row>
    <row r="56" spans="2:16" s="10" customFormat="1" ht="27.6" x14ac:dyDescent="0.25">
      <c r="C56" s="185" t="s">
        <v>94</v>
      </c>
      <c r="D56" s="162"/>
      <c r="E56" s="186"/>
      <c r="F56" s="187"/>
      <c r="G56" s="162"/>
      <c r="H56" s="188"/>
      <c r="I56" s="186"/>
      <c r="J56" s="187"/>
      <c r="K56" s="162"/>
      <c r="L56" s="187"/>
      <c r="M56" s="186"/>
      <c r="N56" s="187"/>
      <c r="O56" s="162"/>
      <c r="P56" s="188"/>
    </row>
    <row r="57" spans="2:16" s="10" customFormat="1" ht="13.8" x14ac:dyDescent="0.25">
      <c r="C57" s="61" t="s">
        <v>95</v>
      </c>
      <c r="E57" s="69">
        <v>700</v>
      </c>
      <c r="F57" s="168">
        <f>E57/E61</f>
        <v>0.33333333333333331</v>
      </c>
      <c r="H57" s="67">
        <f>E57/E59</f>
        <v>0.7</v>
      </c>
      <c r="I57" s="171">
        <v>600</v>
      </c>
      <c r="J57" s="168">
        <f>I57/I61</f>
        <v>0.35294117647058826</v>
      </c>
      <c r="L57" s="168">
        <f>I57/I59</f>
        <v>0.66666666666666663</v>
      </c>
      <c r="M57" s="69">
        <v>500</v>
      </c>
      <c r="N57" s="168">
        <f>M57/M61</f>
        <v>0.33333333333333331</v>
      </c>
      <c r="P57" s="67">
        <f>M57/M59</f>
        <v>0.625</v>
      </c>
    </row>
    <row r="58" spans="2:16" s="10" customFormat="1" ht="13.8" x14ac:dyDescent="0.25">
      <c r="C58" s="61" t="s">
        <v>96</v>
      </c>
      <c r="E58" s="69">
        <v>300</v>
      </c>
      <c r="F58" s="168">
        <f>E58/E61</f>
        <v>0.14285714285714285</v>
      </c>
      <c r="H58" s="169">
        <f>E58/E59</f>
        <v>0.3</v>
      </c>
      <c r="I58" s="10">
        <v>300</v>
      </c>
      <c r="J58" s="168">
        <f>I58/I61</f>
        <v>0.17647058823529413</v>
      </c>
      <c r="L58" s="170">
        <f>I58/I59</f>
        <v>0.33333333333333331</v>
      </c>
      <c r="M58" s="171">
        <v>300</v>
      </c>
      <c r="N58" s="168">
        <f>M58/M61</f>
        <v>0.2</v>
      </c>
      <c r="P58" s="169">
        <f>M58/M59</f>
        <v>0.375</v>
      </c>
    </row>
    <row r="59" spans="2:16" s="10" customFormat="1" ht="13.8" x14ac:dyDescent="0.25">
      <c r="C59" s="189" t="s">
        <v>97</v>
      </c>
      <c r="D59" s="163"/>
      <c r="E59" s="190">
        <f>SUM(E57:E58)</f>
        <v>1000</v>
      </c>
      <c r="F59" s="187"/>
      <c r="G59" s="191">
        <f>F57+F58</f>
        <v>0.47619047619047616</v>
      </c>
      <c r="H59" s="192">
        <f>H57+H58</f>
        <v>1</v>
      </c>
      <c r="I59" s="190">
        <f>SUM(I57:I58)</f>
        <v>900</v>
      </c>
      <c r="J59" s="187"/>
      <c r="K59" s="191">
        <f>J57+J58</f>
        <v>0.52941176470588236</v>
      </c>
      <c r="L59" s="193">
        <f>L57+L58</f>
        <v>1</v>
      </c>
      <c r="M59" s="190">
        <f>SUM(M57:M58)</f>
        <v>800</v>
      </c>
      <c r="N59" s="187"/>
      <c r="O59" s="191">
        <f>N57+N58</f>
        <v>0.53333333333333333</v>
      </c>
      <c r="P59" s="192">
        <f>P57+P58</f>
        <v>1</v>
      </c>
    </row>
    <row r="60" spans="2:16" s="10" customFormat="1" ht="13.8" x14ac:dyDescent="0.25">
      <c r="C60" s="63"/>
      <c r="D60" s="15"/>
      <c r="E60" s="69"/>
      <c r="F60" s="168"/>
      <c r="H60" s="67"/>
      <c r="I60" s="69"/>
      <c r="J60" s="168"/>
      <c r="L60" s="168"/>
      <c r="M60" s="69"/>
      <c r="N60" s="168"/>
      <c r="P60" s="67"/>
    </row>
    <row r="61" spans="2:16" s="10" customFormat="1" thickBot="1" x14ac:dyDescent="0.3">
      <c r="C61" s="194" t="s">
        <v>98</v>
      </c>
      <c r="D61" s="195"/>
      <c r="E61" s="196">
        <f>+E54+E59</f>
        <v>2100</v>
      </c>
      <c r="F61" s="197">
        <f>SUM(F47:F58)</f>
        <v>0.99999999999999978</v>
      </c>
      <c r="G61" s="198">
        <f>G54+G59</f>
        <v>0.99999999999999989</v>
      </c>
      <c r="H61" s="199"/>
      <c r="I61" s="196">
        <f>+I54+I59</f>
        <v>1700</v>
      </c>
      <c r="J61" s="197">
        <f>SUM(J47:J58)</f>
        <v>1</v>
      </c>
      <c r="K61" s="198">
        <f>K54+K59</f>
        <v>1</v>
      </c>
      <c r="L61" s="197"/>
      <c r="M61" s="196">
        <f>+M54+M59</f>
        <v>1500</v>
      </c>
      <c r="N61" s="197">
        <f>SUM(N47:N58)</f>
        <v>1</v>
      </c>
      <c r="O61" s="198">
        <f>O54+O59</f>
        <v>1</v>
      </c>
      <c r="P61" s="199"/>
    </row>
    <row r="62" spans="2:16" s="10" customFormat="1" ht="13.8" x14ac:dyDescent="0.25"/>
    <row r="63" spans="2:16" s="10" customFormat="1" ht="13.8" x14ac:dyDescent="0.25"/>
    <row r="64" spans="2:16" s="10" customFormat="1" ht="13.8" x14ac:dyDescent="0.25">
      <c r="B64" s="358">
        <v>2</v>
      </c>
      <c r="C64" s="359" t="s">
        <v>149</v>
      </c>
      <c r="D64" s="359"/>
      <c r="E64" s="359"/>
      <c r="F64" s="359"/>
      <c r="G64" s="359"/>
      <c r="H64" s="359"/>
      <c r="I64" s="359"/>
      <c r="J64" s="359"/>
      <c r="K64" s="359"/>
      <c r="L64" s="359"/>
      <c r="M64" s="359"/>
      <c r="N64" s="359"/>
    </row>
    <row r="65" spans="2:14" s="10" customFormat="1" ht="13.8" x14ac:dyDescent="0.25">
      <c r="B65" s="358"/>
      <c r="C65" s="359"/>
      <c r="D65" s="359"/>
      <c r="E65" s="359"/>
      <c r="F65" s="359"/>
      <c r="G65" s="359"/>
      <c r="H65" s="359"/>
      <c r="I65" s="359"/>
      <c r="J65" s="359"/>
      <c r="K65" s="359"/>
      <c r="L65" s="359"/>
      <c r="M65" s="359"/>
      <c r="N65" s="359"/>
    </row>
    <row r="66" spans="2:14" s="10" customFormat="1" ht="13.8" x14ac:dyDescent="0.25">
      <c r="B66" s="164"/>
      <c r="C66" s="165"/>
      <c r="D66" s="165"/>
      <c r="E66" s="165"/>
      <c r="F66" s="165"/>
      <c r="G66" s="165"/>
      <c r="H66" s="165"/>
      <c r="I66" s="165"/>
      <c r="J66" s="165"/>
      <c r="K66" s="165"/>
      <c r="L66" s="165"/>
      <c r="M66" s="165"/>
      <c r="N66" s="165"/>
    </row>
    <row r="67" spans="2:14" s="10" customFormat="1" ht="13.8" x14ac:dyDescent="0.25"/>
    <row r="68" spans="2:14" s="10" customFormat="1" ht="16.2" thickBot="1" x14ac:dyDescent="0.35">
      <c r="B68" s="15"/>
      <c r="D68" s="357" t="s">
        <v>100</v>
      </c>
      <c r="E68" s="357"/>
      <c r="F68" s="357"/>
      <c r="G68" s="357"/>
      <c r="H68" s="357"/>
      <c r="I68" s="357" t="s">
        <v>101</v>
      </c>
      <c r="J68" s="357"/>
      <c r="K68" s="357"/>
      <c r="L68" s="357"/>
      <c r="M68" s="357"/>
    </row>
    <row r="69" spans="2:14" s="10" customFormat="1" ht="14.25" customHeight="1" thickTop="1" x14ac:dyDescent="0.25">
      <c r="C69" s="353" t="s">
        <v>68</v>
      </c>
      <c r="D69" s="356" t="s">
        <v>175</v>
      </c>
      <c r="E69" s="356"/>
      <c r="F69" s="356"/>
      <c r="G69" s="356"/>
      <c r="H69" s="356"/>
      <c r="I69" s="356" t="s">
        <v>176</v>
      </c>
      <c r="J69" s="356"/>
      <c r="K69" s="356"/>
      <c r="L69" s="356"/>
      <c r="M69" s="356"/>
    </row>
    <row r="70" spans="2:14" s="10" customFormat="1" ht="13.8" x14ac:dyDescent="0.25">
      <c r="C70" s="354"/>
      <c r="D70" s="355"/>
      <c r="E70" s="355"/>
      <c r="F70" s="355"/>
      <c r="G70" s="355"/>
      <c r="H70" s="355"/>
      <c r="I70" s="355"/>
      <c r="J70" s="355"/>
      <c r="K70" s="355"/>
      <c r="L70" s="355"/>
      <c r="M70" s="355"/>
    </row>
    <row r="71" spans="2:14" s="10" customFormat="1" ht="14.25" customHeight="1" x14ac:dyDescent="0.25">
      <c r="C71" s="353" t="s">
        <v>69</v>
      </c>
      <c r="D71" s="355" t="s">
        <v>177</v>
      </c>
      <c r="E71" s="355"/>
      <c r="F71" s="355"/>
      <c r="G71" s="355"/>
      <c r="H71" s="355"/>
      <c r="I71" s="355" t="s">
        <v>179</v>
      </c>
      <c r="J71" s="355"/>
      <c r="K71" s="355"/>
      <c r="L71" s="355"/>
      <c r="M71" s="355"/>
    </row>
    <row r="72" spans="2:14" s="10" customFormat="1" ht="13.8" x14ac:dyDescent="0.25">
      <c r="C72" s="354"/>
      <c r="D72" s="355"/>
      <c r="E72" s="355"/>
      <c r="F72" s="355"/>
      <c r="G72" s="355"/>
      <c r="H72" s="355"/>
      <c r="I72" s="355"/>
      <c r="J72" s="355"/>
      <c r="K72" s="355"/>
      <c r="L72" s="355"/>
      <c r="M72" s="355"/>
    </row>
    <row r="73" spans="2:14" s="10" customFormat="1" ht="14.25" customHeight="1" x14ac:dyDescent="0.25">
      <c r="C73" s="353" t="s">
        <v>70</v>
      </c>
      <c r="D73" s="355" t="s">
        <v>178</v>
      </c>
      <c r="E73" s="355"/>
      <c r="F73" s="355"/>
      <c r="G73" s="355"/>
      <c r="H73" s="355"/>
      <c r="I73" s="355" t="s">
        <v>180</v>
      </c>
      <c r="J73" s="355"/>
      <c r="K73" s="355"/>
      <c r="L73" s="355"/>
      <c r="M73" s="355"/>
    </row>
    <row r="74" spans="2:14" s="10" customFormat="1" ht="13.8" x14ac:dyDescent="0.25">
      <c r="C74" s="354"/>
      <c r="D74" s="355"/>
      <c r="E74" s="355"/>
      <c r="F74" s="355"/>
      <c r="G74" s="355"/>
      <c r="H74" s="355"/>
      <c r="I74" s="355"/>
      <c r="J74" s="355"/>
      <c r="K74" s="355"/>
      <c r="L74" s="355"/>
      <c r="M74" s="355"/>
    </row>
    <row r="75" spans="2:14" s="10" customFormat="1" ht="13.8" x14ac:dyDescent="0.25"/>
    <row r="76" spans="2:14" s="10" customFormat="1" ht="13.8" x14ac:dyDescent="0.25"/>
  </sheetData>
  <mergeCells count="29">
    <mergeCell ref="B2:O2"/>
    <mergeCell ref="C6:O6"/>
    <mergeCell ref="B10:B11"/>
    <mergeCell ref="C10:N12"/>
    <mergeCell ref="B14:B15"/>
    <mergeCell ref="C14:N15"/>
    <mergeCell ref="D68:H68"/>
    <mergeCell ref="I68:M68"/>
    <mergeCell ref="B64:B65"/>
    <mergeCell ref="C64:N65"/>
    <mergeCell ref="B4:O4"/>
    <mergeCell ref="B17:B18"/>
    <mergeCell ref="C17:N18"/>
    <mergeCell ref="B20:B21"/>
    <mergeCell ref="C20:N21"/>
    <mergeCell ref="B26:B27"/>
    <mergeCell ref="C26:N27"/>
    <mergeCell ref="E31:H33"/>
    <mergeCell ref="I31:L33"/>
    <mergeCell ref="M31:P33"/>
    <mergeCell ref="C73:C74"/>
    <mergeCell ref="D73:H74"/>
    <mergeCell ref="I73:M74"/>
    <mergeCell ref="C69:C70"/>
    <mergeCell ref="D69:H70"/>
    <mergeCell ref="I69:M70"/>
    <mergeCell ref="C71:C72"/>
    <mergeCell ref="D71:H72"/>
    <mergeCell ref="I71:M7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0944-94D0-413D-8D53-263AAE149E88}">
  <dimension ref="B2:T114"/>
  <sheetViews>
    <sheetView topLeftCell="C51" zoomScaleNormal="100" workbookViewId="0">
      <selection activeCell="N54" sqref="N54"/>
    </sheetView>
  </sheetViews>
  <sheetFormatPr baseColWidth="10" defaultColWidth="11.44140625" defaultRowHeight="13.8" x14ac:dyDescent="0.25"/>
  <cols>
    <col min="1" max="1" width="11.44140625" style="74"/>
    <col min="2" max="2" width="7.5546875" style="74" customWidth="1"/>
    <col min="3" max="3" width="36.109375" style="74" bestFit="1" customWidth="1"/>
    <col min="4" max="4" width="9.88671875" style="74" customWidth="1"/>
    <col min="5" max="5" width="12.33203125" style="74" customWidth="1"/>
    <col min="6" max="6" width="12" style="74" customWidth="1"/>
    <col min="7" max="7" width="12.6640625" style="74" customWidth="1"/>
    <col min="8" max="11" width="11.44140625" style="74"/>
    <col min="12" max="12" width="13.33203125" style="74" customWidth="1"/>
    <col min="13" max="14" width="12.6640625" style="74" customWidth="1"/>
    <col min="15" max="16384" width="11.44140625" style="74"/>
  </cols>
  <sheetData>
    <row r="2" spans="2:20" ht="16.2" thickBot="1" x14ac:dyDescent="0.3">
      <c r="B2" s="371" t="s">
        <v>154</v>
      </c>
      <c r="C2" s="371"/>
      <c r="D2" s="371"/>
      <c r="E2" s="371"/>
      <c r="F2" s="371"/>
      <c r="G2" s="371"/>
      <c r="H2" s="371"/>
      <c r="I2" s="371"/>
      <c r="J2" s="371"/>
      <c r="K2" s="371"/>
      <c r="L2" s="371"/>
      <c r="M2" s="371"/>
      <c r="N2" s="371"/>
      <c r="O2" s="371"/>
    </row>
    <row r="3" spans="2:20" ht="16.8" thickTop="1" thickBot="1" x14ac:dyDescent="0.35">
      <c r="C3" s="1"/>
      <c r="D3" s="1"/>
      <c r="E3" s="1"/>
      <c r="F3" s="1"/>
      <c r="G3" s="1"/>
      <c r="H3" s="1"/>
      <c r="I3" s="1"/>
      <c r="J3" s="1"/>
      <c r="K3" s="1"/>
      <c r="L3" s="1"/>
      <c r="M3" s="1"/>
      <c r="N3" s="1"/>
      <c r="O3" s="1"/>
    </row>
    <row r="4" spans="2:20" ht="16.2" thickBot="1" x14ac:dyDescent="0.35">
      <c r="B4" s="323" t="s">
        <v>0</v>
      </c>
      <c r="C4" s="324"/>
      <c r="D4" s="324"/>
      <c r="E4" s="324"/>
      <c r="F4" s="324"/>
      <c r="G4" s="324"/>
      <c r="H4" s="324"/>
      <c r="I4" s="324"/>
      <c r="J4" s="324"/>
      <c r="K4" s="324"/>
      <c r="L4" s="324"/>
      <c r="M4" s="324"/>
      <c r="N4" s="324"/>
      <c r="O4" s="325"/>
    </row>
    <row r="5" spans="2:20" ht="15.6" x14ac:dyDescent="0.3">
      <c r="C5" s="1"/>
      <c r="D5" s="1"/>
      <c r="E5" s="1"/>
      <c r="F5" s="1"/>
      <c r="G5" s="1"/>
      <c r="H5" s="1"/>
      <c r="I5" s="1"/>
      <c r="J5" s="1"/>
      <c r="K5" s="1"/>
      <c r="L5" s="1"/>
      <c r="M5" s="1"/>
      <c r="N5" s="1"/>
      <c r="O5" s="1"/>
    </row>
    <row r="6" spans="2:20" ht="15.6" x14ac:dyDescent="0.3">
      <c r="C6" s="372" t="s">
        <v>167</v>
      </c>
      <c r="D6" s="372"/>
      <c r="E6" s="372"/>
      <c r="F6" s="372"/>
      <c r="G6" s="372"/>
      <c r="H6" s="372"/>
      <c r="I6" s="372"/>
      <c r="J6" s="372"/>
      <c r="K6" s="372"/>
      <c r="L6" s="372"/>
      <c r="M6" s="372"/>
      <c r="N6" s="372"/>
      <c r="O6" s="372"/>
    </row>
    <row r="7" spans="2:20" ht="17.399999999999999" customHeight="1" x14ac:dyDescent="0.3">
      <c r="C7" s="75"/>
      <c r="D7" s="75"/>
      <c r="E7" s="75"/>
      <c r="F7" s="75"/>
      <c r="G7" s="75"/>
      <c r="H7" s="75"/>
      <c r="I7" s="75"/>
      <c r="J7" s="75"/>
      <c r="K7" s="75"/>
      <c r="L7" s="75"/>
      <c r="M7" s="75"/>
    </row>
    <row r="8" spans="2:20" ht="14.25" customHeight="1" x14ac:dyDescent="0.25">
      <c r="B8" s="393">
        <v>1</v>
      </c>
      <c r="C8" s="403" t="s">
        <v>163</v>
      </c>
      <c r="D8" s="403"/>
      <c r="E8" s="403"/>
      <c r="F8" s="403"/>
      <c r="G8" s="403"/>
      <c r="H8" s="403"/>
      <c r="I8" s="403"/>
      <c r="J8" s="403"/>
      <c r="K8" s="403"/>
      <c r="L8" s="403"/>
      <c r="M8" s="403"/>
      <c r="N8" s="403"/>
      <c r="O8" s="403"/>
      <c r="P8" s="403"/>
      <c r="Q8" s="403"/>
      <c r="R8" s="403"/>
      <c r="S8" s="403"/>
      <c r="T8" s="403"/>
    </row>
    <row r="9" spans="2:20" x14ac:dyDescent="0.25">
      <c r="B9" s="393"/>
      <c r="C9" s="403"/>
      <c r="D9" s="403"/>
      <c r="E9" s="403"/>
      <c r="F9" s="403"/>
      <c r="G9" s="403"/>
      <c r="H9" s="403"/>
      <c r="I9" s="403"/>
      <c r="J9" s="403"/>
      <c r="K9" s="403"/>
      <c r="L9" s="403"/>
      <c r="M9" s="403"/>
      <c r="N9" s="403"/>
      <c r="O9" s="403"/>
      <c r="P9" s="403"/>
      <c r="Q9" s="403"/>
      <c r="R9" s="403"/>
      <c r="S9" s="403"/>
      <c r="T9" s="403"/>
    </row>
    <row r="10" spans="2:20" x14ac:dyDescent="0.25">
      <c r="B10" s="76"/>
      <c r="C10" s="249"/>
      <c r="D10" s="249"/>
      <c r="E10" s="249"/>
      <c r="F10" s="249"/>
      <c r="G10" s="249"/>
      <c r="H10" s="249"/>
      <c r="I10" s="249"/>
      <c r="J10" s="249"/>
      <c r="K10" s="249"/>
      <c r="L10" s="249"/>
      <c r="M10" s="249"/>
      <c r="N10" s="249"/>
    </row>
    <row r="11" spans="2:20" ht="14.4" thickBot="1" x14ac:dyDescent="0.3"/>
    <row r="12" spans="2:20" ht="15.6" x14ac:dyDescent="0.3">
      <c r="C12" s="78" t="s">
        <v>64</v>
      </c>
      <c r="D12" s="79"/>
      <c r="E12" s="79"/>
      <c r="F12" s="79"/>
      <c r="G12" s="80"/>
      <c r="I12" s="78" t="s">
        <v>65</v>
      </c>
      <c r="J12" s="79"/>
      <c r="K12" s="79"/>
      <c r="L12" s="79"/>
      <c r="M12" s="79"/>
      <c r="N12" s="80"/>
    </row>
    <row r="13" spans="2:20" ht="15.6" x14ac:dyDescent="0.3">
      <c r="C13" s="81" t="s">
        <v>66</v>
      </c>
      <c r="G13" s="82"/>
      <c r="I13" s="81" t="s">
        <v>66</v>
      </c>
      <c r="N13" s="82"/>
    </row>
    <row r="14" spans="2:20" x14ac:dyDescent="0.25">
      <c r="C14" s="83" t="s">
        <v>67</v>
      </c>
      <c r="E14" s="77" t="s">
        <v>68</v>
      </c>
      <c r="F14" s="77" t="s">
        <v>69</v>
      </c>
      <c r="G14" s="84" t="s">
        <v>70</v>
      </c>
      <c r="I14" s="83"/>
      <c r="L14" s="77" t="s">
        <v>68</v>
      </c>
      <c r="M14" s="77" t="s">
        <v>69</v>
      </c>
      <c r="N14" s="84" t="s">
        <v>70</v>
      </c>
    </row>
    <row r="15" spans="2:20" x14ac:dyDescent="0.25">
      <c r="C15" s="85" t="s">
        <v>71</v>
      </c>
      <c r="D15" s="86"/>
      <c r="E15" s="86"/>
      <c r="F15" s="86"/>
      <c r="G15" s="87"/>
      <c r="I15" s="416" t="s">
        <v>15</v>
      </c>
      <c r="J15" s="417"/>
      <c r="K15" s="417"/>
      <c r="L15" s="88">
        <v>4000</v>
      </c>
      <c r="M15" s="88">
        <v>4000</v>
      </c>
      <c r="N15" s="89">
        <v>4500</v>
      </c>
    </row>
    <row r="16" spans="2:20" x14ac:dyDescent="0.25">
      <c r="C16" s="83" t="s">
        <v>72</v>
      </c>
      <c r="G16" s="82"/>
      <c r="I16" s="399" t="s">
        <v>17</v>
      </c>
      <c r="J16" s="400"/>
      <c r="K16" s="400"/>
      <c r="L16" s="245">
        <v>1650</v>
      </c>
      <c r="M16" s="245">
        <v>1650</v>
      </c>
      <c r="N16" s="246">
        <v>1650</v>
      </c>
    </row>
    <row r="17" spans="3:14" x14ac:dyDescent="0.25">
      <c r="C17" s="83" t="s">
        <v>73</v>
      </c>
      <c r="E17" s="74">
        <v>300</v>
      </c>
      <c r="F17" s="74">
        <v>500</v>
      </c>
      <c r="G17" s="82">
        <v>380</v>
      </c>
      <c r="I17" s="411" t="s">
        <v>74</v>
      </c>
      <c r="J17" s="412"/>
      <c r="K17" s="412"/>
      <c r="L17" s="247">
        <f>+L15-L16</f>
        <v>2350</v>
      </c>
      <c r="M17" s="247">
        <f t="shared" ref="M17:N17" si="0">+M15-M16</f>
        <v>2350</v>
      </c>
      <c r="N17" s="91">
        <f t="shared" si="0"/>
        <v>2850</v>
      </c>
    </row>
    <row r="18" spans="3:14" x14ac:dyDescent="0.25">
      <c r="C18" s="83" t="s">
        <v>22</v>
      </c>
      <c r="E18" s="74">
        <v>500</v>
      </c>
      <c r="F18" s="74">
        <v>400</v>
      </c>
      <c r="G18" s="82">
        <v>550</v>
      </c>
      <c r="I18" s="399" t="s">
        <v>75</v>
      </c>
      <c r="J18" s="400"/>
      <c r="K18" s="400"/>
      <c r="L18" s="248">
        <v>200</v>
      </c>
      <c r="M18" s="248">
        <v>230</v>
      </c>
      <c r="N18" s="90">
        <v>250</v>
      </c>
    </row>
    <row r="19" spans="3:14" x14ac:dyDescent="0.25">
      <c r="C19" s="83" t="s">
        <v>24</v>
      </c>
      <c r="E19" s="135">
        <v>700</v>
      </c>
      <c r="F19" s="135">
        <v>600</v>
      </c>
      <c r="G19" s="244">
        <v>800</v>
      </c>
      <c r="I19" s="399" t="s">
        <v>76</v>
      </c>
      <c r="J19" s="400"/>
      <c r="K19" s="400"/>
      <c r="L19" s="248">
        <v>300</v>
      </c>
      <c r="M19" s="248">
        <v>300</v>
      </c>
      <c r="N19" s="90">
        <v>300</v>
      </c>
    </row>
    <row r="20" spans="3:14" x14ac:dyDescent="0.25">
      <c r="C20" s="92" t="s">
        <v>77</v>
      </c>
      <c r="D20" s="93"/>
      <c r="E20" s="93">
        <f>SUM(E17:E19)</f>
        <v>1500</v>
      </c>
      <c r="F20" s="93">
        <f>SUM(F17:F19)</f>
        <v>1500</v>
      </c>
      <c r="G20" s="94">
        <f>SUM(G17:G19)</f>
        <v>1730</v>
      </c>
      <c r="I20" s="399" t="s">
        <v>78</v>
      </c>
      <c r="J20" s="400"/>
      <c r="K20" s="400"/>
      <c r="L20" s="245">
        <v>350</v>
      </c>
      <c r="M20" s="245">
        <v>360</v>
      </c>
      <c r="N20" s="246">
        <v>400</v>
      </c>
    </row>
    <row r="21" spans="3:14" x14ac:dyDescent="0.25">
      <c r="C21" s="83" t="s">
        <v>28</v>
      </c>
      <c r="G21" s="82"/>
      <c r="I21" s="413" t="s">
        <v>79</v>
      </c>
      <c r="J21" s="414"/>
      <c r="K21" s="414"/>
      <c r="L21" s="415">
        <f>+L17-L18-L19-L20</f>
        <v>1500</v>
      </c>
      <c r="M21" s="415">
        <f t="shared" ref="M21:N21" si="1">+M17-M18-M19-M20</f>
        <v>1460</v>
      </c>
      <c r="N21" s="418">
        <f t="shared" si="1"/>
        <v>1900</v>
      </c>
    </row>
    <row r="22" spans="3:14" x14ac:dyDescent="0.25">
      <c r="C22" s="83" t="s">
        <v>80</v>
      </c>
      <c r="E22" s="135">
        <v>750</v>
      </c>
      <c r="F22" s="135">
        <v>900</v>
      </c>
      <c r="G22" s="244">
        <v>800</v>
      </c>
      <c r="I22" s="413"/>
      <c r="J22" s="414"/>
      <c r="K22" s="414"/>
      <c r="L22" s="415"/>
      <c r="M22" s="415"/>
      <c r="N22" s="418"/>
    </row>
    <row r="23" spans="3:14" x14ac:dyDescent="0.25">
      <c r="C23" s="92" t="s">
        <v>34</v>
      </c>
      <c r="D23" s="93"/>
      <c r="E23" s="93">
        <f>+E22</f>
        <v>750</v>
      </c>
      <c r="F23" s="93">
        <f>+F22</f>
        <v>900</v>
      </c>
      <c r="G23" s="94">
        <f>+G22</f>
        <v>800</v>
      </c>
      <c r="I23" s="399" t="s">
        <v>81</v>
      </c>
      <c r="J23" s="400"/>
      <c r="K23" s="400"/>
      <c r="L23" s="245">
        <v>150</v>
      </c>
      <c r="M23" s="245">
        <v>250</v>
      </c>
      <c r="N23" s="246">
        <v>300</v>
      </c>
    </row>
    <row r="24" spans="3:14" x14ac:dyDescent="0.25">
      <c r="C24" s="85" t="s">
        <v>36</v>
      </c>
      <c r="D24" s="95"/>
      <c r="E24" s="95">
        <f>+E20+E23</f>
        <v>2250</v>
      </c>
      <c r="F24" s="95">
        <f>+F20+F23</f>
        <v>2400</v>
      </c>
      <c r="G24" s="96">
        <f>+G20+G23</f>
        <v>2530</v>
      </c>
      <c r="I24" s="419" t="s">
        <v>33</v>
      </c>
      <c r="J24" s="420"/>
      <c r="K24" s="420"/>
      <c r="L24" s="247">
        <f>SUM(L21:L23)</f>
        <v>1650</v>
      </c>
      <c r="M24" s="247">
        <f t="shared" ref="M24:N24" si="2">SUM(M21:M23)</f>
        <v>1710</v>
      </c>
      <c r="N24" s="91">
        <f t="shared" si="2"/>
        <v>2200</v>
      </c>
    </row>
    <row r="25" spans="3:14" x14ac:dyDescent="0.25">
      <c r="C25" s="83"/>
      <c r="G25" s="82"/>
      <c r="I25" s="399" t="s">
        <v>82</v>
      </c>
      <c r="J25" s="400"/>
      <c r="K25" s="400"/>
      <c r="L25" s="245">
        <f>+L24*0.3</f>
        <v>495</v>
      </c>
      <c r="M25" s="245">
        <f t="shared" ref="M25:N25" si="3">+M24*0.3</f>
        <v>513</v>
      </c>
      <c r="N25" s="246">
        <f t="shared" si="3"/>
        <v>660</v>
      </c>
    </row>
    <row r="26" spans="3:14" ht="14.4" thickBot="1" x14ac:dyDescent="0.3">
      <c r="C26" s="97" t="s">
        <v>83</v>
      </c>
      <c r="D26" s="98"/>
      <c r="E26" s="98"/>
      <c r="F26" s="98"/>
      <c r="G26" s="99"/>
      <c r="I26" s="401" t="s">
        <v>84</v>
      </c>
      <c r="J26" s="402"/>
      <c r="K26" s="402"/>
      <c r="L26" s="100">
        <f>SUM(L24:L25)</f>
        <v>2145</v>
      </c>
      <c r="M26" s="100">
        <f t="shared" ref="M26:N26" si="4">SUM(M24:M25)</f>
        <v>2223</v>
      </c>
      <c r="N26" s="101">
        <f t="shared" si="4"/>
        <v>2860</v>
      </c>
    </row>
    <row r="27" spans="3:14" x14ac:dyDescent="0.25">
      <c r="C27" s="83" t="s">
        <v>85</v>
      </c>
      <c r="G27" s="82"/>
      <c r="L27" s="88"/>
      <c r="M27" s="88"/>
      <c r="N27" s="88"/>
    </row>
    <row r="28" spans="3:14" x14ac:dyDescent="0.25">
      <c r="C28" s="83" t="s">
        <v>86</v>
      </c>
      <c r="E28" s="74">
        <v>400</v>
      </c>
      <c r="F28" s="74">
        <v>350</v>
      </c>
      <c r="G28" s="82">
        <v>400</v>
      </c>
    </row>
    <row r="29" spans="3:14" x14ac:dyDescent="0.25">
      <c r="C29" s="83" t="s">
        <v>87</v>
      </c>
      <c r="E29" s="135">
        <v>250</v>
      </c>
      <c r="F29" s="135">
        <v>200</v>
      </c>
      <c r="G29" s="244">
        <v>310</v>
      </c>
    </row>
    <row r="30" spans="3:14" x14ac:dyDescent="0.25">
      <c r="C30" s="92" t="s">
        <v>88</v>
      </c>
      <c r="D30" s="93"/>
      <c r="E30" s="93">
        <f>SUM(E28:E29)</f>
        <v>650</v>
      </c>
      <c r="F30" s="93">
        <f>SUM(F28:F29)</f>
        <v>550</v>
      </c>
      <c r="G30" s="94">
        <f>SUM(G28:G29)</f>
        <v>710</v>
      </c>
      <c r="H30" s="93"/>
    </row>
    <row r="31" spans="3:14" x14ac:dyDescent="0.25">
      <c r="C31" s="83" t="s">
        <v>89</v>
      </c>
      <c r="D31" s="77"/>
      <c r="G31" s="82"/>
    </row>
    <row r="32" spans="3:14" x14ac:dyDescent="0.25">
      <c r="C32" s="83" t="s">
        <v>90</v>
      </c>
      <c r="E32" s="74">
        <v>350</v>
      </c>
      <c r="F32" s="74">
        <v>400</v>
      </c>
      <c r="G32" s="82">
        <v>500</v>
      </c>
    </row>
    <row r="33" spans="3:8" x14ac:dyDescent="0.25">
      <c r="C33" s="83" t="s">
        <v>91</v>
      </c>
      <c r="E33" s="135">
        <v>400</v>
      </c>
      <c r="F33" s="135">
        <v>300</v>
      </c>
      <c r="G33" s="244">
        <v>370</v>
      </c>
    </row>
    <row r="34" spans="3:8" x14ac:dyDescent="0.25">
      <c r="C34" s="102" t="s">
        <v>92</v>
      </c>
      <c r="D34" s="93"/>
      <c r="E34" s="93">
        <f>SUM(E32:E33)</f>
        <v>750</v>
      </c>
      <c r="F34" s="93">
        <f>SUM(F32:F33)</f>
        <v>700</v>
      </c>
      <c r="G34" s="94">
        <f>SUM(G32:G33)</f>
        <v>870</v>
      </c>
      <c r="H34" s="93"/>
    </row>
    <row r="35" spans="3:8" x14ac:dyDescent="0.25">
      <c r="C35" s="103" t="s">
        <v>93</v>
      </c>
      <c r="D35" s="104"/>
      <c r="E35" s="104">
        <f>+E30+E34</f>
        <v>1400</v>
      </c>
      <c r="F35" s="104">
        <f>+F30+F34</f>
        <v>1250</v>
      </c>
      <c r="G35" s="105">
        <f>+G30+G34</f>
        <v>1580</v>
      </c>
      <c r="H35" s="77"/>
    </row>
    <row r="36" spans="3:8" x14ac:dyDescent="0.25">
      <c r="C36" s="106"/>
      <c r="G36" s="82"/>
    </row>
    <row r="37" spans="3:8" x14ac:dyDescent="0.25">
      <c r="C37" s="107" t="s">
        <v>94</v>
      </c>
      <c r="D37" s="108"/>
      <c r="E37" s="108"/>
      <c r="F37" s="108"/>
      <c r="G37" s="109"/>
    </row>
    <row r="38" spans="3:8" x14ac:dyDescent="0.25">
      <c r="C38" s="110" t="s">
        <v>95</v>
      </c>
      <c r="E38" s="74">
        <v>500</v>
      </c>
      <c r="F38" s="74">
        <v>750</v>
      </c>
      <c r="G38" s="82">
        <v>650</v>
      </c>
    </row>
    <row r="39" spans="3:8" x14ac:dyDescent="0.25">
      <c r="C39" s="110" t="s">
        <v>96</v>
      </c>
      <c r="E39" s="135">
        <v>350</v>
      </c>
      <c r="F39" s="135">
        <v>400</v>
      </c>
      <c r="G39" s="244">
        <v>300</v>
      </c>
    </row>
    <row r="40" spans="3:8" x14ac:dyDescent="0.25">
      <c r="C40" s="111" t="s">
        <v>97</v>
      </c>
      <c r="D40" s="112"/>
      <c r="E40" s="112">
        <f>SUM(E38:E39)</f>
        <v>850</v>
      </c>
      <c r="F40" s="112">
        <f>SUM(F38:F39)</f>
        <v>1150</v>
      </c>
      <c r="G40" s="113">
        <f>SUM(G38:G39)</f>
        <v>950</v>
      </c>
      <c r="H40" s="77"/>
    </row>
    <row r="41" spans="3:8" x14ac:dyDescent="0.25">
      <c r="C41" s="106"/>
      <c r="D41" s="77"/>
      <c r="G41" s="82"/>
    </row>
    <row r="42" spans="3:8" ht="14.4" thickBot="1" x14ac:dyDescent="0.3">
      <c r="C42" s="114" t="s">
        <v>98</v>
      </c>
      <c r="D42" s="115"/>
      <c r="E42" s="115">
        <f>+E35+E40</f>
        <v>2250</v>
      </c>
      <c r="F42" s="115">
        <f>+F35+F40</f>
        <v>2400</v>
      </c>
      <c r="G42" s="116">
        <f>+G35+G40</f>
        <v>2530</v>
      </c>
      <c r="H42" s="77"/>
    </row>
    <row r="43" spans="3:8" s="117" customFormat="1" ht="13.2" x14ac:dyDescent="0.25"/>
    <row r="44" spans="3:8" s="117" customFormat="1" ht="13.2" x14ac:dyDescent="0.25"/>
    <row r="48" spans="3:8" ht="14.4" thickBot="1" x14ac:dyDescent="0.3"/>
    <row r="49" spans="2:20" ht="30.6" thickBot="1" x14ac:dyDescent="0.55000000000000004">
      <c r="B49" s="408" t="s">
        <v>102</v>
      </c>
      <c r="C49" s="409"/>
      <c r="D49" s="409"/>
      <c r="E49" s="409"/>
      <c r="F49" s="409"/>
      <c r="G49" s="409"/>
      <c r="H49" s="409"/>
      <c r="I49" s="409"/>
      <c r="J49" s="409"/>
      <c r="K49" s="409"/>
      <c r="L49" s="409"/>
      <c r="M49" s="409"/>
      <c r="N49" s="409"/>
      <c r="O49" s="409"/>
      <c r="P49" s="409"/>
      <c r="Q49" s="409"/>
      <c r="R49" s="409"/>
      <c r="S49" s="409"/>
      <c r="T49" s="410"/>
    </row>
    <row r="50" spans="2:20" ht="30" customHeight="1" x14ac:dyDescent="0.25">
      <c r="B50" s="393" t="s">
        <v>103</v>
      </c>
      <c r="C50" s="393"/>
      <c r="D50" s="393"/>
      <c r="E50" s="393"/>
      <c r="F50" s="393"/>
      <c r="G50" s="393"/>
      <c r="H50" s="393"/>
      <c r="I50" s="393"/>
      <c r="J50" s="393"/>
      <c r="K50" s="393"/>
      <c r="L50" s="389" t="s">
        <v>68</v>
      </c>
      <c r="M50" s="390"/>
      <c r="N50" s="391"/>
      <c r="O50" s="389" t="s">
        <v>69</v>
      </c>
      <c r="P50" s="390"/>
      <c r="Q50" s="391"/>
      <c r="R50" s="389" t="s">
        <v>70</v>
      </c>
      <c r="S50" s="390"/>
      <c r="T50" s="391"/>
    </row>
    <row r="51" spans="2:20" ht="17.399999999999999" x14ac:dyDescent="0.3">
      <c r="B51" s="395" t="s">
        <v>104</v>
      </c>
      <c r="C51" s="396"/>
      <c r="D51" s="396"/>
      <c r="E51" s="396"/>
      <c r="F51" s="396"/>
      <c r="G51" s="396"/>
      <c r="H51" s="396"/>
      <c r="I51" s="396"/>
      <c r="J51" s="396"/>
      <c r="K51" s="396"/>
      <c r="L51" s="392"/>
      <c r="M51" s="393"/>
      <c r="N51" s="394"/>
      <c r="O51" s="392"/>
      <c r="P51" s="393"/>
      <c r="Q51" s="394"/>
      <c r="R51" s="392"/>
      <c r="S51" s="393"/>
      <c r="T51" s="394"/>
    </row>
    <row r="52" spans="2:20" x14ac:dyDescent="0.25">
      <c r="B52" s="119"/>
      <c r="C52" s="120"/>
      <c r="D52" s="120"/>
      <c r="E52" s="120"/>
      <c r="F52" s="120"/>
      <c r="G52" s="120"/>
      <c r="H52" s="120"/>
      <c r="I52" s="120"/>
      <c r="J52" s="120"/>
      <c r="K52" s="120"/>
      <c r="L52" s="121"/>
      <c r="M52" s="120"/>
      <c r="N52" s="122"/>
      <c r="O52" s="121"/>
      <c r="P52" s="120"/>
      <c r="Q52" s="122"/>
      <c r="R52" s="121"/>
      <c r="S52" s="120"/>
      <c r="T52" s="122"/>
    </row>
    <row r="53" spans="2:20" x14ac:dyDescent="0.25">
      <c r="B53" s="123" t="s">
        <v>105</v>
      </c>
      <c r="L53" s="83"/>
      <c r="N53" s="89"/>
      <c r="O53" s="83"/>
      <c r="Q53" s="89"/>
      <c r="R53" s="83"/>
      <c r="T53" s="89"/>
    </row>
    <row r="54" spans="2:20" ht="15" customHeight="1" x14ac:dyDescent="0.25">
      <c r="B54" s="404" t="s">
        <v>106</v>
      </c>
      <c r="C54" s="405"/>
      <c r="D54" s="405"/>
      <c r="E54" s="405"/>
      <c r="G54" s="380" t="s">
        <v>155</v>
      </c>
      <c r="H54" s="380"/>
      <c r="I54" s="380"/>
      <c r="J54" s="74" t="s">
        <v>107</v>
      </c>
      <c r="L54" s="124"/>
      <c r="M54" s="88" t="s">
        <v>108</v>
      </c>
      <c r="N54" s="125"/>
      <c r="O54" s="124"/>
      <c r="P54" s="88" t="s">
        <v>108</v>
      </c>
      <c r="Q54" s="125"/>
      <c r="R54" s="124"/>
      <c r="S54" s="88" t="s">
        <v>108</v>
      </c>
      <c r="T54" s="125"/>
    </row>
    <row r="55" spans="2:20" x14ac:dyDescent="0.25">
      <c r="B55" s="404"/>
      <c r="C55" s="405"/>
      <c r="D55" s="405"/>
      <c r="E55" s="405"/>
      <c r="G55" s="383" t="s">
        <v>156</v>
      </c>
      <c r="H55" s="383"/>
      <c r="I55" s="383"/>
      <c r="L55" s="126"/>
      <c r="M55" s="88"/>
      <c r="N55" s="127"/>
      <c r="O55" s="126"/>
      <c r="P55" s="88"/>
      <c r="Q55" s="127"/>
      <c r="R55" s="126"/>
      <c r="S55" s="88"/>
      <c r="T55" s="127"/>
    </row>
    <row r="56" spans="2:20" x14ac:dyDescent="0.25">
      <c r="B56" s="404"/>
      <c r="C56" s="405"/>
      <c r="D56" s="405"/>
      <c r="E56" s="405"/>
      <c r="L56" s="128"/>
      <c r="M56" s="88"/>
      <c r="N56" s="127"/>
      <c r="O56" s="128"/>
      <c r="P56" s="88"/>
      <c r="Q56" s="127"/>
      <c r="R56" s="128"/>
      <c r="S56" s="88"/>
      <c r="T56" s="127"/>
    </row>
    <row r="57" spans="2:20" x14ac:dyDescent="0.25">
      <c r="B57" s="129"/>
      <c r="L57" s="128"/>
      <c r="M57" s="88"/>
      <c r="N57" s="127"/>
      <c r="O57" s="128"/>
      <c r="P57" s="88"/>
      <c r="Q57" s="127"/>
      <c r="R57" s="128"/>
      <c r="S57" s="88"/>
      <c r="T57" s="127"/>
    </row>
    <row r="58" spans="2:20" x14ac:dyDescent="0.25">
      <c r="B58" s="123" t="s">
        <v>110</v>
      </c>
      <c r="L58" s="128"/>
      <c r="M58" s="88"/>
      <c r="N58" s="127"/>
      <c r="O58" s="128"/>
      <c r="P58" s="88"/>
      <c r="Q58" s="127"/>
      <c r="R58" s="128"/>
      <c r="S58" s="88"/>
      <c r="T58" s="127"/>
    </row>
    <row r="59" spans="2:20" x14ac:dyDescent="0.25">
      <c r="B59" s="406" t="s">
        <v>111</v>
      </c>
      <c r="C59" s="407"/>
      <c r="D59" s="407"/>
      <c r="E59" s="407"/>
      <c r="G59" s="380" t="s">
        <v>157</v>
      </c>
      <c r="H59" s="380"/>
      <c r="I59" s="380"/>
      <c r="J59" s="74" t="s">
        <v>107</v>
      </c>
      <c r="L59" s="124"/>
      <c r="M59" s="88" t="s">
        <v>108</v>
      </c>
      <c r="N59" s="125"/>
      <c r="O59" s="124"/>
      <c r="P59" s="88" t="s">
        <v>108</v>
      </c>
      <c r="Q59" s="125"/>
      <c r="R59" s="124"/>
      <c r="S59" s="88" t="s">
        <v>108</v>
      </c>
      <c r="T59" s="125"/>
    </row>
    <row r="60" spans="2:20" x14ac:dyDescent="0.25">
      <c r="B60" s="406"/>
      <c r="C60" s="407"/>
      <c r="D60" s="407"/>
      <c r="E60" s="407"/>
      <c r="G60" s="387" t="s">
        <v>109</v>
      </c>
      <c r="H60" s="387"/>
      <c r="I60" s="387"/>
      <c r="L60" s="126"/>
      <c r="M60" s="88"/>
      <c r="N60" s="127"/>
      <c r="O60" s="126"/>
      <c r="P60" s="88"/>
      <c r="Q60" s="127"/>
      <c r="R60" s="126"/>
      <c r="S60" s="88"/>
      <c r="T60" s="127"/>
    </row>
    <row r="61" spans="2:20" x14ac:dyDescent="0.25">
      <c r="B61" s="406"/>
      <c r="C61" s="407"/>
      <c r="D61" s="407"/>
      <c r="E61" s="407"/>
      <c r="L61" s="83"/>
      <c r="N61" s="127"/>
      <c r="O61" s="83"/>
      <c r="Q61" s="127"/>
      <c r="R61" s="83"/>
      <c r="T61" s="127"/>
    </row>
    <row r="62" spans="2:20" x14ac:dyDescent="0.25">
      <c r="B62" s="129"/>
      <c r="L62" s="83"/>
      <c r="N62" s="127"/>
      <c r="O62" s="83"/>
      <c r="Q62" s="127"/>
      <c r="R62" s="83"/>
      <c r="T62" s="127"/>
    </row>
    <row r="63" spans="2:20" ht="29.25" customHeight="1" x14ac:dyDescent="0.25">
      <c r="B63" s="130" t="s">
        <v>112</v>
      </c>
      <c r="G63" s="388" t="s">
        <v>113</v>
      </c>
      <c r="H63" s="388"/>
      <c r="I63" s="388"/>
      <c r="J63" s="74" t="s">
        <v>107</v>
      </c>
      <c r="L63" s="131"/>
      <c r="M63" s="88" t="s">
        <v>108</v>
      </c>
      <c r="N63" s="125"/>
      <c r="O63" s="131"/>
      <c r="P63" s="88" t="s">
        <v>108</v>
      </c>
      <c r="Q63" s="125"/>
      <c r="R63" s="131"/>
      <c r="S63" s="88" t="s">
        <v>108</v>
      </c>
      <c r="T63" s="125"/>
    </row>
    <row r="64" spans="2:20" x14ac:dyDescent="0.25">
      <c r="B64" s="129" t="s">
        <v>114</v>
      </c>
      <c r="G64" s="387" t="s">
        <v>115</v>
      </c>
      <c r="H64" s="387"/>
      <c r="I64" s="387"/>
      <c r="L64" s="132"/>
      <c r="N64" s="127"/>
      <c r="O64" s="132"/>
      <c r="Q64" s="127"/>
      <c r="R64" s="132"/>
      <c r="T64" s="127"/>
    </row>
    <row r="65" spans="2:20" x14ac:dyDescent="0.25">
      <c r="B65" s="129"/>
      <c r="L65" s="83"/>
      <c r="N65" s="127"/>
      <c r="O65" s="83"/>
      <c r="Q65" s="127"/>
      <c r="R65" s="83"/>
      <c r="T65" s="127"/>
    </row>
    <row r="66" spans="2:20" ht="39" customHeight="1" x14ac:dyDescent="0.25">
      <c r="B66" s="123" t="s">
        <v>116</v>
      </c>
      <c r="G66" s="388" t="s">
        <v>22</v>
      </c>
      <c r="H66" s="388"/>
      <c r="I66" s="388"/>
      <c r="J66" s="88" t="s">
        <v>117</v>
      </c>
      <c r="L66" s="118"/>
      <c r="M66" s="88" t="s">
        <v>108</v>
      </c>
      <c r="N66" s="125"/>
      <c r="O66" s="118"/>
      <c r="P66" s="88" t="s">
        <v>108</v>
      </c>
      <c r="Q66" s="125"/>
      <c r="R66" s="118"/>
      <c r="S66" s="88" t="s">
        <v>108</v>
      </c>
      <c r="T66" s="125"/>
    </row>
    <row r="67" spans="2:20" x14ac:dyDescent="0.25">
      <c r="B67" s="381" t="s">
        <v>118</v>
      </c>
      <c r="C67" s="382"/>
      <c r="D67" s="382"/>
      <c r="E67" s="382"/>
      <c r="G67" s="387" t="s">
        <v>119</v>
      </c>
      <c r="H67" s="387"/>
      <c r="I67" s="387"/>
      <c r="L67" s="133"/>
      <c r="N67" s="127"/>
      <c r="O67" s="133"/>
      <c r="Q67" s="127"/>
      <c r="R67" s="133"/>
      <c r="T67" s="127"/>
    </row>
    <row r="68" spans="2:20" x14ac:dyDescent="0.25">
      <c r="B68" s="381"/>
      <c r="C68" s="382"/>
      <c r="D68" s="382"/>
      <c r="E68" s="382"/>
      <c r="L68" s="83"/>
      <c r="N68" s="127"/>
      <c r="O68" s="83"/>
      <c r="Q68" s="127"/>
      <c r="R68" s="83"/>
      <c r="T68" s="127"/>
    </row>
    <row r="69" spans="2:20" x14ac:dyDescent="0.25">
      <c r="B69" s="129"/>
      <c r="L69" s="83"/>
      <c r="N69" s="127"/>
      <c r="O69" s="83"/>
      <c r="Q69" s="127"/>
      <c r="R69" s="83"/>
      <c r="T69" s="127"/>
    </row>
    <row r="70" spans="2:20" x14ac:dyDescent="0.25">
      <c r="B70" s="123" t="s">
        <v>120</v>
      </c>
      <c r="G70" s="380" t="s">
        <v>41</v>
      </c>
      <c r="H70" s="380"/>
      <c r="I70" s="380"/>
      <c r="J70" s="74" t="s">
        <v>117</v>
      </c>
      <c r="L70" s="131"/>
      <c r="M70" s="88" t="s">
        <v>108</v>
      </c>
      <c r="N70" s="125"/>
      <c r="O70" s="131"/>
      <c r="P70" s="88" t="s">
        <v>108</v>
      </c>
      <c r="Q70" s="125"/>
      <c r="R70" s="131"/>
      <c r="S70" s="88" t="s">
        <v>108</v>
      </c>
      <c r="T70" s="125"/>
    </row>
    <row r="71" spans="2:20" x14ac:dyDescent="0.25">
      <c r="B71" s="381" t="s">
        <v>121</v>
      </c>
      <c r="C71" s="382"/>
      <c r="D71" s="382"/>
      <c r="E71" s="382"/>
      <c r="G71" s="387" t="s">
        <v>119</v>
      </c>
      <c r="H71" s="387"/>
      <c r="I71" s="387"/>
      <c r="L71" s="134"/>
      <c r="N71" s="127"/>
      <c r="O71" s="132"/>
      <c r="Q71" s="127"/>
      <c r="R71" s="132"/>
      <c r="T71" s="127"/>
    </row>
    <row r="72" spans="2:20" x14ac:dyDescent="0.25">
      <c r="B72" s="384"/>
      <c r="C72" s="385"/>
      <c r="D72" s="385"/>
      <c r="E72" s="385"/>
      <c r="F72" s="135"/>
      <c r="G72" s="135"/>
      <c r="H72" s="135"/>
      <c r="I72" s="135"/>
      <c r="J72" s="135"/>
      <c r="K72" s="135"/>
      <c r="L72" s="118"/>
      <c r="M72" s="135"/>
      <c r="N72" s="136"/>
      <c r="O72" s="118"/>
      <c r="P72" s="135"/>
      <c r="Q72" s="136"/>
      <c r="R72" s="118"/>
      <c r="S72" s="135"/>
      <c r="T72" s="136"/>
    </row>
    <row r="73" spans="2:20" x14ac:dyDescent="0.25">
      <c r="L73" s="83"/>
      <c r="N73" s="127"/>
      <c r="O73" s="83"/>
      <c r="Q73" s="127"/>
      <c r="R73" s="83"/>
      <c r="T73" s="127"/>
    </row>
    <row r="74" spans="2:20" ht="17.399999999999999" x14ac:dyDescent="0.3">
      <c r="B74" s="397" t="s">
        <v>122</v>
      </c>
      <c r="C74" s="398"/>
      <c r="D74" s="398"/>
      <c r="E74" s="398"/>
      <c r="F74" s="398"/>
      <c r="G74" s="398"/>
      <c r="H74" s="398"/>
      <c r="I74" s="398"/>
      <c r="J74" s="398"/>
      <c r="K74" s="398"/>
      <c r="L74" s="121"/>
      <c r="M74" s="120"/>
      <c r="N74" s="137"/>
      <c r="O74" s="121"/>
      <c r="P74" s="120"/>
      <c r="Q74" s="137"/>
      <c r="R74" s="121"/>
      <c r="S74" s="120"/>
      <c r="T74" s="137"/>
    </row>
    <row r="75" spans="2:20" x14ac:dyDescent="0.25">
      <c r="B75" s="129"/>
      <c r="L75" s="83"/>
      <c r="N75" s="127"/>
      <c r="O75" s="83"/>
      <c r="Q75" s="127"/>
      <c r="R75" s="83"/>
      <c r="T75" s="127"/>
    </row>
    <row r="76" spans="2:20" x14ac:dyDescent="0.25">
      <c r="B76" s="123" t="s">
        <v>123</v>
      </c>
      <c r="L76" s="83"/>
      <c r="N76" s="127"/>
      <c r="O76" s="83"/>
      <c r="Q76" s="127"/>
      <c r="R76" s="83"/>
      <c r="T76" s="127"/>
    </row>
    <row r="77" spans="2:20" x14ac:dyDescent="0.25">
      <c r="B77" s="381" t="s">
        <v>124</v>
      </c>
      <c r="C77" s="382"/>
      <c r="D77" s="382"/>
      <c r="E77" s="382"/>
      <c r="G77" s="380" t="s">
        <v>125</v>
      </c>
      <c r="H77" s="380"/>
      <c r="I77" s="380"/>
      <c r="J77" s="74" t="s">
        <v>126</v>
      </c>
      <c r="L77" s="118"/>
      <c r="M77" s="88" t="s">
        <v>108</v>
      </c>
      <c r="N77" s="138"/>
      <c r="O77" s="118"/>
      <c r="P77" s="88" t="s">
        <v>108</v>
      </c>
      <c r="Q77" s="138"/>
      <c r="R77" s="118"/>
      <c r="S77" s="88" t="s">
        <v>108</v>
      </c>
      <c r="T77" s="138"/>
    </row>
    <row r="78" spans="2:20" x14ac:dyDescent="0.25">
      <c r="B78" s="381"/>
      <c r="C78" s="382"/>
      <c r="D78" s="382"/>
      <c r="E78" s="382"/>
      <c r="G78" s="383" t="s">
        <v>127</v>
      </c>
      <c r="H78" s="383"/>
      <c r="I78" s="383"/>
      <c r="L78" s="83"/>
      <c r="N78" s="127"/>
      <c r="O78" s="83"/>
      <c r="Q78" s="127"/>
      <c r="R78" s="83"/>
      <c r="T78" s="127"/>
    </row>
    <row r="79" spans="2:20" x14ac:dyDescent="0.25">
      <c r="B79" s="129"/>
      <c r="L79" s="83"/>
      <c r="N79" s="127"/>
      <c r="O79" s="83"/>
      <c r="Q79" s="127"/>
      <c r="R79" s="83"/>
      <c r="T79" s="127"/>
    </row>
    <row r="80" spans="2:20" x14ac:dyDescent="0.25">
      <c r="B80" s="129"/>
      <c r="L80" s="83"/>
      <c r="N80" s="127"/>
      <c r="O80" s="83"/>
      <c r="Q80" s="127"/>
      <c r="R80" s="83"/>
      <c r="T80" s="127"/>
    </row>
    <row r="81" spans="2:20" x14ac:dyDescent="0.25">
      <c r="B81" s="123" t="s">
        <v>128</v>
      </c>
      <c r="L81" s="83"/>
      <c r="N81" s="127"/>
      <c r="O81" s="83"/>
      <c r="Q81" s="127"/>
      <c r="R81" s="83"/>
      <c r="T81" s="127"/>
    </row>
    <row r="82" spans="2:20" ht="14.25" customHeight="1" x14ac:dyDescent="0.25">
      <c r="B82" s="381" t="s">
        <v>129</v>
      </c>
      <c r="C82" s="382"/>
      <c r="D82" s="382"/>
      <c r="E82" s="382"/>
      <c r="G82" s="380" t="s">
        <v>125</v>
      </c>
      <c r="H82" s="380"/>
      <c r="I82" s="380"/>
      <c r="J82" s="74" t="s">
        <v>126</v>
      </c>
      <c r="L82" s="139"/>
      <c r="M82" s="88" t="s">
        <v>108</v>
      </c>
      <c r="N82" s="140"/>
      <c r="O82" s="139"/>
      <c r="P82" s="88" t="s">
        <v>108</v>
      </c>
      <c r="Q82" s="140"/>
      <c r="R82" s="139"/>
      <c r="S82" s="88" t="s">
        <v>108</v>
      </c>
      <c r="T82" s="140"/>
    </row>
    <row r="83" spans="2:20" x14ac:dyDescent="0.25">
      <c r="B83" s="384"/>
      <c r="C83" s="385"/>
      <c r="D83" s="385"/>
      <c r="E83" s="385"/>
      <c r="F83" s="135"/>
      <c r="G83" s="386" t="s">
        <v>130</v>
      </c>
      <c r="H83" s="386"/>
      <c r="I83" s="386"/>
      <c r="J83" s="135"/>
      <c r="K83" s="135"/>
      <c r="L83" s="139"/>
      <c r="M83" s="135"/>
      <c r="N83" s="136"/>
      <c r="O83" s="139"/>
      <c r="P83" s="135"/>
      <c r="Q83" s="136"/>
      <c r="R83" s="139"/>
      <c r="S83" s="135"/>
      <c r="T83" s="136"/>
    </row>
    <row r="84" spans="2:20" x14ac:dyDescent="0.25">
      <c r="L84" s="83"/>
      <c r="N84" s="127"/>
      <c r="O84" s="83"/>
      <c r="Q84" s="127"/>
      <c r="R84" s="83"/>
      <c r="T84" s="127"/>
    </row>
    <row r="85" spans="2:20" ht="17.399999999999999" x14ac:dyDescent="0.3">
      <c r="B85" s="141" t="s">
        <v>131</v>
      </c>
      <c r="C85" s="120"/>
      <c r="D85" s="120"/>
      <c r="E85" s="120"/>
      <c r="F85" s="120"/>
      <c r="G85" s="120"/>
      <c r="H85" s="120"/>
      <c r="I85" s="120"/>
      <c r="J85" s="120"/>
      <c r="K85" s="120"/>
      <c r="L85" s="121"/>
      <c r="M85" s="120"/>
      <c r="N85" s="137"/>
      <c r="O85" s="121"/>
      <c r="P85" s="120"/>
      <c r="Q85" s="137"/>
      <c r="R85" s="121"/>
      <c r="S85" s="120"/>
      <c r="T85" s="137"/>
    </row>
    <row r="86" spans="2:20" x14ac:dyDescent="0.25">
      <c r="B86" s="129"/>
      <c r="L86" s="83"/>
      <c r="N86" s="127"/>
      <c r="O86" s="83"/>
      <c r="Q86" s="127"/>
      <c r="R86" s="83"/>
      <c r="T86" s="127"/>
    </row>
    <row r="87" spans="2:20" x14ac:dyDescent="0.25">
      <c r="B87" s="123" t="s">
        <v>132</v>
      </c>
      <c r="G87" s="380" t="s">
        <v>133</v>
      </c>
      <c r="H87" s="380"/>
      <c r="I87" s="380"/>
      <c r="J87" s="74" t="s">
        <v>126</v>
      </c>
      <c r="L87" s="131"/>
      <c r="M87" s="88" t="s">
        <v>108</v>
      </c>
      <c r="N87" s="140"/>
      <c r="O87" s="131"/>
      <c r="P87" s="88" t="s">
        <v>108</v>
      </c>
      <c r="Q87" s="140"/>
      <c r="R87" s="131"/>
      <c r="S87" s="88" t="s">
        <v>108</v>
      </c>
      <c r="T87" s="140"/>
    </row>
    <row r="88" spans="2:20" x14ac:dyDescent="0.25">
      <c r="B88" s="381" t="s">
        <v>134</v>
      </c>
      <c r="C88" s="382"/>
      <c r="D88" s="382"/>
      <c r="E88" s="382"/>
      <c r="G88" s="383" t="s">
        <v>135</v>
      </c>
      <c r="H88" s="383"/>
      <c r="I88" s="383"/>
      <c r="L88" s="133"/>
      <c r="N88" s="127"/>
      <c r="O88" s="133"/>
      <c r="Q88" s="127"/>
      <c r="R88" s="133"/>
      <c r="T88" s="127"/>
    </row>
    <row r="89" spans="2:20" x14ac:dyDescent="0.25">
      <c r="B89" s="381"/>
      <c r="C89" s="382"/>
      <c r="D89" s="382"/>
      <c r="E89" s="382"/>
      <c r="L89" s="83"/>
      <c r="N89" s="127"/>
      <c r="O89" s="83"/>
      <c r="Q89" s="127"/>
      <c r="R89" s="83"/>
      <c r="T89" s="127"/>
    </row>
    <row r="90" spans="2:20" x14ac:dyDescent="0.25">
      <c r="B90" s="129"/>
      <c r="L90" s="83"/>
      <c r="N90" s="127"/>
      <c r="O90" s="83"/>
      <c r="Q90" s="127"/>
      <c r="R90" s="83"/>
      <c r="T90" s="127"/>
    </row>
    <row r="91" spans="2:20" x14ac:dyDescent="0.25">
      <c r="B91" s="123" t="s">
        <v>136</v>
      </c>
      <c r="G91" s="380" t="s">
        <v>137</v>
      </c>
      <c r="H91" s="380"/>
      <c r="I91" s="380"/>
      <c r="J91" s="74" t="s">
        <v>126</v>
      </c>
      <c r="L91" s="131"/>
      <c r="M91" s="88" t="s">
        <v>108</v>
      </c>
      <c r="N91" s="140"/>
      <c r="O91" s="131"/>
      <c r="P91" s="88" t="s">
        <v>108</v>
      </c>
      <c r="Q91" s="140"/>
      <c r="R91" s="131"/>
      <c r="S91" s="88" t="s">
        <v>108</v>
      </c>
      <c r="T91" s="140"/>
    </row>
    <row r="92" spans="2:20" x14ac:dyDescent="0.25">
      <c r="B92" s="381" t="s">
        <v>138</v>
      </c>
      <c r="C92" s="382"/>
      <c r="D92" s="382"/>
      <c r="E92" s="382"/>
      <c r="G92" s="383" t="s">
        <v>135</v>
      </c>
      <c r="H92" s="383"/>
      <c r="I92" s="383"/>
      <c r="L92" s="133"/>
      <c r="N92" s="127"/>
      <c r="O92" s="133"/>
      <c r="Q92" s="127"/>
      <c r="R92" s="133"/>
      <c r="T92" s="127"/>
    </row>
    <row r="93" spans="2:20" x14ac:dyDescent="0.25">
      <c r="B93" s="381"/>
      <c r="C93" s="382"/>
      <c r="D93" s="382"/>
      <c r="E93" s="382"/>
      <c r="L93" s="83"/>
      <c r="N93" s="127"/>
      <c r="O93" s="83"/>
      <c r="Q93" s="127"/>
      <c r="R93" s="83"/>
      <c r="T93" s="127"/>
    </row>
    <row r="94" spans="2:20" x14ac:dyDescent="0.25">
      <c r="B94" s="129"/>
      <c r="L94" s="83"/>
      <c r="N94" s="127"/>
      <c r="O94" s="83"/>
      <c r="Q94" s="127"/>
      <c r="R94" s="83"/>
      <c r="T94" s="127"/>
    </row>
    <row r="95" spans="2:20" x14ac:dyDescent="0.25">
      <c r="B95" s="123" t="s">
        <v>139</v>
      </c>
      <c r="G95" s="380" t="s">
        <v>137</v>
      </c>
      <c r="H95" s="380"/>
      <c r="I95" s="380"/>
      <c r="J95" s="74" t="s">
        <v>126</v>
      </c>
      <c r="L95" s="131"/>
      <c r="M95" s="88" t="s">
        <v>108</v>
      </c>
      <c r="N95" s="142"/>
      <c r="O95" s="131"/>
      <c r="P95" s="88" t="s">
        <v>108</v>
      </c>
      <c r="Q95" s="142"/>
      <c r="R95" s="131"/>
      <c r="S95" s="88" t="s">
        <v>108</v>
      </c>
      <c r="T95" s="142"/>
    </row>
    <row r="96" spans="2:20" x14ac:dyDescent="0.25">
      <c r="B96" s="381" t="s">
        <v>140</v>
      </c>
      <c r="C96" s="382"/>
      <c r="D96" s="382"/>
      <c r="E96" s="382"/>
      <c r="G96" s="383" t="s">
        <v>141</v>
      </c>
      <c r="H96" s="383"/>
      <c r="I96" s="383"/>
      <c r="L96" s="132"/>
      <c r="N96" s="127"/>
      <c r="O96" s="132"/>
      <c r="Q96" s="127"/>
      <c r="R96" s="132"/>
      <c r="T96" s="127"/>
    </row>
    <row r="97" spans="2:20" x14ac:dyDescent="0.25">
      <c r="B97" s="381"/>
      <c r="C97" s="382"/>
      <c r="D97" s="382"/>
      <c r="E97" s="382"/>
      <c r="L97" s="83"/>
      <c r="N97" s="127"/>
      <c r="O97" s="83"/>
      <c r="Q97" s="127"/>
      <c r="R97" s="83"/>
      <c r="T97" s="127"/>
    </row>
    <row r="98" spans="2:20" x14ac:dyDescent="0.25">
      <c r="B98" s="129"/>
      <c r="L98" s="83"/>
      <c r="N98" s="127"/>
      <c r="O98" s="83"/>
      <c r="Q98" s="127"/>
      <c r="R98" s="83"/>
      <c r="T98" s="127"/>
    </row>
    <row r="99" spans="2:20" x14ac:dyDescent="0.25">
      <c r="B99" s="123" t="s">
        <v>142</v>
      </c>
      <c r="G99" s="380" t="s">
        <v>137</v>
      </c>
      <c r="H99" s="380"/>
      <c r="I99" s="380"/>
      <c r="J99" s="74" t="s">
        <v>126</v>
      </c>
      <c r="L99" s="131"/>
      <c r="M99" s="88" t="s">
        <v>108</v>
      </c>
      <c r="N99" s="142"/>
      <c r="O99" s="131"/>
      <c r="P99" s="88" t="s">
        <v>108</v>
      </c>
      <c r="Q99" s="142"/>
      <c r="R99" s="131"/>
      <c r="S99" s="88" t="s">
        <v>108</v>
      </c>
      <c r="T99" s="142"/>
    </row>
    <row r="100" spans="2:20" x14ac:dyDescent="0.25">
      <c r="B100" s="381" t="s">
        <v>143</v>
      </c>
      <c r="C100" s="382"/>
      <c r="D100" s="382"/>
      <c r="E100" s="382"/>
      <c r="F100" s="382"/>
      <c r="G100" s="383" t="s">
        <v>127</v>
      </c>
      <c r="H100" s="383"/>
      <c r="I100" s="383"/>
      <c r="L100" s="132"/>
      <c r="N100" s="89"/>
      <c r="O100" s="132"/>
      <c r="Q100" s="89"/>
      <c r="R100" s="132"/>
      <c r="T100" s="89"/>
    </row>
    <row r="101" spans="2:20" ht="14.4" thickBot="1" x14ac:dyDescent="0.3">
      <c r="B101" s="384"/>
      <c r="C101" s="385"/>
      <c r="D101" s="385"/>
      <c r="E101" s="385"/>
      <c r="F101" s="385"/>
      <c r="G101" s="135"/>
      <c r="H101" s="135"/>
      <c r="I101" s="135"/>
      <c r="J101" s="135"/>
      <c r="K101" s="135"/>
      <c r="L101" s="143"/>
      <c r="M101" s="144"/>
      <c r="N101" s="145"/>
      <c r="O101" s="143"/>
      <c r="P101" s="144"/>
      <c r="Q101" s="145"/>
      <c r="R101" s="143"/>
      <c r="S101" s="144"/>
      <c r="T101" s="145"/>
    </row>
    <row r="105" spans="2:20" s="10" customFormat="1" x14ac:dyDescent="0.25">
      <c r="B105" s="358">
        <v>2</v>
      </c>
      <c r="C105" s="359" t="s">
        <v>164</v>
      </c>
      <c r="D105" s="359"/>
      <c r="E105" s="359"/>
      <c r="F105" s="359"/>
      <c r="G105" s="359"/>
      <c r="H105" s="359"/>
      <c r="I105" s="359"/>
      <c r="J105" s="359"/>
      <c r="K105" s="359"/>
      <c r="L105" s="359"/>
      <c r="M105" s="359"/>
      <c r="N105" s="359"/>
    </row>
    <row r="106" spans="2:20" s="10" customFormat="1" x14ac:dyDescent="0.25">
      <c r="B106" s="358"/>
      <c r="C106" s="359"/>
      <c r="D106" s="359"/>
      <c r="E106" s="359"/>
      <c r="F106" s="359"/>
      <c r="G106" s="359"/>
      <c r="H106" s="359"/>
      <c r="I106" s="359"/>
      <c r="J106" s="359"/>
      <c r="K106" s="359"/>
      <c r="L106" s="359"/>
      <c r="M106" s="359"/>
      <c r="N106" s="359"/>
    </row>
    <row r="108" spans="2:20" ht="16.2" thickBot="1" x14ac:dyDescent="0.35">
      <c r="D108" s="377" t="s">
        <v>100</v>
      </c>
      <c r="E108" s="377"/>
      <c r="F108" s="377"/>
      <c r="G108" s="377"/>
      <c r="H108" s="377"/>
      <c r="I108" s="377" t="s">
        <v>101</v>
      </c>
      <c r="J108" s="377"/>
      <c r="K108" s="377"/>
      <c r="L108" s="377"/>
      <c r="M108" s="377"/>
    </row>
    <row r="109" spans="2:20" ht="14.4" customHeight="1" thickTop="1" x14ac:dyDescent="0.25">
      <c r="C109" s="375" t="s">
        <v>68</v>
      </c>
      <c r="D109" s="378"/>
      <c r="E109" s="378"/>
      <c r="F109" s="378"/>
      <c r="G109" s="378"/>
      <c r="H109" s="378"/>
      <c r="I109" s="378"/>
      <c r="J109" s="378"/>
      <c r="K109" s="378"/>
      <c r="L109" s="378"/>
      <c r="M109" s="378"/>
    </row>
    <row r="110" spans="2:20" x14ac:dyDescent="0.25">
      <c r="C110" s="375"/>
      <c r="D110" s="379"/>
      <c r="E110" s="379"/>
      <c r="F110" s="379"/>
      <c r="G110" s="379"/>
      <c r="H110" s="379"/>
      <c r="I110" s="379"/>
      <c r="J110" s="379"/>
      <c r="K110" s="379"/>
      <c r="L110" s="379"/>
      <c r="M110" s="379"/>
    </row>
    <row r="111" spans="2:20" x14ac:dyDescent="0.25">
      <c r="C111" s="375" t="s">
        <v>69</v>
      </c>
      <c r="D111" s="379"/>
      <c r="E111" s="379"/>
      <c r="F111" s="379"/>
      <c r="G111" s="379"/>
      <c r="H111" s="379"/>
      <c r="I111" s="376"/>
      <c r="J111" s="376"/>
      <c r="K111" s="376"/>
      <c r="L111" s="376"/>
      <c r="M111" s="376"/>
    </row>
    <row r="112" spans="2:20" x14ac:dyDescent="0.25">
      <c r="C112" s="375"/>
      <c r="D112" s="379"/>
      <c r="E112" s="379"/>
      <c r="F112" s="379"/>
      <c r="G112" s="379"/>
      <c r="H112" s="379"/>
      <c r="I112" s="376"/>
      <c r="J112" s="376"/>
      <c r="K112" s="376"/>
      <c r="L112" s="376"/>
      <c r="M112" s="376"/>
    </row>
    <row r="113" spans="3:13" x14ac:dyDescent="0.25">
      <c r="C113" s="375" t="s">
        <v>70</v>
      </c>
      <c r="D113" s="376"/>
      <c r="E113" s="376"/>
      <c r="F113" s="376"/>
      <c r="G113" s="376"/>
      <c r="H113" s="376"/>
      <c r="I113" s="376"/>
      <c r="J113" s="376"/>
      <c r="K113" s="376"/>
      <c r="L113" s="376"/>
      <c r="M113" s="376"/>
    </row>
    <row r="114" spans="3:13" x14ac:dyDescent="0.25">
      <c r="C114" s="375"/>
      <c r="D114" s="376"/>
      <c r="E114" s="376"/>
      <c r="F114" s="376"/>
      <c r="G114" s="376"/>
      <c r="H114" s="376"/>
      <c r="I114" s="376"/>
      <c r="J114" s="376"/>
      <c r="K114" s="376"/>
      <c r="L114" s="376"/>
      <c r="M114" s="376"/>
    </row>
  </sheetData>
  <mergeCells count="71">
    <mergeCell ref="C6:O6"/>
    <mergeCell ref="G55:I55"/>
    <mergeCell ref="B4:O4"/>
    <mergeCell ref="B2:O2"/>
    <mergeCell ref="I17:K17"/>
    <mergeCell ref="I18:K18"/>
    <mergeCell ref="I19:K19"/>
    <mergeCell ref="I20:K20"/>
    <mergeCell ref="I21:K22"/>
    <mergeCell ref="L21:L22"/>
    <mergeCell ref="I15:K15"/>
    <mergeCell ref="I16:K16"/>
    <mergeCell ref="M21:M22"/>
    <mergeCell ref="N21:N22"/>
    <mergeCell ref="I23:K23"/>
    <mergeCell ref="I24:K24"/>
    <mergeCell ref="I25:K25"/>
    <mergeCell ref="I26:K26"/>
    <mergeCell ref="B8:B9"/>
    <mergeCell ref="C8:T9"/>
    <mergeCell ref="B105:B106"/>
    <mergeCell ref="C105:N106"/>
    <mergeCell ref="B54:E56"/>
    <mergeCell ref="G54:I54"/>
    <mergeCell ref="B59:E61"/>
    <mergeCell ref="G59:I59"/>
    <mergeCell ref="G60:I60"/>
    <mergeCell ref="G63:I63"/>
    <mergeCell ref="B49:T49"/>
    <mergeCell ref="B50:K50"/>
    <mergeCell ref="L50:N51"/>
    <mergeCell ref="O50:Q51"/>
    <mergeCell ref="R50:T51"/>
    <mergeCell ref="B51:K51"/>
    <mergeCell ref="B74:K74"/>
    <mergeCell ref="B77:E78"/>
    <mergeCell ref="G77:I77"/>
    <mergeCell ref="G78:I78"/>
    <mergeCell ref="B82:E83"/>
    <mergeCell ref="G82:I82"/>
    <mergeCell ref="G83:I83"/>
    <mergeCell ref="G64:I64"/>
    <mergeCell ref="G66:I66"/>
    <mergeCell ref="B67:E68"/>
    <mergeCell ref="G67:I67"/>
    <mergeCell ref="G70:I70"/>
    <mergeCell ref="B71:E72"/>
    <mergeCell ref="G71:I71"/>
    <mergeCell ref="G95:I95"/>
    <mergeCell ref="B96:E97"/>
    <mergeCell ref="G96:I96"/>
    <mergeCell ref="G99:I99"/>
    <mergeCell ref="B100:F101"/>
    <mergeCell ref="G100:I100"/>
    <mergeCell ref="G87:I87"/>
    <mergeCell ref="B88:E89"/>
    <mergeCell ref="G88:I88"/>
    <mergeCell ref="G91:I91"/>
    <mergeCell ref="B92:E93"/>
    <mergeCell ref="G92:I92"/>
    <mergeCell ref="C113:C114"/>
    <mergeCell ref="D113:H114"/>
    <mergeCell ref="I113:M114"/>
    <mergeCell ref="D108:H108"/>
    <mergeCell ref="I108:M108"/>
    <mergeCell ref="C109:C110"/>
    <mergeCell ref="D109:H110"/>
    <mergeCell ref="I109:M110"/>
    <mergeCell ref="C111:C112"/>
    <mergeCell ref="D111:H112"/>
    <mergeCell ref="I111:M1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PREGUNTA 1</vt:lpstr>
      <vt:lpstr>PREGUNTA 2</vt:lpstr>
      <vt:lpstr>PREGUNTA 3</vt:lpstr>
      <vt:lpstr>PREGUNTA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ESPINOZA FERNANDA VALENTINA</dc:creator>
  <cp:lastModifiedBy>Alex Roblero</cp:lastModifiedBy>
  <dcterms:created xsi:type="dcterms:W3CDTF">2025-10-13T06:21:38Z</dcterms:created>
  <dcterms:modified xsi:type="dcterms:W3CDTF">2026-02-18T17:08:45Z</dcterms:modified>
</cp:coreProperties>
</file>