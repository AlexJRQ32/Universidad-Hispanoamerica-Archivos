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0c914187626aa6b/Documentos/Universidad Hispanoamerica - Archivos/Finanzas/"/>
    </mc:Choice>
  </mc:AlternateContent>
  <xr:revisionPtr revIDLastSave="171" documentId="8_{EE003122-8E9A-4A4F-99EA-2889235EB0F2}" xr6:coauthVersionLast="47" xr6:coauthVersionMax="47" xr10:uidLastSave="{9F0C80A3-5CE1-46E0-BB53-032ED68BCD6D}"/>
  <bookViews>
    <workbookView xWindow="-108" yWindow="-108" windowWidth="23976" windowHeight="14016" activeTab="2" xr2:uid="{68188465-9D19-4A53-9FCA-15E81584F01B}"/>
  </bookViews>
  <sheets>
    <sheet name="Fórmula DuPont" sheetId="1" r:id="rId1"/>
    <sheet name="Práctica" sheetId="3" r:id="rId2"/>
    <sheet name="Fórmula DuPont modificada" sheetId="2" r:id="rId3"/>
    <sheet name="Solución DuPont Modificada 2014"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5" l="1"/>
  <c r="F40" i="5" s="1"/>
  <c r="F41" i="5"/>
  <c r="F51" i="5"/>
  <c r="D40" i="5"/>
  <c r="F22" i="5"/>
  <c r="F25" i="5" s="1"/>
  <c r="F27" i="5" s="1"/>
  <c r="F52" i="5" s="1"/>
  <c r="H25" i="5"/>
  <c r="M22" i="5"/>
  <c r="J22" i="5"/>
  <c r="F52" i="2"/>
  <c r="F41" i="2"/>
  <c r="F27" i="2"/>
  <c r="F51" i="2"/>
  <c r="D41" i="2"/>
  <c r="F40" i="2" s="1"/>
  <c r="D40" i="2"/>
  <c r="F25" i="2"/>
  <c r="J22" i="2"/>
  <c r="H25" i="2" s="1"/>
  <c r="M22" i="2"/>
  <c r="F32" i="1"/>
  <c r="F31" i="1"/>
  <c r="D32" i="1"/>
  <c r="D34" i="1" s="1"/>
  <c r="D31" i="1"/>
  <c r="F15" i="1"/>
  <c r="F14" i="1"/>
  <c r="F17" i="1" s="1"/>
  <c r="D15" i="1"/>
  <c r="D17" i="1" s="1"/>
  <c r="D14" i="1"/>
  <c r="G7" i="3"/>
  <c r="D22" i="3"/>
  <c r="B24" i="3" s="1"/>
  <c r="B22" i="3"/>
  <c r="D12" i="3"/>
  <c r="B14" i="3" s="1"/>
  <c r="B12" i="3"/>
  <c r="D10" i="3"/>
  <c r="D19" i="3"/>
  <c r="D9" i="3"/>
  <c r="D43" i="5" l="1"/>
  <c r="F54" i="5"/>
  <c r="F43" i="5"/>
  <c r="D45" i="5" s="1"/>
  <c r="F43" i="2"/>
  <c r="F54" i="2"/>
  <c r="F34" i="1"/>
  <c r="D36" i="1" s="1"/>
  <c r="D43" i="2"/>
  <c r="R57" i="3"/>
  <c r="R49" i="3"/>
  <c r="R45" i="3"/>
  <c r="R50" i="3" s="1"/>
  <c r="R52" i="3" s="1"/>
  <c r="S34" i="3"/>
  <c r="Q34" i="3"/>
  <c r="S24" i="3"/>
  <c r="S26" i="3" s="1"/>
  <c r="S36" i="3" s="1"/>
  <c r="Q24" i="3"/>
  <c r="Q26" i="3" s="1"/>
  <c r="S15" i="3"/>
  <c r="S17" i="3" s="1"/>
  <c r="S18" i="3" s="1"/>
  <c r="Q15" i="3"/>
  <c r="Q17" i="3" s="1"/>
  <c r="Q18" i="3" s="1"/>
  <c r="S11" i="3"/>
  <c r="Q11" i="3"/>
  <c r="D45" i="2" l="1"/>
  <c r="R54" i="3"/>
  <c r="R56" i="3" s="1"/>
  <c r="R53" i="3"/>
  <c r="Q36" i="3"/>
  <c r="D19" i="1" l="1"/>
</calcChain>
</file>

<file path=xl/sharedStrings.xml><?xml version="1.0" encoding="utf-8"?>
<sst xmlns="http://schemas.openxmlformats.org/spreadsheetml/2006/main" count="172" uniqueCount="79">
  <si>
    <t>Fórmula DuPont</t>
  </si>
  <si>
    <t xml:space="preserve">Rendimiento sobre activos: </t>
  </si>
  <si>
    <t>RSA=</t>
  </si>
  <si>
    <t>Ganancia disponible para los accionistas comunes</t>
  </si>
  <si>
    <t>x</t>
  </si>
  <si>
    <t>Ventas</t>
  </si>
  <si>
    <t>=</t>
  </si>
  <si>
    <t>Activos totales</t>
  </si>
  <si>
    <t>Calculando año 2015</t>
  </si>
  <si>
    <t>La fórmula DuPont permite que la empresa divida su rendimiento en los componentes utilidad sobre las ventas y eficiencia del uso de los activos. Por lo general, una empresa con un bajo margen de utilidad neta tiene una elevada rotación de los activos totales, lo cual deriva en un rendimiento razonablemente bueno sobre los activos totales. Es frecuente que también se presente la situación contraria.</t>
  </si>
  <si>
    <t>Calcule el año 2014</t>
  </si>
  <si>
    <t>Balance General ( en miles de dólares) Galletas Ricas S.A de 2022 al 31 de diciembre</t>
  </si>
  <si>
    <t>Realice el cálculo de los años 2021 y 2022</t>
  </si>
  <si>
    <t>Activos</t>
  </si>
  <si>
    <t>31 de diciembre</t>
  </si>
  <si>
    <t>Efectivo y valores negociables</t>
  </si>
  <si>
    <t>Cuentas por cobrar</t>
  </si>
  <si>
    <t>Inventarios</t>
  </si>
  <si>
    <t>Total de activos corrientes</t>
  </si>
  <si>
    <t>Terrenos y edificaciones</t>
  </si>
  <si>
    <t>Maquinaria y equipo, mobiliario y accesorios, vehículos y otros</t>
  </si>
  <si>
    <t>Total de activos fijos brutos (al costo)</t>
  </si>
  <si>
    <t xml:space="preserve">Menos: depreciación acumulada </t>
  </si>
  <si>
    <t>Activos fijos netos</t>
  </si>
  <si>
    <t>Total de Activos</t>
  </si>
  <si>
    <t>Pasivos y captial patrimonial de las accionistas</t>
  </si>
  <si>
    <t>Cuentas por pagar</t>
  </si>
  <si>
    <t>Documentos por pagar</t>
  </si>
  <si>
    <t>Cargos por pagar</t>
  </si>
  <si>
    <t>Total de pasivos corrientes</t>
  </si>
  <si>
    <t>Deuda a largo plazo</t>
  </si>
  <si>
    <t>Total Pasivos</t>
  </si>
  <si>
    <t>Acciones preferentes</t>
  </si>
  <si>
    <t>Acciones comunes $1,70 a la par, 100,000 acciones en circulación en  2022 y 2021</t>
  </si>
  <si>
    <t>Capital pagado en exceso del valor a la par de las acciones comunes</t>
  </si>
  <si>
    <t>Ganacias retenidas</t>
  </si>
  <si>
    <t>Total de capital patrimonial de los accionistas</t>
  </si>
  <si>
    <t>Total de pasivos y capital patrimonial de los accionistas</t>
  </si>
  <si>
    <t>Estado de pérdidas y ganancias ( en miles de dólares) Galletas Ricas S.A  de 2022 que finaliza el 31 de diciembre</t>
  </si>
  <si>
    <t>Ingreso por ventas</t>
  </si>
  <si>
    <t>Menos: costo de los bienes vendidos</t>
  </si>
  <si>
    <t>Utilidades brutas</t>
  </si>
  <si>
    <t>Menos gastos operativos</t>
  </si>
  <si>
    <t>Gastos de venta, administrativos y generales</t>
  </si>
  <si>
    <t>Gasto por depreciación</t>
  </si>
  <si>
    <t>Total de gastos operativos</t>
  </si>
  <si>
    <t>Utilidades antes de intereses en impuestos (UAII)</t>
  </si>
  <si>
    <t>Menos: gastos por intereses</t>
  </si>
  <si>
    <t>Ganancia netas antes de impuestos</t>
  </si>
  <si>
    <t>Menos: impuestos (tasa= 40%)</t>
  </si>
  <si>
    <t>Ganancia neta después de impuestos</t>
  </si>
  <si>
    <t>Menos: dividendos de acciones preferentes</t>
  </si>
  <si>
    <t>Ganancia disponibles para los accionistas comunes</t>
  </si>
  <si>
    <t>Ganancias por acción (GPA)*</t>
  </si>
  <si>
    <t>*Se cálcula:   ganancia disponible entre acciones en circulación, el resultado precio unitario por acción. $170,000/100,000= $1,70</t>
  </si>
  <si>
    <t>Fórmula DuPont modificada</t>
  </si>
  <si>
    <t xml:space="preserve">Rendimiento sobre el patrimonio: </t>
  </si>
  <si>
    <t>RSP=</t>
  </si>
  <si>
    <t>Capital en acciones comunes</t>
  </si>
  <si>
    <t xml:space="preserve">Para hacer el cálculo de esta fórmula se debe calcular el Capital Acciones Comunes </t>
  </si>
  <si>
    <t>Cómo calcular el Capital en Acciones Comunes</t>
  </si>
  <si>
    <t>Capital Acciones comunes=</t>
  </si>
  <si>
    <t>Total Capital patrimonial de los accionistas</t>
  </si>
  <si>
    <t>-</t>
  </si>
  <si>
    <t>Total acciones preferentes Q</t>
  </si>
  <si>
    <t>precio a la par/ valor nominal</t>
  </si>
  <si>
    <t>Cálcular el año 2015/ CAPITAL ACCIONES COMUNES</t>
  </si>
  <si>
    <t>Calculando año 2015/ RSP</t>
  </si>
  <si>
    <t>RAZON DEUDA-CAPITAL PATRIMONIAL=</t>
  </si>
  <si>
    <t>PASIVOS TOTALES</t>
  </si>
  <si>
    <t>CAPITAL ACCIONES COMUNES</t>
  </si>
  <si>
    <t xml:space="preserve">Interpretación: </t>
  </si>
  <si>
    <t>Por cada dólar invertido por los accionistas comunes en Bartlett Company, la empresa debe a sus acreedores más o menos $0.94 centavos</t>
  </si>
  <si>
    <t>Ventas 2021</t>
  </si>
  <si>
    <t>Ganancia disponible para accionistas comunes 2021</t>
  </si>
  <si>
    <t>Cálcular el año 2014/ CAPITAL ACCIONES COMUNES</t>
  </si>
  <si>
    <t>Calculando año 2014/ RSP</t>
  </si>
  <si>
    <t>Por cada dólar invertido por los accionistas comunes en Bartlett Company, la empresa debe a sus acreedores más o menos $0.895 centavos</t>
  </si>
  <si>
    <t>Capital Acciones comunes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</si>
</sst>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540A]#,##0.00"/>
    <numFmt numFmtId="165" formatCode="0.0%"/>
    <numFmt numFmtId="166" formatCode="_-[$$-409]* #,##0_ ;_-[$$-409]* \-#,##0\ ;_-[$$-409]* &quot;-&quot;??_ ;_-@_ "/>
    <numFmt numFmtId="167" formatCode="_-[$$-409]* #,##0.00_ ;_-[$$-409]* \-#,##0.00\ ;_-[$$-409]* &quot;-&quot;??_ ;_-@_ "/>
    <numFmt numFmtId="168" formatCode="_-[$$-540A]* #,##0.00_ ;_-[$$-540A]* \-#,##0.00\ ;_-[$$-540A]* &quot;-&quot;??_ ;_-@_ "/>
    <numFmt numFmtId="171" formatCode="_-&quot;₡&quot;* #,##0.000_-;\-&quot;₡&quot;* #,##0.000_-;_-&quot;₡&quot;* &quot;-&quot;??_-;_-@_-"/>
  </numFmts>
  <fonts count="13" x14ac:knownFonts="1">
    <font>
      <sz val="11"/>
      <color theme="1"/>
      <name val="Aptos Narrow"/>
      <family val="2"/>
      <scheme val="minor"/>
    </font>
    <font>
      <sz val="11"/>
      <color theme="1"/>
      <name val="Aptos Narrow"/>
      <family val="2"/>
      <scheme val="minor"/>
    </font>
    <font>
      <sz val="12"/>
      <color theme="1"/>
      <name val="Arial Nova"/>
      <family val="2"/>
    </font>
    <font>
      <b/>
      <sz val="18"/>
      <color theme="1"/>
      <name val="Arial Nova"/>
      <family val="2"/>
    </font>
    <font>
      <b/>
      <sz val="12"/>
      <color theme="1"/>
      <name val="Arial Nova"/>
      <family val="2"/>
    </font>
    <font>
      <b/>
      <sz val="12"/>
      <color rgb="FF0000CC"/>
      <name val="Arial Nova"/>
      <family val="2"/>
    </font>
    <font>
      <b/>
      <sz val="12"/>
      <color theme="0"/>
      <name val="Arial Nova"/>
      <family val="2"/>
    </font>
    <font>
      <sz val="12"/>
      <color rgb="FF000000"/>
      <name val="Arial Nova"/>
      <family val="2"/>
    </font>
    <font>
      <sz val="12"/>
      <color rgb="FFFF0000"/>
      <name val="Arial Nova"/>
      <family val="2"/>
    </font>
    <font>
      <b/>
      <sz val="12"/>
      <color theme="4"/>
      <name val="Arial Nova"/>
      <family val="2"/>
    </font>
    <font>
      <sz val="12"/>
      <name val="Arial Nova"/>
      <family val="2"/>
    </font>
    <font>
      <b/>
      <sz val="12"/>
      <name val="Arial Nova"/>
      <family val="2"/>
    </font>
    <font>
      <sz val="12"/>
      <color rgb="FF0000CC"/>
      <name val="Arial Nova"/>
      <family val="2"/>
    </font>
  </fonts>
  <fills count="6">
    <fill>
      <patternFill patternType="none"/>
    </fill>
    <fill>
      <patternFill patternType="gray125"/>
    </fill>
    <fill>
      <patternFill patternType="solid">
        <fgColor rgb="FFFFFFCC"/>
      </patternFill>
    </fill>
    <fill>
      <patternFill patternType="solid">
        <fgColor rgb="FFCCCCFF"/>
        <bgColor indexed="64"/>
      </patternFill>
    </fill>
    <fill>
      <patternFill patternType="solid">
        <fgColor rgb="FFCCFFCC"/>
        <bgColor indexed="64"/>
      </patternFill>
    </fill>
    <fill>
      <patternFill patternType="solid">
        <fgColor rgb="FF0000CC"/>
        <bgColor indexed="64"/>
      </patternFill>
    </fill>
  </fills>
  <borders count="41">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right/>
      <top/>
      <bottom style="thin">
        <color indexed="64"/>
      </bottom>
      <diagonal/>
    </border>
    <border>
      <left/>
      <right/>
      <top style="thin">
        <color indexed="64"/>
      </top>
      <bottom/>
      <diagonal/>
    </border>
    <border>
      <left style="medium">
        <color indexed="64"/>
      </left>
      <right style="thin">
        <color rgb="FFB2B2B2"/>
      </right>
      <top style="medium">
        <color indexed="64"/>
      </top>
      <bottom style="thin">
        <color rgb="FFB2B2B2"/>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top/>
      <bottom style="medium">
        <color rgb="FF000000"/>
      </bottom>
      <diagonal/>
    </border>
    <border>
      <left/>
      <right/>
      <top style="thin">
        <color rgb="FF000000"/>
      </top>
      <bottom style="double">
        <color rgb="FF000000"/>
      </bottom>
      <diagonal/>
    </border>
    <border>
      <left/>
      <right/>
      <top style="medium">
        <color rgb="FF000000"/>
      </top>
      <bottom style="medium">
        <color rgb="FF000000"/>
      </bottom>
      <diagonal/>
    </border>
    <border>
      <left/>
      <right/>
      <top style="thin">
        <color rgb="FF000000"/>
      </top>
      <bottom/>
      <diagonal/>
    </border>
    <border>
      <left/>
      <right/>
      <top/>
      <bottom style="double">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44" fontId="1" fillId="0" borderId="0" applyFont="0" applyFill="0" applyBorder="0" applyAlignment="0" applyProtection="0"/>
  </cellStyleXfs>
  <cellXfs count="123">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wrapText="1"/>
    </xf>
    <xf numFmtId="0" fontId="4" fillId="0" borderId="0" xfId="0" applyFont="1"/>
    <xf numFmtId="164" fontId="2" fillId="0" borderId="0" xfId="0" applyNumberFormat="1" applyFont="1"/>
    <xf numFmtId="0" fontId="2" fillId="0" borderId="17" xfId="0" applyFont="1" applyBorder="1"/>
    <xf numFmtId="0" fontId="2" fillId="0" borderId="18" xfId="0" applyFont="1" applyBorder="1"/>
    <xf numFmtId="0" fontId="4" fillId="0" borderId="20" xfId="0" applyFont="1" applyBorder="1"/>
    <xf numFmtId="166" fontId="2" fillId="0" borderId="0" xfId="0" applyNumberFormat="1" applyFont="1"/>
    <xf numFmtId="166" fontId="2" fillId="0" borderId="19" xfId="0" applyNumberFormat="1" applyFont="1" applyBorder="1"/>
    <xf numFmtId="166" fontId="2" fillId="0" borderId="21" xfId="0" applyNumberFormat="1" applyFont="1" applyBorder="1"/>
    <xf numFmtId="0" fontId="2" fillId="0" borderId="25" xfId="0" applyFont="1" applyBorder="1"/>
    <xf numFmtId="0" fontId="2" fillId="0" borderId="20" xfId="0" applyFont="1" applyBorder="1" applyAlignment="1">
      <alignment wrapText="1"/>
    </xf>
    <xf numFmtId="166" fontId="2" fillId="0" borderId="20" xfId="0" applyNumberFormat="1" applyFont="1" applyBorder="1"/>
    <xf numFmtId="0" fontId="2" fillId="0" borderId="26" xfId="0" applyFont="1" applyBorder="1"/>
    <xf numFmtId="167" fontId="2" fillId="0" borderId="0" xfId="0" applyNumberFormat="1" applyFont="1"/>
    <xf numFmtId="167" fontId="8" fillId="0" borderId="19" xfId="0" applyNumberFormat="1" applyFont="1" applyBorder="1"/>
    <xf numFmtId="167" fontId="8" fillId="0" borderId="0" xfId="0" applyNumberFormat="1" applyFont="1"/>
    <xf numFmtId="167" fontId="2" fillId="0" borderId="19" xfId="0" applyNumberFormat="1" applyFont="1" applyBorder="1"/>
    <xf numFmtId="167" fontId="2" fillId="0" borderId="21" xfId="0" applyNumberFormat="1" applyFont="1" applyBorder="1"/>
    <xf numFmtId="168" fontId="2" fillId="0" borderId="0" xfId="0" applyNumberFormat="1" applyFont="1" applyAlignment="1">
      <alignment horizontal="center"/>
    </xf>
    <xf numFmtId="168" fontId="2" fillId="0" borderId="3" xfId="0" applyNumberFormat="1" applyFont="1" applyBorder="1"/>
    <xf numFmtId="168" fontId="2" fillId="0" borderId="0" xfId="0" applyNumberFormat="1" applyFont="1"/>
    <xf numFmtId="0" fontId="2" fillId="0" borderId="28" xfId="0" applyFont="1" applyBorder="1"/>
    <xf numFmtId="0" fontId="2" fillId="0" borderId="30" xfId="0" applyFont="1" applyBorder="1"/>
    <xf numFmtId="0" fontId="2" fillId="0" borderId="13" xfId="0" applyFont="1" applyBorder="1"/>
    <xf numFmtId="168" fontId="10" fillId="3" borderId="0" xfId="0" applyNumberFormat="1" applyFont="1" applyFill="1"/>
    <xf numFmtId="0" fontId="2" fillId="0" borderId="0" xfId="0" applyFont="1" applyAlignment="1">
      <alignment vertical="center" wrapText="1"/>
    </xf>
    <xf numFmtId="0" fontId="2" fillId="0" borderId="4" xfId="0" applyFont="1" applyBorder="1" applyAlignment="1">
      <alignment horizontal="center"/>
    </xf>
    <xf numFmtId="0" fontId="2" fillId="0" borderId="3" xfId="0" applyFont="1" applyBorder="1" applyAlignment="1">
      <alignment horizontal="center"/>
    </xf>
    <xf numFmtId="0" fontId="3" fillId="0" borderId="2" xfId="0" applyFont="1" applyBorder="1" applyAlignment="1">
      <alignment horizontal="center"/>
    </xf>
    <xf numFmtId="0" fontId="4" fillId="0" borderId="27" xfId="0" applyFont="1" applyBorder="1" applyAlignment="1">
      <alignment horizontal="center" vertical="center" wrapText="1"/>
    </xf>
    <xf numFmtId="0" fontId="4" fillId="0" borderId="33" xfId="0" applyFont="1" applyBorder="1" applyAlignment="1">
      <alignment horizontal="center" vertical="center" wrapText="1"/>
    </xf>
    <xf numFmtId="0" fontId="2" fillId="0" borderId="28" xfId="0" applyFont="1" applyBorder="1" applyAlignment="1">
      <alignment horizontal="center" wrapText="1"/>
    </xf>
    <xf numFmtId="0" fontId="2" fillId="0" borderId="3" xfId="0" applyFont="1" applyBorder="1" applyAlignment="1">
      <alignment horizontal="center" wrapText="1"/>
    </xf>
    <xf numFmtId="0" fontId="2" fillId="0" borderId="28" xfId="0" applyFont="1" applyBorder="1" applyAlignment="1">
      <alignment horizontal="center" vertical="center"/>
    </xf>
    <xf numFmtId="0" fontId="2" fillId="0" borderId="0" xfId="0" applyFont="1" applyAlignment="1">
      <alignment horizontal="center" vertical="center"/>
    </xf>
    <xf numFmtId="0" fontId="2" fillId="0" borderId="29" xfId="0" applyFont="1" applyBorder="1" applyAlignment="1">
      <alignment horizontal="center" vertical="center"/>
    </xf>
    <xf numFmtId="0" fontId="2" fillId="0" borderId="3" xfId="0" applyFont="1" applyBorder="1" applyAlignment="1">
      <alignment horizontal="center" vertical="center"/>
    </xf>
    <xf numFmtId="0" fontId="2" fillId="0" borderId="32" xfId="0" applyFont="1" applyBorder="1" applyAlignment="1">
      <alignment horizontal="center" wrapText="1"/>
    </xf>
    <xf numFmtId="0" fontId="2" fillId="0" borderId="34" xfId="0" applyFont="1" applyBorder="1" applyAlignment="1">
      <alignment horizontal="center" wrapText="1"/>
    </xf>
    <xf numFmtId="0" fontId="2" fillId="0" borderId="4"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1" xfId="0" applyFont="1" applyBorder="1" applyAlignment="1">
      <alignment horizontal="center" vertical="center" wrapText="1"/>
    </xf>
    <xf numFmtId="0" fontId="5" fillId="0" borderId="0" xfId="0" applyFont="1" applyAlignment="1">
      <alignment horizontal="left"/>
    </xf>
    <xf numFmtId="0" fontId="11" fillId="3" borderId="27"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1" fillId="3" borderId="30"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2" fillId="0" borderId="28" xfId="0" applyFont="1" applyBorder="1" applyAlignment="1">
      <alignment horizontal="center" vertical="center" wrapText="1"/>
    </xf>
    <xf numFmtId="168" fontId="2" fillId="0" borderId="0" xfId="0" applyNumberFormat="1" applyFont="1" applyAlignment="1">
      <alignment horizontal="center"/>
    </xf>
    <xf numFmtId="0" fontId="4" fillId="0" borderId="0" xfId="0" applyFont="1" applyAlignment="1">
      <alignment horizontal="center" wrapText="1"/>
    </xf>
    <xf numFmtId="0" fontId="2" fillId="0" borderId="32" xfId="0" applyFont="1" applyBorder="1" applyAlignment="1">
      <alignment horizontal="center" vertical="center" wrapText="1"/>
    </xf>
    <xf numFmtId="43" fontId="2" fillId="0" borderId="0" xfId="1" applyFont="1" applyAlignment="1">
      <alignment horizontal="center"/>
    </xf>
    <xf numFmtId="0" fontId="12" fillId="0" borderId="0" xfId="0" applyFont="1" applyAlignment="1">
      <alignment horizontal="center" vertical="center" wrapText="1"/>
    </xf>
    <xf numFmtId="0" fontId="10" fillId="3" borderId="0" xfId="0" applyFont="1" applyFill="1" applyAlignment="1">
      <alignment horizontal="center" vertical="center" wrapText="1"/>
    </xf>
    <xf numFmtId="0" fontId="2" fillId="3" borderId="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0" borderId="3" xfId="0" applyFont="1" applyBorder="1" applyAlignment="1">
      <alignment horizontal="center"/>
    </xf>
    <xf numFmtId="0" fontId="2" fillId="0" borderId="0" xfId="0" applyFont="1" applyAlignment="1">
      <alignment horizontal="center"/>
    </xf>
    <xf numFmtId="0" fontId="5" fillId="0" borderId="0" xfId="0" applyFont="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4" xfId="0" applyFont="1" applyBorder="1" applyAlignment="1">
      <alignment horizontal="center"/>
    </xf>
    <xf numFmtId="0" fontId="4" fillId="0" borderId="0" xfId="0" applyFont="1" applyAlignment="1">
      <alignment horizontal="center" vertical="center" wrapText="1"/>
    </xf>
    <xf numFmtId="0" fontId="5" fillId="0" borderId="0" xfId="0" applyFont="1" applyAlignment="1">
      <alignment horizontal="center"/>
    </xf>
    <xf numFmtId="0" fontId="6" fillId="5" borderId="14"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18" xfId="0" applyFont="1" applyFill="1" applyBorder="1" applyAlignment="1">
      <alignment horizontal="center" vertical="center" wrapText="1"/>
    </xf>
    <xf numFmtId="0" fontId="4" fillId="0" borderId="0" xfId="0" applyFont="1" applyAlignment="1">
      <alignment horizontal="left"/>
    </xf>
    <xf numFmtId="0" fontId="4" fillId="0" borderId="20" xfId="0" applyFont="1" applyBorder="1" applyAlignment="1">
      <alignment horizontal="left"/>
    </xf>
    <xf numFmtId="0" fontId="4" fillId="0" borderId="19" xfId="0" applyFont="1" applyBorder="1" applyAlignment="1">
      <alignment horizontal="center"/>
    </xf>
    <xf numFmtId="0" fontId="2" fillId="0" borderId="0" xfId="0" applyFont="1" applyAlignment="1">
      <alignment horizontal="left"/>
    </xf>
    <xf numFmtId="0" fontId="2" fillId="0" borderId="0" xfId="0" applyFont="1" applyAlignment="1">
      <alignment horizontal="left" wrapText="1"/>
    </xf>
    <xf numFmtId="166" fontId="2" fillId="0" borderId="0" xfId="0" applyNumberFormat="1" applyFont="1" applyAlignment="1">
      <alignment horizontal="center"/>
    </xf>
    <xf numFmtId="166" fontId="2" fillId="0" borderId="19" xfId="0" applyNumberFormat="1" applyFont="1" applyBorder="1" applyAlignment="1">
      <alignment horizontal="center"/>
    </xf>
    <xf numFmtId="0" fontId="2" fillId="0" borderId="20" xfId="0" applyFont="1" applyBorder="1" applyAlignment="1">
      <alignment horizontal="center"/>
    </xf>
    <xf numFmtId="0" fontId="4" fillId="0" borderId="22" xfId="0" applyFont="1" applyBorder="1" applyAlignment="1">
      <alignment horizontal="left"/>
    </xf>
    <xf numFmtId="0" fontId="2" fillId="0" borderId="15" xfId="0" applyFont="1" applyBorder="1" applyAlignment="1">
      <alignment horizontal="left"/>
    </xf>
    <xf numFmtId="166" fontId="2" fillId="0" borderId="23" xfId="0" applyNumberFormat="1" applyFont="1" applyBorder="1" applyAlignment="1">
      <alignment horizontal="center"/>
    </xf>
    <xf numFmtId="166" fontId="2" fillId="0" borderId="24" xfId="0" applyNumberFormat="1" applyFont="1" applyBorder="1" applyAlignment="1">
      <alignment horizontal="center"/>
    </xf>
    <xf numFmtId="0" fontId="7" fillId="4" borderId="14" xfId="0" applyFont="1" applyFill="1" applyBorder="1" applyAlignment="1">
      <alignment horizontal="center" wrapText="1"/>
    </xf>
    <xf numFmtId="0" fontId="7" fillId="4" borderId="15" xfId="0" applyFont="1" applyFill="1" applyBorder="1" applyAlignment="1">
      <alignment horizontal="center" wrapText="1"/>
    </xf>
    <xf numFmtId="0" fontId="7" fillId="4" borderId="16" xfId="0" applyFont="1" applyFill="1" applyBorder="1" applyAlignment="1">
      <alignment horizontal="center" wrapText="1"/>
    </xf>
    <xf numFmtId="0" fontId="7" fillId="4" borderId="17" xfId="0" applyFont="1" applyFill="1" applyBorder="1" applyAlignment="1">
      <alignment horizontal="center" wrapText="1"/>
    </xf>
    <xf numFmtId="0" fontId="7" fillId="4" borderId="0" xfId="0" applyFont="1" applyFill="1" applyAlignment="1">
      <alignment horizontal="center" wrapText="1"/>
    </xf>
    <xf numFmtId="0" fontId="7" fillId="4" borderId="18" xfId="0" applyFont="1" applyFill="1" applyBorder="1" applyAlignment="1">
      <alignment horizontal="center" wrapText="1"/>
    </xf>
    <xf numFmtId="0" fontId="2" fillId="0" borderId="0" xfId="0" applyFont="1" applyAlignment="1">
      <alignment horizontal="left" vertical="center" wrapText="1"/>
    </xf>
    <xf numFmtId="0" fontId="2" fillId="0" borderId="20" xfId="0" applyFont="1" applyBorder="1" applyAlignment="1">
      <alignment horizontal="left" vertical="center" wrapText="1"/>
    </xf>
    <xf numFmtId="0" fontId="9" fillId="0" borderId="0" xfId="0" applyFont="1" applyAlignment="1">
      <alignment horizontal="left"/>
    </xf>
    <xf numFmtId="44" fontId="2" fillId="0" borderId="0" xfId="4" applyFont="1" applyAlignment="1">
      <alignment horizontal="center"/>
    </xf>
    <xf numFmtId="0" fontId="2" fillId="0" borderId="0" xfId="4" applyNumberFormat="1" applyFont="1" applyAlignment="1">
      <alignment horizontal="center"/>
    </xf>
    <xf numFmtId="44" fontId="2" fillId="0" borderId="3" xfId="4" applyFont="1" applyBorder="1" applyAlignment="1">
      <alignment horizontal="center"/>
    </xf>
    <xf numFmtId="165" fontId="2" fillId="0" borderId="0" xfId="2" applyNumberFormat="1" applyFont="1" applyAlignment="1">
      <alignment horizontal="center"/>
    </xf>
    <xf numFmtId="10" fontId="2" fillId="0" borderId="0" xfId="2" applyNumberFormat="1" applyFont="1" applyAlignment="1">
      <alignment horizontal="center"/>
    </xf>
    <xf numFmtId="10" fontId="4" fillId="0" borderId="36" xfId="2" applyNumberFormat="1" applyFont="1" applyBorder="1" applyAlignment="1">
      <alignment horizontal="center"/>
    </xf>
    <xf numFmtId="0" fontId="2" fillId="0" borderId="37" xfId="0" applyFont="1" applyBorder="1" applyAlignment="1">
      <alignment horizontal="center"/>
    </xf>
    <xf numFmtId="44" fontId="2" fillId="0" borderId="38" xfId="4" applyFont="1" applyBorder="1" applyAlignment="1">
      <alignment horizontal="center"/>
    </xf>
    <xf numFmtId="0" fontId="2" fillId="0" borderId="39" xfId="0" applyFont="1" applyBorder="1" applyAlignment="1">
      <alignment horizontal="center"/>
    </xf>
    <xf numFmtId="44" fontId="2" fillId="0" borderId="40" xfId="4" applyFont="1" applyBorder="1" applyAlignment="1">
      <alignment horizontal="center"/>
    </xf>
    <xf numFmtId="164" fontId="2" fillId="0" borderId="3" xfId="0" applyNumberFormat="1" applyFont="1" applyBorder="1" applyAlignment="1">
      <alignment horizontal="center"/>
    </xf>
    <xf numFmtId="164" fontId="2" fillId="0" borderId="0" xfId="0" applyNumberFormat="1" applyFont="1" applyAlignment="1">
      <alignment horizontal="center"/>
    </xf>
    <xf numFmtId="0" fontId="2" fillId="2" borderId="5" xfId="3" applyFont="1" applyBorder="1" applyAlignment="1">
      <alignment horizontal="center" wrapText="1"/>
    </xf>
    <xf numFmtId="0" fontId="2" fillId="2" borderId="6" xfId="3" applyFont="1" applyBorder="1" applyAlignment="1">
      <alignment horizontal="center" wrapText="1"/>
    </xf>
    <xf numFmtId="0" fontId="2" fillId="2" borderId="7" xfId="3" applyFont="1" applyBorder="1" applyAlignment="1">
      <alignment horizontal="center" wrapText="1"/>
    </xf>
    <xf numFmtId="0" fontId="2" fillId="2" borderId="8" xfId="3" applyFont="1" applyBorder="1" applyAlignment="1">
      <alignment horizontal="center" wrapText="1"/>
    </xf>
    <xf numFmtId="0" fontId="2" fillId="2" borderId="1" xfId="3" applyFont="1" applyAlignment="1">
      <alignment horizontal="center" wrapText="1"/>
    </xf>
    <xf numFmtId="0" fontId="2" fillId="2" borderId="9" xfId="3" applyFont="1" applyBorder="1" applyAlignment="1">
      <alignment horizontal="center" wrapText="1"/>
    </xf>
    <xf numFmtId="0" fontId="2" fillId="2" borderId="10" xfId="3" applyFont="1" applyBorder="1" applyAlignment="1">
      <alignment horizontal="center" wrapText="1"/>
    </xf>
    <xf numFmtId="0" fontId="2" fillId="2" borderId="11" xfId="3" applyFont="1" applyBorder="1" applyAlignment="1">
      <alignment horizontal="center" wrapText="1"/>
    </xf>
    <xf numFmtId="0" fontId="2" fillId="2" borderId="12" xfId="3" applyFont="1" applyBorder="1" applyAlignment="1">
      <alignment horizontal="center" wrapText="1"/>
    </xf>
    <xf numFmtId="164" fontId="2" fillId="3" borderId="0" xfId="0" applyNumberFormat="1" applyFont="1" applyFill="1" applyAlignment="1">
      <alignment horizontal="center"/>
    </xf>
    <xf numFmtId="171" fontId="12" fillId="0" borderId="0" xfId="4" applyNumberFormat="1" applyFont="1" applyAlignment="1">
      <alignment horizontal="center" wrapText="1"/>
    </xf>
    <xf numFmtId="0" fontId="4" fillId="0" borderId="0" xfId="0" applyFont="1" applyAlignment="1">
      <alignment horizontal="center"/>
    </xf>
    <xf numFmtId="0" fontId="12" fillId="0" borderId="0" xfId="0" applyFont="1" applyAlignment="1">
      <alignment horizontal="center"/>
    </xf>
  </cellXfs>
  <cellStyles count="5">
    <cellStyle name="Millares" xfId="1" builtinId="3"/>
    <cellStyle name="Moneda" xfId="4" builtinId="4"/>
    <cellStyle name="Normal" xfId="0" builtinId="0"/>
    <cellStyle name="Notas" xfId="3" builtinId="10"/>
    <cellStyle name="Porcentaje" xfId="2" builtinId="5"/>
  </cellStyles>
  <dxfs count="0"/>
  <tableStyles count="0" defaultTableStyle="TableStyleMedium2" defaultPivotStyle="PivotStyleLight16"/>
  <colors>
    <mruColors>
      <color rgb="FFCCCC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701040</xdr:colOff>
      <xdr:row>4</xdr:row>
      <xdr:rowOff>38100</xdr:rowOff>
    </xdr:from>
    <xdr:to>
      <xdr:col>23</xdr:col>
      <xdr:colOff>595038</xdr:colOff>
      <xdr:row>19</xdr:row>
      <xdr:rowOff>15496</xdr:rowOff>
    </xdr:to>
    <xdr:pic>
      <xdr:nvPicPr>
        <xdr:cNvPr id="2" name="Imagen 1">
          <a:extLst>
            <a:ext uri="{FF2B5EF4-FFF2-40B4-BE49-F238E27FC236}">
              <a16:creationId xmlns:a16="http://schemas.microsoft.com/office/drawing/2014/main" id="{E503B3CF-6CC0-7447-A048-63D8ACAAF03B}"/>
            </a:ext>
          </a:extLst>
        </xdr:cNvPr>
        <xdr:cNvPicPr>
          <a:picLocks noChangeAspect="1"/>
        </xdr:cNvPicPr>
      </xdr:nvPicPr>
      <xdr:blipFill>
        <a:blip xmlns:r="http://schemas.openxmlformats.org/officeDocument/2006/relationships" r:embed="rId1"/>
        <a:stretch>
          <a:fillRect/>
        </a:stretch>
      </xdr:blipFill>
      <xdr:spPr>
        <a:xfrm>
          <a:off x="11003280" y="937260"/>
          <a:ext cx="7818798" cy="2949196"/>
        </a:xfrm>
        <a:prstGeom prst="rect">
          <a:avLst/>
        </a:prstGeom>
      </xdr:spPr>
    </xdr:pic>
    <xdr:clientData/>
  </xdr:twoCellAnchor>
  <xdr:twoCellAnchor editAs="oneCell">
    <xdr:from>
      <xdr:col>14</xdr:col>
      <xdr:colOff>121920</xdr:colOff>
      <xdr:row>17</xdr:row>
      <xdr:rowOff>167640</xdr:rowOff>
    </xdr:from>
    <xdr:to>
      <xdr:col>21</xdr:col>
      <xdr:colOff>457710</xdr:colOff>
      <xdr:row>47</xdr:row>
      <xdr:rowOff>76708</xdr:rowOff>
    </xdr:to>
    <xdr:pic>
      <xdr:nvPicPr>
        <xdr:cNvPr id="3" name="Imagen 2">
          <a:extLst>
            <a:ext uri="{FF2B5EF4-FFF2-40B4-BE49-F238E27FC236}">
              <a16:creationId xmlns:a16="http://schemas.microsoft.com/office/drawing/2014/main" id="{1871B95E-4F99-6F71-25DF-BE02A0339030}"/>
            </a:ext>
          </a:extLst>
        </xdr:cNvPr>
        <xdr:cNvPicPr>
          <a:picLocks noChangeAspect="1"/>
        </xdr:cNvPicPr>
      </xdr:nvPicPr>
      <xdr:blipFill>
        <a:blip xmlns:r="http://schemas.openxmlformats.org/officeDocument/2006/relationships" r:embed="rId2"/>
        <a:stretch>
          <a:fillRect/>
        </a:stretch>
      </xdr:blipFill>
      <xdr:spPr>
        <a:xfrm>
          <a:off x="11673840" y="3642360"/>
          <a:ext cx="5883150" cy="5867908"/>
        </a:xfrm>
        <a:prstGeom prst="rect">
          <a:avLst/>
        </a:prstGeom>
      </xdr:spPr>
    </xdr:pic>
    <xdr:clientData/>
  </xdr:twoCellAnchor>
  <xdr:twoCellAnchor editAs="oneCell">
    <xdr:from>
      <xdr:col>8</xdr:col>
      <xdr:colOff>45720</xdr:colOff>
      <xdr:row>41</xdr:row>
      <xdr:rowOff>60960</xdr:rowOff>
    </xdr:from>
    <xdr:to>
      <xdr:col>14</xdr:col>
      <xdr:colOff>91856</xdr:colOff>
      <xdr:row>74</xdr:row>
      <xdr:rowOff>53906</xdr:rowOff>
    </xdr:to>
    <xdr:pic>
      <xdr:nvPicPr>
        <xdr:cNvPr id="4" name="Imagen 3">
          <a:extLst>
            <a:ext uri="{FF2B5EF4-FFF2-40B4-BE49-F238E27FC236}">
              <a16:creationId xmlns:a16="http://schemas.microsoft.com/office/drawing/2014/main" id="{A7C132E6-6017-23E4-5CEE-97279DCD85F0}"/>
            </a:ext>
          </a:extLst>
        </xdr:cNvPr>
        <xdr:cNvPicPr>
          <a:picLocks noChangeAspect="1"/>
        </xdr:cNvPicPr>
      </xdr:nvPicPr>
      <xdr:blipFill>
        <a:blip xmlns:r="http://schemas.openxmlformats.org/officeDocument/2006/relationships" r:embed="rId3"/>
        <a:stretch>
          <a:fillRect/>
        </a:stretch>
      </xdr:blipFill>
      <xdr:spPr>
        <a:xfrm>
          <a:off x="6842760" y="7101840"/>
          <a:ext cx="4801016" cy="65309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769620</xdr:colOff>
      <xdr:row>3</xdr:row>
      <xdr:rowOff>83820</xdr:rowOff>
    </xdr:from>
    <xdr:to>
      <xdr:col>22</xdr:col>
      <xdr:colOff>297620</xdr:colOff>
      <xdr:row>16</xdr:row>
      <xdr:rowOff>122149</xdr:rowOff>
    </xdr:to>
    <xdr:pic>
      <xdr:nvPicPr>
        <xdr:cNvPr id="2" name="Imagen 1">
          <a:extLst>
            <a:ext uri="{FF2B5EF4-FFF2-40B4-BE49-F238E27FC236}">
              <a16:creationId xmlns:a16="http://schemas.microsoft.com/office/drawing/2014/main" id="{BC4FF4FF-D37C-26F9-B78A-61CC3A5235E8}"/>
            </a:ext>
          </a:extLst>
        </xdr:cNvPr>
        <xdr:cNvPicPr>
          <a:picLocks noChangeAspect="1"/>
        </xdr:cNvPicPr>
      </xdr:nvPicPr>
      <xdr:blipFill>
        <a:blip xmlns:r="http://schemas.openxmlformats.org/officeDocument/2006/relationships" r:embed="rId1"/>
        <a:stretch>
          <a:fillRect/>
        </a:stretch>
      </xdr:blipFill>
      <xdr:spPr>
        <a:xfrm>
          <a:off x="13266420" y="777240"/>
          <a:ext cx="5075360" cy="2644369"/>
        </a:xfrm>
        <a:prstGeom prst="rect">
          <a:avLst/>
        </a:prstGeom>
      </xdr:spPr>
    </xdr:pic>
    <xdr:clientData/>
  </xdr:twoCellAnchor>
  <xdr:twoCellAnchor editAs="oneCell">
    <xdr:from>
      <xdr:col>20</xdr:col>
      <xdr:colOff>432435</xdr:colOff>
      <xdr:row>30</xdr:row>
      <xdr:rowOff>28575</xdr:rowOff>
    </xdr:from>
    <xdr:to>
      <xdr:col>27</xdr:col>
      <xdr:colOff>747270</xdr:colOff>
      <xdr:row>59</xdr:row>
      <xdr:rowOff>151003</xdr:rowOff>
    </xdr:to>
    <xdr:pic>
      <xdr:nvPicPr>
        <xdr:cNvPr id="3" name="Imagen 2">
          <a:extLst>
            <a:ext uri="{FF2B5EF4-FFF2-40B4-BE49-F238E27FC236}">
              <a16:creationId xmlns:a16="http://schemas.microsoft.com/office/drawing/2014/main" id="{BC98E987-E14E-4BE6-9EDE-4B646F5C380F}"/>
            </a:ext>
            <a:ext uri="{147F2762-F138-4A5C-976F-8EAC2B608ADB}">
              <a16:predDERef xmlns:a16="http://schemas.microsoft.com/office/drawing/2014/main" pred="{BC4FF4FF-D37C-26F9-B78A-61CC3A5235E8}"/>
            </a:ext>
          </a:extLst>
        </xdr:cNvPr>
        <xdr:cNvPicPr>
          <a:picLocks noChangeAspect="1"/>
        </xdr:cNvPicPr>
      </xdr:nvPicPr>
      <xdr:blipFill>
        <a:blip xmlns:r="http://schemas.openxmlformats.org/officeDocument/2006/relationships" r:embed="rId2"/>
        <a:stretch>
          <a:fillRect/>
        </a:stretch>
      </xdr:blipFill>
      <xdr:spPr>
        <a:xfrm>
          <a:off x="16643985" y="5895975"/>
          <a:ext cx="5715510" cy="5646928"/>
        </a:xfrm>
        <a:prstGeom prst="rect">
          <a:avLst/>
        </a:prstGeom>
      </xdr:spPr>
    </xdr:pic>
    <xdr:clientData/>
  </xdr:twoCellAnchor>
  <xdr:twoCellAnchor editAs="oneCell">
    <xdr:from>
      <xdr:col>13</xdr:col>
      <xdr:colOff>662940</xdr:colOff>
      <xdr:row>27</xdr:row>
      <xdr:rowOff>45720</xdr:rowOff>
    </xdr:from>
    <xdr:to>
      <xdr:col>19</xdr:col>
      <xdr:colOff>709077</xdr:colOff>
      <xdr:row>60</xdr:row>
      <xdr:rowOff>38666</xdr:rowOff>
    </xdr:to>
    <xdr:pic>
      <xdr:nvPicPr>
        <xdr:cNvPr id="4" name="Imagen 3">
          <a:extLst>
            <a:ext uri="{FF2B5EF4-FFF2-40B4-BE49-F238E27FC236}">
              <a16:creationId xmlns:a16="http://schemas.microsoft.com/office/drawing/2014/main" id="{4EF0DAC6-2A4C-4799-8B60-C1D379F8A80E}"/>
            </a:ext>
          </a:extLst>
        </xdr:cNvPr>
        <xdr:cNvPicPr>
          <a:picLocks noChangeAspect="1"/>
        </xdr:cNvPicPr>
      </xdr:nvPicPr>
      <xdr:blipFill>
        <a:blip xmlns:r="http://schemas.openxmlformats.org/officeDocument/2006/relationships" r:embed="rId3"/>
        <a:stretch>
          <a:fillRect/>
        </a:stretch>
      </xdr:blipFill>
      <xdr:spPr>
        <a:xfrm>
          <a:off x="11772900" y="5532120"/>
          <a:ext cx="4801016" cy="65309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769620</xdr:colOff>
      <xdr:row>3</xdr:row>
      <xdr:rowOff>83820</xdr:rowOff>
    </xdr:from>
    <xdr:to>
      <xdr:col>22</xdr:col>
      <xdr:colOff>297620</xdr:colOff>
      <xdr:row>16</xdr:row>
      <xdr:rowOff>122149</xdr:rowOff>
    </xdr:to>
    <xdr:pic>
      <xdr:nvPicPr>
        <xdr:cNvPr id="2" name="Imagen 1">
          <a:extLst>
            <a:ext uri="{FF2B5EF4-FFF2-40B4-BE49-F238E27FC236}">
              <a16:creationId xmlns:a16="http://schemas.microsoft.com/office/drawing/2014/main" id="{C6C9C2A1-4658-434B-8934-DF978F1D53E8}"/>
            </a:ext>
          </a:extLst>
        </xdr:cNvPr>
        <xdr:cNvPicPr>
          <a:picLocks noChangeAspect="1"/>
        </xdr:cNvPicPr>
      </xdr:nvPicPr>
      <xdr:blipFill>
        <a:blip xmlns:r="http://schemas.openxmlformats.org/officeDocument/2006/relationships" r:embed="rId1"/>
        <a:stretch>
          <a:fillRect/>
        </a:stretch>
      </xdr:blipFill>
      <xdr:spPr>
        <a:xfrm>
          <a:off x="14264640" y="777240"/>
          <a:ext cx="5075360" cy="2644369"/>
        </a:xfrm>
        <a:prstGeom prst="rect">
          <a:avLst/>
        </a:prstGeom>
      </xdr:spPr>
    </xdr:pic>
    <xdr:clientData/>
  </xdr:twoCellAnchor>
  <xdr:twoCellAnchor editAs="oneCell">
    <xdr:from>
      <xdr:col>20</xdr:col>
      <xdr:colOff>432435</xdr:colOff>
      <xdr:row>30</xdr:row>
      <xdr:rowOff>28575</xdr:rowOff>
    </xdr:from>
    <xdr:to>
      <xdr:col>27</xdr:col>
      <xdr:colOff>747270</xdr:colOff>
      <xdr:row>59</xdr:row>
      <xdr:rowOff>151003</xdr:rowOff>
    </xdr:to>
    <xdr:pic>
      <xdr:nvPicPr>
        <xdr:cNvPr id="3" name="Imagen 2">
          <a:extLst>
            <a:ext uri="{FF2B5EF4-FFF2-40B4-BE49-F238E27FC236}">
              <a16:creationId xmlns:a16="http://schemas.microsoft.com/office/drawing/2014/main" id="{BF4C7AF4-30AF-447F-B5EE-A7C04015BF60}"/>
            </a:ext>
            <a:ext uri="{147F2762-F138-4A5C-976F-8EAC2B608ADB}">
              <a16:predDERef xmlns:a16="http://schemas.microsoft.com/office/drawing/2014/main" pred="{BC4FF4FF-D37C-26F9-B78A-61CC3A5235E8}"/>
            </a:ext>
          </a:extLst>
        </xdr:cNvPr>
        <xdr:cNvPicPr>
          <a:picLocks noChangeAspect="1"/>
        </xdr:cNvPicPr>
      </xdr:nvPicPr>
      <xdr:blipFill>
        <a:blip xmlns:r="http://schemas.openxmlformats.org/officeDocument/2006/relationships" r:embed="rId2"/>
        <a:stretch>
          <a:fillRect/>
        </a:stretch>
      </xdr:blipFill>
      <xdr:spPr>
        <a:xfrm>
          <a:off x="17889855" y="6109335"/>
          <a:ext cx="5862195" cy="5867908"/>
        </a:xfrm>
        <a:prstGeom prst="rect">
          <a:avLst/>
        </a:prstGeom>
      </xdr:spPr>
    </xdr:pic>
    <xdr:clientData/>
  </xdr:twoCellAnchor>
  <xdr:twoCellAnchor editAs="oneCell">
    <xdr:from>
      <xdr:col>13</xdr:col>
      <xdr:colOff>662940</xdr:colOff>
      <xdr:row>27</xdr:row>
      <xdr:rowOff>45720</xdr:rowOff>
    </xdr:from>
    <xdr:to>
      <xdr:col>19</xdr:col>
      <xdr:colOff>709077</xdr:colOff>
      <xdr:row>60</xdr:row>
      <xdr:rowOff>38666</xdr:rowOff>
    </xdr:to>
    <xdr:pic>
      <xdr:nvPicPr>
        <xdr:cNvPr id="4" name="Imagen 3">
          <a:extLst>
            <a:ext uri="{FF2B5EF4-FFF2-40B4-BE49-F238E27FC236}">
              <a16:creationId xmlns:a16="http://schemas.microsoft.com/office/drawing/2014/main" id="{77BC7B8C-FEA9-459E-8DF3-116B90CD3767}"/>
            </a:ext>
          </a:extLst>
        </xdr:cNvPr>
        <xdr:cNvPicPr>
          <a:picLocks noChangeAspect="1"/>
        </xdr:cNvPicPr>
      </xdr:nvPicPr>
      <xdr:blipFill>
        <a:blip xmlns:r="http://schemas.openxmlformats.org/officeDocument/2006/relationships" r:embed="rId3"/>
        <a:stretch>
          <a:fillRect/>
        </a:stretch>
      </xdr:blipFill>
      <xdr:spPr>
        <a:xfrm>
          <a:off x="12573000" y="5532120"/>
          <a:ext cx="4801017" cy="65309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7D03-65AD-4C1C-9CE9-4F1EEFE78202}">
  <dimension ref="C3:N36"/>
  <sheetViews>
    <sheetView topLeftCell="A11" workbookViewId="0">
      <selection activeCell="G29" sqref="G29"/>
    </sheetView>
  </sheetViews>
  <sheetFormatPr baseColWidth="10" defaultColWidth="11.5546875" defaultRowHeight="15.6" x14ac:dyDescent="0.3"/>
  <cols>
    <col min="1" max="3" width="11.5546875" style="1"/>
    <col min="4" max="4" width="14.88671875" style="1" bestFit="1" customWidth="1"/>
    <col min="5" max="5" width="11.5546875" style="1"/>
    <col min="6" max="6" width="14.88671875" style="1" bestFit="1" customWidth="1"/>
    <col min="7" max="16384" width="11.5546875" style="1"/>
  </cols>
  <sheetData>
    <row r="3" spans="3:14" ht="23.4" thickBot="1" x14ac:dyDescent="0.45">
      <c r="C3" s="32" t="s">
        <v>0</v>
      </c>
      <c r="D3" s="32"/>
      <c r="E3" s="32"/>
      <c r="F3" s="32"/>
      <c r="G3" s="32"/>
      <c r="H3" s="32"/>
      <c r="I3" s="32"/>
      <c r="J3" s="32"/>
      <c r="K3" s="32"/>
      <c r="L3" s="32"/>
      <c r="M3" s="32"/>
      <c r="N3" s="32"/>
    </row>
    <row r="4" spans="3:14" ht="16.2" thickTop="1" x14ac:dyDescent="0.3"/>
    <row r="5" spans="3:14" x14ac:dyDescent="0.3">
      <c r="C5" s="5" t="s">
        <v>1</v>
      </c>
    </row>
    <row r="7" spans="3:14" ht="15.6" customHeight="1" x14ac:dyDescent="0.3">
      <c r="C7" s="69" t="s">
        <v>2</v>
      </c>
      <c r="D7" s="67" t="s">
        <v>3</v>
      </c>
      <c r="E7" s="67"/>
      <c r="F7" s="67"/>
      <c r="G7" s="38" t="s">
        <v>4</v>
      </c>
      <c r="H7" s="40" t="s">
        <v>5</v>
      </c>
      <c r="I7" s="40"/>
      <c r="K7" s="67" t="s">
        <v>3</v>
      </c>
      <c r="L7" s="67"/>
      <c r="M7" s="67"/>
    </row>
    <row r="8" spans="3:14" ht="15.6" customHeight="1" x14ac:dyDescent="0.3">
      <c r="C8" s="69"/>
      <c r="D8" s="36"/>
      <c r="E8" s="36"/>
      <c r="F8" s="36"/>
      <c r="G8" s="38"/>
      <c r="H8" s="40"/>
      <c r="I8" s="40"/>
      <c r="J8" s="1" t="s">
        <v>6</v>
      </c>
      <c r="K8" s="36"/>
      <c r="L8" s="36"/>
      <c r="M8" s="36"/>
    </row>
    <row r="9" spans="3:14" ht="15.6" customHeight="1" x14ac:dyDescent="0.3">
      <c r="C9" s="69"/>
      <c r="D9" s="64" t="s">
        <v>5</v>
      </c>
      <c r="E9" s="64"/>
      <c r="F9" s="64"/>
      <c r="H9" s="68" t="s">
        <v>7</v>
      </c>
      <c r="I9" s="68"/>
      <c r="K9" s="68" t="s">
        <v>7</v>
      </c>
      <c r="L9" s="68"/>
      <c r="M9" s="68"/>
    </row>
    <row r="12" spans="3:14" x14ac:dyDescent="0.3">
      <c r="C12" s="70" t="s">
        <v>8</v>
      </c>
      <c r="D12" s="70"/>
      <c r="E12" s="70"/>
      <c r="F12" s="70"/>
      <c r="G12" s="2"/>
      <c r="H12" s="2"/>
      <c r="I12" s="2"/>
      <c r="J12" s="2"/>
      <c r="K12" s="2"/>
    </row>
    <row r="13" spans="3:14" x14ac:dyDescent="0.3">
      <c r="C13" s="2"/>
      <c r="D13" s="2"/>
      <c r="E13" s="2"/>
      <c r="F13" s="2"/>
      <c r="G13" s="2"/>
      <c r="H13" s="2"/>
      <c r="I13" s="2"/>
      <c r="J13" s="2"/>
      <c r="K13" s="2"/>
    </row>
    <row r="14" spans="3:14" x14ac:dyDescent="0.3">
      <c r="C14" s="2" t="s">
        <v>2</v>
      </c>
      <c r="D14" s="108">
        <f>221000</f>
        <v>221000</v>
      </c>
      <c r="E14" s="2" t="s">
        <v>4</v>
      </c>
      <c r="F14" s="108">
        <f>D15</f>
        <v>3074000</v>
      </c>
      <c r="G14" s="2"/>
      <c r="H14" s="2"/>
      <c r="I14" s="2"/>
      <c r="J14" s="2"/>
      <c r="K14" s="2"/>
    </row>
    <row r="15" spans="3:14" x14ac:dyDescent="0.3">
      <c r="C15" s="2"/>
      <c r="D15" s="109">
        <f>3074000</f>
        <v>3074000</v>
      </c>
      <c r="E15" s="2"/>
      <c r="F15" s="109">
        <f>3597000</f>
        <v>3597000</v>
      </c>
      <c r="G15" s="2"/>
      <c r="H15" s="2"/>
      <c r="I15" s="2"/>
      <c r="J15" s="2"/>
      <c r="K15" s="2"/>
    </row>
    <row r="16" spans="3:14" x14ac:dyDescent="0.3">
      <c r="C16" s="2"/>
      <c r="D16" s="2"/>
      <c r="E16" s="2"/>
      <c r="F16" s="2"/>
      <c r="G16" s="2"/>
      <c r="H16" s="2"/>
      <c r="I16" s="2"/>
      <c r="J16" s="2"/>
      <c r="K16" s="2"/>
    </row>
    <row r="17" spans="3:11" x14ac:dyDescent="0.3">
      <c r="C17" s="2" t="s">
        <v>2</v>
      </c>
      <c r="D17" s="101">
        <f>+D14/D15</f>
        <v>7.1893298633702016E-2</v>
      </c>
      <c r="E17" s="2" t="s">
        <v>4</v>
      </c>
      <c r="F17" s="109">
        <f>+F14/F15</f>
        <v>0.85460105643591877</v>
      </c>
      <c r="G17" s="2"/>
      <c r="H17" s="2"/>
      <c r="I17" s="2"/>
      <c r="J17" s="2"/>
      <c r="K17" s="2"/>
    </row>
    <row r="18" spans="3:11" x14ac:dyDescent="0.3">
      <c r="C18" s="2"/>
      <c r="D18" s="2"/>
      <c r="E18" s="2"/>
      <c r="F18" s="2"/>
      <c r="G18" s="2"/>
      <c r="H18" s="2"/>
      <c r="I18" s="2"/>
      <c r="J18" s="2"/>
      <c r="K18" s="2"/>
    </row>
    <row r="19" spans="3:11" x14ac:dyDescent="0.3">
      <c r="C19" s="2" t="s">
        <v>2</v>
      </c>
      <c r="D19" s="101">
        <f>+D17*F17</f>
        <v>6.144008896302474E-2</v>
      </c>
      <c r="E19" s="2"/>
      <c r="F19" s="2"/>
      <c r="G19" s="2"/>
      <c r="H19" s="2"/>
      <c r="I19" s="2"/>
      <c r="J19" s="2"/>
      <c r="K19" s="2"/>
    </row>
    <row r="20" spans="3:11" x14ac:dyDescent="0.3">
      <c r="C20" s="2"/>
      <c r="D20" s="2"/>
      <c r="E20" s="2"/>
      <c r="F20" s="2"/>
      <c r="G20" s="2"/>
      <c r="H20" s="2"/>
      <c r="I20" s="2"/>
      <c r="J20" s="2"/>
      <c r="K20" s="2"/>
    </row>
    <row r="21" spans="3:11" ht="16.2" thickBot="1" x14ac:dyDescent="0.35">
      <c r="C21" s="2"/>
      <c r="D21" s="2"/>
      <c r="E21" s="2"/>
      <c r="F21" s="2"/>
      <c r="G21" s="2"/>
      <c r="H21" s="2"/>
      <c r="I21" s="2"/>
      <c r="J21" s="2"/>
      <c r="K21" s="2"/>
    </row>
    <row r="22" spans="3:11" ht="15.6" customHeight="1" x14ac:dyDescent="0.3">
      <c r="C22" s="110" t="s">
        <v>9</v>
      </c>
      <c r="D22" s="111"/>
      <c r="E22" s="111"/>
      <c r="F22" s="111"/>
      <c r="G22" s="111"/>
      <c r="H22" s="111"/>
      <c r="I22" s="111"/>
      <c r="J22" s="111"/>
      <c r="K22" s="112"/>
    </row>
    <row r="23" spans="3:11" x14ac:dyDescent="0.3">
      <c r="C23" s="113"/>
      <c r="D23" s="114"/>
      <c r="E23" s="114"/>
      <c r="F23" s="114"/>
      <c r="G23" s="114"/>
      <c r="H23" s="114"/>
      <c r="I23" s="114"/>
      <c r="J23" s="114"/>
      <c r="K23" s="115"/>
    </row>
    <row r="24" spans="3:11" x14ac:dyDescent="0.3">
      <c r="C24" s="113"/>
      <c r="D24" s="114"/>
      <c r="E24" s="114"/>
      <c r="F24" s="114"/>
      <c r="G24" s="114"/>
      <c r="H24" s="114"/>
      <c r="I24" s="114"/>
      <c r="J24" s="114"/>
      <c r="K24" s="115"/>
    </row>
    <row r="25" spans="3:11" ht="16.2" thickBot="1" x14ac:dyDescent="0.35">
      <c r="C25" s="116"/>
      <c r="D25" s="117"/>
      <c r="E25" s="117"/>
      <c r="F25" s="117"/>
      <c r="G25" s="117"/>
      <c r="H25" s="117"/>
      <c r="I25" s="117"/>
      <c r="J25" s="117"/>
      <c r="K25" s="118"/>
    </row>
    <row r="26" spans="3:11" x14ac:dyDescent="0.3">
      <c r="C26" s="2"/>
      <c r="D26" s="2"/>
      <c r="E26" s="2"/>
      <c r="F26" s="2"/>
      <c r="G26" s="2"/>
      <c r="H26" s="2"/>
      <c r="I26" s="2"/>
      <c r="J26" s="2"/>
      <c r="K26" s="2"/>
    </row>
    <row r="27" spans="3:11" x14ac:dyDescent="0.3">
      <c r="C27" s="2"/>
      <c r="D27" s="2"/>
      <c r="E27" s="2"/>
      <c r="F27" s="2"/>
      <c r="G27" s="2"/>
      <c r="H27" s="2"/>
      <c r="I27" s="2"/>
      <c r="J27" s="2"/>
      <c r="K27" s="2"/>
    </row>
    <row r="28" spans="3:11" x14ac:dyDescent="0.3">
      <c r="C28" s="2"/>
      <c r="D28" s="2"/>
      <c r="E28" s="2"/>
      <c r="F28" s="2"/>
      <c r="G28" s="2"/>
      <c r="H28" s="2"/>
      <c r="I28" s="2"/>
      <c r="J28" s="2"/>
      <c r="K28" s="2"/>
    </row>
    <row r="29" spans="3:11" x14ac:dyDescent="0.3">
      <c r="C29" s="70" t="s">
        <v>10</v>
      </c>
      <c r="D29" s="70"/>
      <c r="E29" s="70"/>
      <c r="F29" s="70"/>
      <c r="G29" s="2"/>
      <c r="H29" s="2"/>
      <c r="I29" s="2"/>
      <c r="J29" s="2"/>
      <c r="K29" s="2"/>
    </row>
    <row r="30" spans="3:11" x14ac:dyDescent="0.3">
      <c r="C30" s="2"/>
      <c r="D30" s="2"/>
      <c r="E30" s="2"/>
      <c r="F30" s="2"/>
      <c r="G30" s="2"/>
      <c r="H30" s="2"/>
      <c r="I30" s="2"/>
      <c r="J30" s="2"/>
      <c r="K30" s="2"/>
    </row>
    <row r="31" spans="3:11" x14ac:dyDescent="0.3">
      <c r="C31" s="2" t="s">
        <v>2</v>
      </c>
      <c r="D31" s="108">
        <f>138000</f>
        <v>138000</v>
      </c>
      <c r="E31" s="2" t="s">
        <v>4</v>
      </c>
      <c r="F31" s="108">
        <f>D32</f>
        <v>2567000</v>
      </c>
      <c r="G31" s="2"/>
      <c r="H31" s="2"/>
      <c r="I31" s="2"/>
      <c r="J31" s="2"/>
      <c r="K31" s="2"/>
    </row>
    <row r="32" spans="3:11" x14ac:dyDescent="0.3">
      <c r="C32" s="2"/>
      <c r="D32" s="109">
        <f>2567000</f>
        <v>2567000</v>
      </c>
      <c r="E32" s="2"/>
      <c r="F32" s="109">
        <f>3270000</f>
        <v>3270000</v>
      </c>
      <c r="G32" s="2"/>
      <c r="H32" s="2"/>
      <c r="I32" s="2"/>
      <c r="J32" s="2"/>
      <c r="K32" s="2"/>
    </row>
    <row r="33" spans="3:11" x14ac:dyDescent="0.3">
      <c r="C33" s="2"/>
      <c r="D33" s="2"/>
      <c r="E33" s="2"/>
      <c r="F33" s="2"/>
      <c r="G33" s="2"/>
      <c r="H33" s="2"/>
      <c r="I33" s="2"/>
      <c r="J33" s="2"/>
      <c r="K33" s="2"/>
    </row>
    <row r="34" spans="3:11" x14ac:dyDescent="0.3">
      <c r="C34" s="2" t="s">
        <v>2</v>
      </c>
      <c r="D34" s="101">
        <f>+D31/D32</f>
        <v>5.3759252045188936E-2</v>
      </c>
      <c r="E34" s="2" t="s">
        <v>4</v>
      </c>
      <c r="F34" s="109">
        <f>+F31/F32</f>
        <v>0.78501529051987773</v>
      </c>
      <c r="G34" s="2"/>
      <c r="H34" s="2"/>
      <c r="I34" s="2"/>
      <c r="J34" s="2"/>
      <c r="K34" s="2"/>
    </row>
    <row r="35" spans="3:11" x14ac:dyDescent="0.3">
      <c r="C35" s="2"/>
      <c r="D35" s="2"/>
      <c r="E35" s="2"/>
      <c r="F35" s="2"/>
      <c r="G35" s="2"/>
      <c r="H35" s="2"/>
      <c r="I35" s="2"/>
      <c r="J35" s="2"/>
      <c r="K35" s="2"/>
    </row>
    <row r="36" spans="3:11" x14ac:dyDescent="0.3">
      <c r="C36" s="2" t="s">
        <v>2</v>
      </c>
      <c r="D36" s="101">
        <f>+D34*F34</f>
        <v>4.2201834862385323E-2</v>
      </c>
      <c r="E36" s="2"/>
      <c r="F36" s="2"/>
      <c r="G36" s="2"/>
      <c r="H36" s="2"/>
      <c r="I36" s="2"/>
      <c r="J36" s="2"/>
      <c r="K36" s="2"/>
    </row>
  </sheetData>
  <mergeCells count="12">
    <mergeCell ref="C12:F12"/>
    <mergeCell ref="C29:F29"/>
    <mergeCell ref="C22:K25"/>
    <mergeCell ref="C3:N3"/>
    <mergeCell ref="D7:F8"/>
    <mergeCell ref="D9:F9"/>
    <mergeCell ref="H7:I8"/>
    <mergeCell ref="H9:I9"/>
    <mergeCell ref="G7:G8"/>
    <mergeCell ref="K7:M8"/>
    <mergeCell ref="K9:M9"/>
    <mergeCell ref="C7:C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D463-59C8-4124-A522-9DC3566EED30}">
  <dimension ref="B2:T60"/>
  <sheetViews>
    <sheetView zoomScaleNormal="100" workbookViewId="0">
      <selection activeCell="G11" sqref="G11"/>
    </sheetView>
  </sheetViews>
  <sheetFormatPr baseColWidth="10" defaultColWidth="11.5546875" defaultRowHeight="15.6" x14ac:dyDescent="0.3"/>
  <cols>
    <col min="1" max="1" width="11.5546875" style="1"/>
    <col min="2" max="2" width="18.6640625" style="1" bestFit="1" customWidth="1"/>
    <col min="3" max="3" width="11.5546875" style="1"/>
    <col min="4" max="4" width="17.21875" style="1" bestFit="1" customWidth="1"/>
    <col min="5" max="5" width="11.5546875" style="1"/>
    <col min="6" max="6" width="51.109375" style="1" bestFit="1" customWidth="1"/>
    <col min="7" max="7" width="11.5546875" style="1"/>
    <col min="8" max="8" width="16.5546875" style="1" bestFit="1" customWidth="1"/>
    <col min="9" max="17" width="11.5546875" style="1"/>
    <col min="18" max="18" width="12.6640625" style="1" bestFit="1" customWidth="1"/>
    <col min="19" max="16384" width="11.5546875" style="1"/>
  </cols>
  <sheetData>
    <row r="2" spans="2:20" ht="23.4" thickBot="1" x14ac:dyDescent="0.45">
      <c r="B2" s="32" t="s">
        <v>0</v>
      </c>
      <c r="C2" s="32"/>
      <c r="D2" s="32"/>
      <c r="E2" s="32"/>
      <c r="F2" s="32"/>
      <c r="G2" s="32"/>
      <c r="H2" s="32"/>
      <c r="I2" s="32"/>
      <c r="J2" s="32"/>
      <c r="K2" s="32"/>
      <c r="L2" s="32"/>
      <c r="M2" s="32"/>
    </row>
    <row r="3" spans="2:20" ht="16.8" thickTop="1" thickBot="1" x14ac:dyDescent="0.35"/>
    <row r="4" spans="2:20" x14ac:dyDescent="0.3">
      <c r="K4" s="71" t="s">
        <v>11</v>
      </c>
      <c r="L4" s="72"/>
      <c r="M4" s="72"/>
      <c r="N4" s="72"/>
      <c r="O4" s="72"/>
      <c r="P4" s="72"/>
      <c r="Q4" s="72"/>
      <c r="R4" s="72"/>
      <c r="S4" s="72"/>
      <c r="T4" s="73"/>
    </row>
    <row r="5" spans="2:20" x14ac:dyDescent="0.3">
      <c r="B5" s="5" t="s">
        <v>12</v>
      </c>
      <c r="K5" s="74"/>
      <c r="L5" s="75"/>
      <c r="M5" s="75"/>
      <c r="N5" s="75"/>
      <c r="O5" s="75"/>
      <c r="P5" s="75"/>
      <c r="Q5" s="75"/>
      <c r="R5" s="75"/>
      <c r="S5" s="75"/>
      <c r="T5" s="76"/>
    </row>
    <row r="6" spans="2:20" x14ac:dyDescent="0.3">
      <c r="F6" s="104" t="s">
        <v>73</v>
      </c>
      <c r="G6" s="30" t="s">
        <v>6</v>
      </c>
      <c r="H6" s="105">
        <v>1800000</v>
      </c>
      <c r="K6" s="7"/>
      <c r="L6" s="77" t="s">
        <v>13</v>
      </c>
      <c r="M6" s="77"/>
      <c r="N6" s="77"/>
      <c r="O6" s="77"/>
      <c r="P6" s="77"/>
      <c r="Q6" s="79" t="s">
        <v>14</v>
      </c>
      <c r="R6" s="79"/>
      <c r="S6" s="79"/>
      <c r="T6" s="8"/>
    </row>
    <row r="7" spans="2:20" ht="16.2" thickBot="1" x14ac:dyDescent="0.35">
      <c r="B7" s="2">
        <v>2021</v>
      </c>
      <c r="F7" s="106" t="s">
        <v>74</v>
      </c>
      <c r="G7" s="31" t="str">
        <f>G6</f>
        <v>=</v>
      </c>
      <c r="H7" s="107">
        <v>113000</v>
      </c>
      <c r="K7" s="7"/>
      <c r="L7" s="78"/>
      <c r="M7" s="78"/>
      <c r="N7" s="78"/>
      <c r="O7" s="78"/>
      <c r="P7" s="78"/>
      <c r="Q7" s="9">
        <v>2022</v>
      </c>
      <c r="R7" s="9"/>
      <c r="S7" s="9">
        <v>2021</v>
      </c>
      <c r="T7" s="8"/>
    </row>
    <row r="8" spans="2:20" x14ac:dyDescent="0.3">
      <c r="B8" s="2"/>
      <c r="C8" s="2"/>
      <c r="D8" s="2"/>
      <c r="K8" s="7"/>
      <c r="L8" s="80" t="s">
        <v>15</v>
      </c>
      <c r="M8" s="80"/>
      <c r="N8" s="80"/>
      <c r="O8" s="80"/>
      <c r="P8" s="80"/>
      <c r="Q8" s="10">
        <v>1200</v>
      </c>
      <c r="R8" s="10"/>
      <c r="S8" s="10">
        <v>1000</v>
      </c>
      <c r="T8" s="8"/>
    </row>
    <row r="9" spans="2:20" x14ac:dyDescent="0.3">
      <c r="B9" s="100">
        <v>113000</v>
      </c>
      <c r="C9" s="98" t="s">
        <v>4</v>
      </c>
      <c r="D9" s="100">
        <f>B10</f>
        <v>1800000</v>
      </c>
      <c r="K9" s="7"/>
      <c r="L9" s="80" t="s">
        <v>16</v>
      </c>
      <c r="M9" s="80"/>
      <c r="N9" s="80"/>
      <c r="O9" s="80"/>
      <c r="P9" s="80"/>
      <c r="Q9" s="10">
        <v>500</v>
      </c>
      <c r="R9" s="10"/>
      <c r="S9" s="10">
        <v>600</v>
      </c>
      <c r="T9" s="8"/>
    </row>
    <row r="10" spans="2:20" x14ac:dyDescent="0.3">
      <c r="B10" s="98">
        <v>1800000</v>
      </c>
      <c r="C10" s="98"/>
      <c r="D10" s="98">
        <f>3300000</f>
        <v>3300000</v>
      </c>
      <c r="K10" s="7"/>
      <c r="L10" s="80" t="s">
        <v>17</v>
      </c>
      <c r="M10" s="80"/>
      <c r="N10" s="80"/>
      <c r="O10" s="80"/>
      <c r="P10" s="80"/>
      <c r="Q10" s="11">
        <v>700</v>
      </c>
      <c r="R10" s="10"/>
      <c r="S10" s="11">
        <v>800</v>
      </c>
      <c r="T10" s="8"/>
    </row>
    <row r="11" spans="2:20" x14ac:dyDescent="0.3">
      <c r="B11" s="98"/>
      <c r="C11" s="98"/>
      <c r="D11" s="98"/>
      <c r="K11" s="7"/>
      <c r="L11" s="64" t="s">
        <v>18</v>
      </c>
      <c r="M11" s="64"/>
      <c r="N11" s="64"/>
      <c r="O11" s="64"/>
      <c r="P11" s="64"/>
      <c r="Q11" s="11">
        <f>+Q8+Q9+Q10</f>
        <v>2400</v>
      </c>
      <c r="R11" s="10"/>
      <c r="S11" s="11">
        <f>+S8+S9+S10</f>
        <v>2400</v>
      </c>
      <c r="T11" s="8"/>
    </row>
    <row r="12" spans="2:20" x14ac:dyDescent="0.3">
      <c r="B12" s="102">
        <f>B9/B10</f>
        <v>6.277777777777778E-2</v>
      </c>
      <c r="C12" s="98" t="s">
        <v>4</v>
      </c>
      <c r="D12" s="98">
        <f>D9/D10</f>
        <v>0.54545454545454541</v>
      </c>
      <c r="K12" s="7"/>
      <c r="L12" s="80" t="s">
        <v>19</v>
      </c>
      <c r="M12" s="80"/>
      <c r="N12" s="80"/>
      <c r="O12" s="80"/>
      <c r="P12" s="80"/>
      <c r="Q12" s="10">
        <v>1100</v>
      </c>
      <c r="R12" s="10"/>
      <c r="S12" s="10">
        <v>1050</v>
      </c>
      <c r="T12" s="8"/>
    </row>
    <row r="13" spans="2:20" ht="16.2" thickBot="1" x14ac:dyDescent="0.35">
      <c r="B13" s="98"/>
      <c r="C13" s="98"/>
      <c r="D13" s="98"/>
      <c r="K13" s="7"/>
      <c r="L13" s="81" t="s">
        <v>20</v>
      </c>
      <c r="M13" s="81"/>
      <c r="N13" s="81"/>
      <c r="O13" s="81"/>
      <c r="P13" s="81"/>
      <c r="Q13" s="82">
        <v>1100</v>
      </c>
      <c r="R13" s="10"/>
      <c r="S13" s="82">
        <v>1200</v>
      </c>
      <c r="T13" s="8"/>
    </row>
    <row r="14" spans="2:20" ht="16.2" thickBot="1" x14ac:dyDescent="0.35">
      <c r="B14" s="103">
        <f>B12*D12</f>
        <v>3.4242424242424241E-2</v>
      </c>
      <c r="C14" s="98"/>
      <c r="D14" s="98"/>
      <c r="K14" s="7"/>
      <c r="L14" s="81"/>
      <c r="M14" s="81"/>
      <c r="N14" s="81"/>
      <c r="O14" s="81"/>
      <c r="P14" s="81"/>
      <c r="Q14" s="83"/>
      <c r="R14" s="10"/>
      <c r="S14" s="83"/>
      <c r="T14" s="8"/>
    </row>
    <row r="15" spans="2:20" x14ac:dyDescent="0.3">
      <c r="B15" s="2"/>
      <c r="C15" s="2"/>
      <c r="D15" s="2"/>
      <c r="K15" s="7"/>
      <c r="L15" s="67" t="s">
        <v>21</v>
      </c>
      <c r="M15" s="67"/>
      <c r="N15" s="67"/>
      <c r="O15" s="67"/>
      <c r="P15" s="67"/>
      <c r="Q15" s="10">
        <f>+Q12+Q13</f>
        <v>2200</v>
      </c>
      <c r="R15" s="10"/>
      <c r="S15" s="10">
        <f>+S12+S13</f>
        <v>2250</v>
      </c>
      <c r="T15" s="8"/>
    </row>
    <row r="16" spans="2:20" x14ac:dyDescent="0.3">
      <c r="B16" s="2"/>
      <c r="C16" s="2"/>
      <c r="D16" s="2"/>
      <c r="K16" s="7"/>
      <c r="L16" s="80" t="s">
        <v>22</v>
      </c>
      <c r="M16" s="80"/>
      <c r="N16" s="80"/>
      <c r="O16" s="80"/>
      <c r="P16" s="80"/>
      <c r="Q16" s="11">
        <v>1150</v>
      </c>
      <c r="R16" s="10"/>
      <c r="S16" s="11">
        <v>1350</v>
      </c>
      <c r="T16" s="8"/>
    </row>
    <row r="17" spans="2:20" x14ac:dyDescent="0.3">
      <c r="B17" s="99">
        <v>2022</v>
      </c>
      <c r="C17" s="98"/>
      <c r="D17" s="98"/>
      <c r="K17" s="7"/>
      <c r="L17" s="64" t="s">
        <v>23</v>
      </c>
      <c r="M17" s="64"/>
      <c r="N17" s="64"/>
      <c r="O17" s="64"/>
      <c r="P17" s="64"/>
      <c r="Q17" s="10">
        <f>+Q15-Q16</f>
        <v>1050</v>
      </c>
      <c r="R17" s="10"/>
      <c r="S17" s="10">
        <f>+S15-S16</f>
        <v>900</v>
      </c>
      <c r="T17" s="8"/>
    </row>
    <row r="18" spans="2:20" ht="16.2" thickBot="1" x14ac:dyDescent="0.35">
      <c r="B18" s="98"/>
      <c r="C18" s="98"/>
      <c r="D18" s="98"/>
      <c r="K18" s="7"/>
      <c r="L18" s="64" t="s">
        <v>24</v>
      </c>
      <c r="M18" s="64"/>
      <c r="N18" s="64"/>
      <c r="O18" s="64"/>
      <c r="P18" s="64"/>
      <c r="Q18" s="12">
        <f>++Q11+Q17</f>
        <v>3450</v>
      </c>
      <c r="R18" s="10"/>
      <c r="S18" s="12">
        <f>+S11+S17</f>
        <v>3300</v>
      </c>
      <c r="T18" s="8"/>
    </row>
    <row r="19" spans="2:20" ht="16.8" thickTop="1" thickBot="1" x14ac:dyDescent="0.35">
      <c r="B19" s="100">
        <v>233000</v>
      </c>
      <c r="C19" s="98" t="s">
        <v>4</v>
      </c>
      <c r="D19" s="100">
        <f>B20</f>
        <v>2000000</v>
      </c>
      <c r="K19" s="7"/>
      <c r="L19" s="84"/>
      <c r="M19" s="84"/>
      <c r="N19" s="84"/>
      <c r="O19" s="84"/>
      <c r="P19" s="84"/>
      <c r="Q19" s="84"/>
      <c r="R19" s="84"/>
      <c r="S19" s="84"/>
      <c r="T19" s="8"/>
    </row>
    <row r="20" spans="2:20" ht="16.2" thickBot="1" x14ac:dyDescent="0.35">
      <c r="B20" s="98">
        <v>2000000</v>
      </c>
      <c r="C20" s="98"/>
      <c r="D20" s="98">
        <v>3450000</v>
      </c>
      <c r="K20" s="7"/>
      <c r="L20" s="85" t="s">
        <v>25</v>
      </c>
      <c r="M20" s="85"/>
      <c r="N20" s="85"/>
      <c r="O20" s="85"/>
      <c r="P20" s="85"/>
      <c r="Q20" s="85"/>
      <c r="R20" s="85"/>
      <c r="S20" s="85"/>
      <c r="T20" s="8"/>
    </row>
    <row r="21" spans="2:20" x14ac:dyDescent="0.3">
      <c r="B21" s="98"/>
      <c r="C21" s="98"/>
      <c r="D21" s="98"/>
      <c r="K21" s="7"/>
      <c r="L21" s="86" t="s">
        <v>26</v>
      </c>
      <c r="M21" s="86"/>
      <c r="N21" s="86"/>
      <c r="O21" s="86"/>
      <c r="P21" s="86"/>
      <c r="Q21" s="10">
        <v>800</v>
      </c>
      <c r="R21" s="10"/>
      <c r="S21" s="10">
        <v>900</v>
      </c>
      <c r="T21" s="8"/>
    </row>
    <row r="22" spans="2:20" x14ac:dyDescent="0.3">
      <c r="B22" s="102">
        <f>B19/B20</f>
        <v>0.11650000000000001</v>
      </c>
      <c r="C22" s="98" t="s">
        <v>4</v>
      </c>
      <c r="D22" s="98">
        <f>D19/D20</f>
        <v>0.57971014492753625</v>
      </c>
      <c r="K22" s="7"/>
      <c r="L22" s="81" t="s">
        <v>27</v>
      </c>
      <c r="M22" s="81"/>
      <c r="N22" s="81"/>
      <c r="O22" s="81"/>
      <c r="P22" s="81"/>
      <c r="Q22" s="10">
        <v>700</v>
      </c>
      <c r="R22" s="10"/>
      <c r="S22" s="10">
        <v>800</v>
      </c>
      <c r="T22" s="8"/>
    </row>
    <row r="23" spans="2:20" ht="16.2" thickBot="1" x14ac:dyDescent="0.35">
      <c r="B23" s="2"/>
      <c r="C23" s="2"/>
      <c r="D23" s="2"/>
      <c r="K23" s="7"/>
      <c r="L23" s="80" t="s">
        <v>28</v>
      </c>
      <c r="M23" s="80"/>
      <c r="N23" s="80"/>
      <c r="O23" s="80"/>
      <c r="P23" s="80"/>
      <c r="Q23" s="11">
        <v>50</v>
      </c>
      <c r="R23" s="10"/>
      <c r="S23" s="11">
        <v>100</v>
      </c>
      <c r="T23" s="8"/>
    </row>
    <row r="24" spans="2:20" ht="16.2" thickBot="1" x14ac:dyDescent="0.35">
      <c r="B24" s="103">
        <f>B22*D22</f>
        <v>6.7536231884057982E-2</v>
      </c>
      <c r="C24" s="2"/>
      <c r="D24" s="2"/>
      <c r="K24" s="7"/>
      <c r="L24" s="64" t="s">
        <v>29</v>
      </c>
      <c r="M24" s="64"/>
      <c r="N24" s="64"/>
      <c r="O24" s="64"/>
      <c r="P24" s="64"/>
      <c r="Q24" s="10">
        <f>+Q21+Q22+Q23</f>
        <v>1550</v>
      </c>
      <c r="R24" s="10"/>
      <c r="S24" s="10">
        <f>+S21+S22+S23</f>
        <v>1800</v>
      </c>
      <c r="T24" s="8"/>
    </row>
    <row r="25" spans="2:20" x14ac:dyDescent="0.3">
      <c r="B25" s="2"/>
      <c r="C25" s="2"/>
      <c r="D25" s="2"/>
      <c r="K25" s="7"/>
      <c r="L25" s="80" t="s">
        <v>30</v>
      </c>
      <c r="M25" s="80"/>
      <c r="N25" s="80"/>
      <c r="O25" s="80"/>
      <c r="P25" s="80"/>
      <c r="Q25" s="10">
        <v>700</v>
      </c>
      <c r="R25" s="10"/>
      <c r="S25" s="10">
        <v>500</v>
      </c>
      <c r="T25" s="8"/>
    </row>
    <row r="26" spans="2:20" x14ac:dyDescent="0.3">
      <c r="K26" s="7"/>
      <c r="L26" s="64" t="s">
        <v>31</v>
      </c>
      <c r="M26" s="64"/>
      <c r="N26" s="64"/>
      <c r="O26" s="64"/>
      <c r="P26" s="64"/>
      <c r="Q26" s="11">
        <f>+Q24+Q25</f>
        <v>2250</v>
      </c>
      <c r="R26" s="10"/>
      <c r="S26" s="11">
        <f>+S24+S25</f>
        <v>2300</v>
      </c>
      <c r="T26" s="8"/>
    </row>
    <row r="27" spans="2:20" x14ac:dyDescent="0.3">
      <c r="K27" s="7"/>
      <c r="L27" s="80" t="s">
        <v>32</v>
      </c>
      <c r="M27" s="80"/>
      <c r="N27" s="80"/>
      <c r="O27" s="80"/>
      <c r="P27" s="80"/>
      <c r="Q27" s="10">
        <v>100</v>
      </c>
      <c r="R27" s="10"/>
      <c r="S27" s="10">
        <v>100</v>
      </c>
      <c r="T27" s="8"/>
    </row>
    <row r="28" spans="2:20" x14ac:dyDescent="0.3">
      <c r="K28" s="7"/>
      <c r="L28" s="81" t="s">
        <v>33</v>
      </c>
      <c r="M28" s="81"/>
      <c r="N28" s="81"/>
      <c r="O28" s="81"/>
      <c r="P28" s="81"/>
      <c r="Q28" s="82">
        <v>170</v>
      </c>
      <c r="R28" s="10"/>
      <c r="S28" s="82">
        <v>170</v>
      </c>
      <c r="T28" s="8"/>
    </row>
    <row r="29" spans="2:20" x14ac:dyDescent="0.3">
      <c r="K29" s="7"/>
      <c r="L29" s="81"/>
      <c r="M29" s="81"/>
      <c r="N29" s="81"/>
      <c r="O29" s="81"/>
      <c r="P29" s="81"/>
      <c r="Q29" s="82"/>
      <c r="R29" s="10"/>
      <c r="S29" s="82"/>
      <c r="T29" s="8"/>
    </row>
    <row r="30" spans="2:20" x14ac:dyDescent="0.3">
      <c r="K30" s="7"/>
      <c r="L30" s="81"/>
      <c r="M30" s="81"/>
      <c r="N30" s="81"/>
      <c r="O30" s="81"/>
      <c r="P30" s="81"/>
      <c r="Q30" s="82"/>
      <c r="R30" s="10"/>
      <c r="S30" s="82"/>
      <c r="T30" s="8"/>
    </row>
    <row r="31" spans="2:20" x14ac:dyDescent="0.3">
      <c r="K31" s="7"/>
      <c r="L31" s="81" t="s">
        <v>34</v>
      </c>
      <c r="M31" s="81"/>
      <c r="N31" s="81"/>
      <c r="O31" s="81"/>
      <c r="P31" s="81"/>
      <c r="Q31" s="82">
        <v>330</v>
      </c>
      <c r="R31" s="10"/>
      <c r="S31" s="82">
        <v>330</v>
      </c>
      <c r="T31" s="8"/>
    </row>
    <row r="32" spans="2:20" x14ac:dyDescent="0.3">
      <c r="K32" s="7"/>
      <c r="L32" s="81"/>
      <c r="M32" s="81"/>
      <c r="N32" s="81"/>
      <c r="O32" s="81"/>
      <c r="P32" s="81"/>
      <c r="Q32" s="82"/>
      <c r="R32" s="10"/>
      <c r="S32" s="82"/>
      <c r="T32" s="8"/>
    </row>
    <row r="33" spans="11:20" x14ac:dyDescent="0.3">
      <c r="K33" s="7"/>
      <c r="L33" s="80" t="s">
        <v>35</v>
      </c>
      <c r="M33" s="80"/>
      <c r="N33" s="80"/>
      <c r="O33" s="80"/>
      <c r="P33" s="80"/>
      <c r="Q33" s="11">
        <v>600</v>
      </c>
      <c r="R33" s="10"/>
      <c r="S33" s="11">
        <v>400</v>
      </c>
      <c r="T33" s="8"/>
    </row>
    <row r="34" spans="11:20" x14ac:dyDescent="0.3">
      <c r="K34" s="7"/>
      <c r="L34" s="67" t="s">
        <v>36</v>
      </c>
      <c r="M34" s="67"/>
      <c r="N34" s="67"/>
      <c r="O34" s="67"/>
      <c r="P34" s="67"/>
      <c r="Q34" s="82">
        <f>+Q27+Q28+Q31+Q33</f>
        <v>1200</v>
      </c>
      <c r="R34" s="10"/>
      <c r="S34" s="82">
        <f>+S27+S28+S31+S33</f>
        <v>1000</v>
      </c>
      <c r="T34" s="8"/>
    </row>
    <row r="35" spans="11:20" x14ac:dyDescent="0.3">
      <c r="K35" s="7"/>
      <c r="L35" s="67"/>
      <c r="M35" s="67"/>
      <c r="N35" s="67"/>
      <c r="O35" s="67"/>
      <c r="P35" s="67"/>
      <c r="Q35" s="82"/>
      <c r="R35" s="10"/>
      <c r="S35" s="82"/>
      <c r="T35" s="8"/>
    </row>
    <row r="36" spans="11:20" x14ac:dyDescent="0.3">
      <c r="K36" s="7"/>
      <c r="L36" s="67" t="s">
        <v>37</v>
      </c>
      <c r="M36" s="67"/>
      <c r="N36" s="67"/>
      <c r="O36" s="67"/>
      <c r="P36" s="67"/>
      <c r="Q36" s="87">
        <f>+Q26+Q34</f>
        <v>3450</v>
      </c>
      <c r="R36" s="10"/>
      <c r="S36" s="87">
        <f>+S26+S34</f>
        <v>3300</v>
      </c>
      <c r="T36" s="8"/>
    </row>
    <row r="37" spans="11:20" ht="16.2" thickBot="1" x14ac:dyDescent="0.35">
      <c r="K37" s="7"/>
      <c r="L37" s="67"/>
      <c r="M37" s="67"/>
      <c r="N37" s="67"/>
      <c r="O37" s="67"/>
      <c r="P37" s="67"/>
      <c r="Q37" s="88"/>
      <c r="R37" s="10"/>
      <c r="S37" s="88"/>
      <c r="T37" s="8"/>
    </row>
    <row r="38" spans="11:20" ht="16.8" thickTop="1" thickBot="1" x14ac:dyDescent="0.35">
      <c r="K38" s="13"/>
      <c r="L38" s="14"/>
      <c r="M38" s="14"/>
      <c r="N38" s="14"/>
      <c r="O38" s="14"/>
      <c r="P38" s="14"/>
      <c r="Q38" s="15"/>
      <c r="R38" s="15"/>
      <c r="S38" s="15"/>
      <c r="T38" s="16"/>
    </row>
    <row r="40" spans="11:20" ht="16.2" thickBot="1" x14ac:dyDescent="0.35"/>
    <row r="41" spans="11:20" x14ac:dyDescent="0.3">
      <c r="K41" s="89" t="s">
        <v>38</v>
      </c>
      <c r="L41" s="90"/>
      <c r="M41" s="90"/>
      <c r="N41" s="90"/>
      <c r="O41" s="90"/>
      <c r="P41" s="90"/>
      <c r="Q41" s="90"/>
      <c r="R41" s="90"/>
      <c r="S41" s="91"/>
    </row>
    <row r="42" spans="11:20" x14ac:dyDescent="0.3">
      <c r="K42" s="92"/>
      <c r="L42" s="93"/>
      <c r="M42" s="93"/>
      <c r="N42" s="93"/>
      <c r="O42" s="93"/>
      <c r="P42" s="93"/>
      <c r="Q42" s="93"/>
      <c r="R42" s="93"/>
      <c r="S42" s="94"/>
    </row>
    <row r="43" spans="11:20" x14ac:dyDescent="0.3">
      <c r="K43" s="7"/>
      <c r="L43" s="80" t="s">
        <v>39</v>
      </c>
      <c r="M43" s="80"/>
      <c r="N43" s="80"/>
      <c r="O43" s="80"/>
      <c r="P43" s="80"/>
      <c r="Q43" s="80"/>
      <c r="R43" s="17">
        <v>2000</v>
      </c>
      <c r="S43" s="8"/>
    </row>
    <row r="44" spans="11:20" x14ac:dyDescent="0.3">
      <c r="K44" s="7"/>
      <c r="L44" s="80" t="s">
        <v>40</v>
      </c>
      <c r="M44" s="80"/>
      <c r="N44" s="80"/>
      <c r="O44" s="80"/>
      <c r="P44" s="80"/>
      <c r="Q44" s="80"/>
      <c r="R44" s="18">
        <v>800</v>
      </c>
      <c r="S44" s="8"/>
    </row>
    <row r="45" spans="11:20" x14ac:dyDescent="0.3">
      <c r="K45" s="7"/>
      <c r="L45" s="80" t="s">
        <v>41</v>
      </c>
      <c r="M45" s="80"/>
      <c r="N45" s="80"/>
      <c r="O45" s="80"/>
      <c r="P45" s="80"/>
      <c r="Q45" s="80"/>
      <c r="R45" s="17">
        <f>+R43-R44</f>
        <v>1200</v>
      </c>
      <c r="S45" s="8"/>
    </row>
    <row r="46" spans="11:20" x14ac:dyDescent="0.3">
      <c r="K46" s="7"/>
      <c r="L46" s="80" t="s">
        <v>42</v>
      </c>
      <c r="M46" s="80"/>
      <c r="N46" s="80"/>
      <c r="O46" s="80"/>
      <c r="P46" s="80"/>
      <c r="Q46" s="80"/>
      <c r="R46" s="17"/>
      <c r="S46" s="8"/>
    </row>
    <row r="47" spans="11:20" x14ac:dyDescent="0.3">
      <c r="K47" s="7"/>
      <c r="L47" s="80" t="s">
        <v>43</v>
      </c>
      <c r="M47" s="80"/>
      <c r="N47" s="80"/>
      <c r="O47" s="80"/>
      <c r="P47" s="80"/>
      <c r="Q47" s="80"/>
      <c r="R47" s="19">
        <v>500</v>
      </c>
      <c r="S47" s="8"/>
    </row>
    <row r="48" spans="11:20" x14ac:dyDescent="0.3">
      <c r="K48" s="7"/>
      <c r="L48" s="80" t="s">
        <v>44</v>
      </c>
      <c r="M48" s="80"/>
      <c r="N48" s="80"/>
      <c r="O48" s="80"/>
      <c r="P48" s="80"/>
      <c r="Q48" s="80"/>
      <c r="R48" s="18">
        <v>150</v>
      </c>
      <c r="S48" s="8"/>
    </row>
    <row r="49" spans="11:19" x14ac:dyDescent="0.3">
      <c r="K49" s="7"/>
      <c r="L49" s="80" t="s">
        <v>45</v>
      </c>
      <c r="M49" s="80"/>
      <c r="N49" s="80"/>
      <c r="O49" s="80"/>
      <c r="P49" s="80"/>
      <c r="Q49" s="80"/>
      <c r="R49" s="20">
        <f>+R47+R48</f>
        <v>650</v>
      </c>
      <c r="S49" s="8"/>
    </row>
    <row r="50" spans="11:19" x14ac:dyDescent="0.3">
      <c r="K50" s="7"/>
      <c r="L50" s="77" t="s">
        <v>46</v>
      </c>
      <c r="M50" s="77"/>
      <c r="N50" s="77"/>
      <c r="O50" s="77"/>
      <c r="P50" s="77"/>
      <c r="Q50" s="77"/>
      <c r="R50" s="17">
        <f>+R45-R49</f>
        <v>550</v>
      </c>
      <c r="S50" s="8"/>
    </row>
    <row r="51" spans="11:19" x14ac:dyDescent="0.3">
      <c r="K51" s="7"/>
      <c r="L51" s="80" t="s">
        <v>47</v>
      </c>
      <c r="M51" s="80"/>
      <c r="N51" s="80"/>
      <c r="O51" s="80"/>
      <c r="P51" s="80"/>
      <c r="Q51" s="80"/>
      <c r="R51" s="18">
        <v>120</v>
      </c>
      <c r="S51" s="8"/>
    </row>
    <row r="52" spans="11:19" x14ac:dyDescent="0.3">
      <c r="K52" s="7"/>
      <c r="L52" s="80" t="s">
        <v>48</v>
      </c>
      <c r="M52" s="80"/>
      <c r="N52" s="80"/>
      <c r="O52" s="80"/>
      <c r="P52" s="80"/>
      <c r="Q52" s="80"/>
      <c r="R52" s="17">
        <f>+R50-R51</f>
        <v>430</v>
      </c>
      <c r="S52" s="8"/>
    </row>
    <row r="53" spans="11:19" x14ac:dyDescent="0.3">
      <c r="K53" s="7"/>
      <c r="L53" s="80" t="s">
        <v>49</v>
      </c>
      <c r="M53" s="80"/>
      <c r="N53" s="80"/>
      <c r="O53" s="80"/>
      <c r="P53" s="80"/>
      <c r="Q53" s="80"/>
      <c r="R53" s="18">
        <f>+R52*0.4</f>
        <v>172</v>
      </c>
      <c r="S53" s="8"/>
    </row>
    <row r="54" spans="11:19" x14ac:dyDescent="0.3">
      <c r="K54" s="7"/>
      <c r="L54" s="80" t="s">
        <v>50</v>
      </c>
      <c r="M54" s="80"/>
      <c r="N54" s="80"/>
      <c r="O54" s="80"/>
      <c r="P54" s="80"/>
      <c r="Q54" s="80"/>
      <c r="R54" s="17">
        <f>+R52-R53</f>
        <v>258</v>
      </c>
      <c r="S54" s="8"/>
    </row>
    <row r="55" spans="11:19" x14ac:dyDescent="0.3">
      <c r="K55" s="7"/>
      <c r="L55" s="80" t="s">
        <v>51</v>
      </c>
      <c r="M55" s="80"/>
      <c r="N55" s="80"/>
      <c r="O55" s="80"/>
      <c r="P55" s="80"/>
      <c r="Q55" s="80"/>
      <c r="R55" s="19">
        <v>25</v>
      </c>
      <c r="S55" s="8"/>
    </row>
    <row r="56" spans="11:19" ht="16.2" thickBot="1" x14ac:dyDescent="0.35">
      <c r="K56" s="7"/>
      <c r="L56" s="80" t="s">
        <v>52</v>
      </c>
      <c r="M56" s="80"/>
      <c r="N56" s="80"/>
      <c r="O56" s="80"/>
      <c r="P56" s="80"/>
      <c r="Q56" s="80"/>
      <c r="R56" s="21">
        <f>+R54-R55</f>
        <v>233</v>
      </c>
      <c r="S56" s="8"/>
    </row>
    <row r="57" spans="11:19" ht="16.2" thickTop="1" x14ac:dyDescent="0.3">
      <c r="K57" s="7"/>
      <c r="L57" s="97" t="s">
        <v>53</v>
      </c>
      <c r="M57" s="97"/>
      <c r="N57" s="97"/>
      <c r="O57" s="97"/>
      <c r="P57" s="97"/>
      <c r="Q57" s="97"/>
      <c r="R57" s="17">
        <f>170000/100000</f>
        <v>1.7</v>
      </c>
      <c r="S57" s="8"/>
    </row>
    <row r="58" spans="11:19" x14ac:dyDescent="0.3">
      <c r="K58" s="7"/>
      <c r="L58" s="95" t="s">
        <v>54</v>
      </c>
      <c r="M58" s="95"/>
      <c r="N58" s="95"/>
      <c r="O58" s="95"/>
      <c r="P58" s="95"/>
      <c r="Q58" s="95"/>
      <c r="R58" s="95"/>
      <c r="S58" s="8"/>
    </row>
    <row r="59" spans="11:19" x14ac:dyDescent="0.3">
      <c r="K59" s="7"/>
      <c r="L59" s="95"/>
      <c r="M59" s="95"/>
      <c r="N59" s="95"/>
      <c r="O59" s="95"/>
      <c r="P59" s="95"/>
      <c r="Q59" s="95"/>
      <c r="R59" s="95"/>
      <c r="S59" s="8"/>
    </row>
    <row r="60" spans="11:19" ht="16.2" thickBot="1" x14ac:dyDescent="0.35">
      <c r="K60" s="13"/>
      <c r="L60" s="96"/>
      <c r="M60" s="96"/>
      <c r="N60" s="96"/>
      <c r="O60" s="96"/>
      <c r="P60" s="96"/>
      <c r="Q60" s="96"/>
      <c r="R60" s="96"/>
      <c r="S60" s="16"/>
    </row>
  </sheetData>
  <mergeCells count="55">
    <mergeCell ref="L58:R60"/>
    <mergeCell ref="L47:Q47"/>
    <mergeCell ref="L48:Q48"/>
    <mergeCell ref="L49:Q49"/>
    <mergeCell ref="L50:Q50"/>
    <mergeCell ref="L51:Q51"/>
    <mergeCell ref="L52:Q52"/>
    <mergeCell ref="L53:Q53"/>
    <mergeCell ref="L54:Q54"/>
    <mergeCell ref="L55:Q55"/>
    <mergeCell ref="L56:Q56"/>
    <mergeCell ref="L57:Q57"/>
    <mergeCell ref="B2:M2"/>
    <mergeCell ref="K41:S42"/>
    <mergeCell ref="L43:Q43"/>
    <mergeCell ref="L44:Q44"/>
    <mergeCell ref="L45:Q45"/>
    <mergeCell ref="L28:P30"/>
    <mergeCell ref="Q28:Q30"/>
    <mergeCell ref="S28:S30"/>
    <mergeCell ref="L31:P32"/>
    <mergeCell ref="Q31:Q32"/>
    <mergeCell ref="S31:S32"/>
    <mergeCell ref="L22:P22"/>
    <mergeCell ref="L23:P23"/>
    <mergeCell ref="L24:P24"/>
    <mergeCell ref="L25:P25"/>
    <mergeCell ref="L26:P26"/>
    <mergeCell ref="L46:Q46"/>
    <mergeCell ref="L33:P33"/>
    <mergeCell ref="L34:P35"/>
    <mergeCell ref="Q34:Q35"/>
    <mergeCell ref="S34:S35"/>
    <mergeCell ref="L36:P37"/>
    <mergeCell ref="Q36:Q37"/>
    <mergeCell ref="S36:S37"/>
    <mergeCell ref="L27:P27"/>
    <mergeCell ref="L16:P16"/>
    <mergeCell ref="L17:P17"/>
    <mergeCell ref="L18:P18"/>
    <mergeCell ref="L19:S19"/>
    <mergeCell ref="L20:S20"/>
    <mergeCell ref="L21:P21"/>
    <mergeCell ref="L15:P15"/>
    <mergeCell ref="K4:T5"/>
    <mergeCell ref="L6:P7"/>
    <mergeCell ref="Q6:S6"/>
    <mergeCell ref="L8:P8"/>
    <mergeCell ref="L9:P9"/>
    <mergeCell ref="L10:P10"/>
    <mergeCell ref="L11:P11"/>
    <mergeCell ref="L12:P12"/>
    <mergeCell ref="L13:P14"/>
    <mergeCell ref="Q13:Q14"/>
    <mergeCell ref="S13:S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0BD8-36EB-430C-82BB-75D9756FA749}">
  <dimension ref="C3:O59"/>
  <sheetViews>
    <sheetView tabSelected="1" topLeftCell="A6" zoomScale="70" zoomScaleNormal="70" workbookViewId="0">
      <selection activeCell="H20" sqref="H20"/>
    </sheetView>
  </sheetViews>
  <sheetFormatPr baseColWidth="10" defaultColWidth="11.5546875" defaultRowHeight="15.6" x14ac:dyDescent="0.3"/>
  <cols>
    <col min="1" max="3" width="11.5546875" style="1"/>
    <col min="4" max="4" width="15.6640625" style="1" bestFit="1" customWidth="1"/>
    <col min="5" max="5" width="11.5546875" style="1"/>
    <col min="6" max="6" width="17.109375" style="1" bestFit="1" customWidth="1"/>
    <col min="7" max="7" width="11.5546875" style="1"/>
    <col min="8" max="8" width="17.109375" style="1" bestFit="1" customWidth="1"/>
    <col min="9" max="9" width="14.21875" style="1" bestFit="1" customWidth="1"/>
    <col min="10" max="10" width="17.109375" style="1" bestFit="1" customWidth="1"/>
    <col min="11" max="16384" width="11.5546875" style="1"/>
  </cols>
  <sheetData>
    <row r="3" spans="3:14" ht="23.4" thickBot="1" x14ac:dyDescent="0.45">
      <c r="C3" s="32" t="s">
        <v>55</v>
      </c>
      <c r="D3" s="32"/>
      <c r="E3" s="32"/>
      <c r="F3" s="32"/>
      <c r="G3" s="32"/>
      <c r="H3" s="32"/>
      <c r="I3" s="32"/>
      <c r="J3" s="32"/>
      <c r="K3" s="32"/>
      <c r="L3" s="32"/>
      <c r="M3" s="32"/>
      <c r="N3" s="32"/>
    </row>
    <row r="4" spans="3:14" ht="16.2" thickTop="1" x14ac:dyDescent="0.3"/>
    <row r="6" spans="3:14" x14ac:dyDescent="0.3">
      <c r="C6" s="5" t="s">
        <v>56</v>
      </c>
    </row>
    <row r="7" spans="3:14" ht="16.2" thickBot="1" x14ac:dyDescent="0.35"/>
    <row r="8" spans="3:14" x14ac:dyDescent="0.3">
      <c r="C8" s="33" t="s">
        <v>57</v>
      </c>
      <c r="D8" s="35" t="s">
        <v>3</v>
      </c>
      <c r="E8" s="35"/>
      <c r="F8" s="35"/>
      <c r="G8" s="37" t="s">
        <v>4</v>
      </c>
      <c r="H8" s="39" t="s">
        <v>7</v>
      </c>
      <c r="I8" s="39"/>
      <c r="J8" s="25"/>
      <c r="K8" s="35" t="s">
        <v>3</v>
      </c>
      <c r="L8" s="35"/>
      <c r="M8" s="41"/>
    </row>
    <row r="9" spans="3:14" x14ac:dyDescent="0.3">
      <c r="C9" s="34"/>
      <c r="D9" s="36"/>
      <c r="E9" s="36"/>
      <c r="F9" s="36"/>
      <c r="G9" s="38"/>
      <c r="H9" s="40"/>
      <c r="I9" s="40"/>
      <c r="J9" s="1" t="s">
        <v>6</v>
      </c>
      <c r="K9" s="36"/>
      <c r="L9" s="36"/>
      <c r="M9" s="42"/>
    </row>
    <row r="10" spans="3:14" ht="15.6" customHeight="1" x14ac:dyDescent="0.3">
      <c r="C10" s="34"/>
      <c r="D10" s="43" t="s">
        <v>7</v>
      </c>
      <c r="E10" s="43"/>
      <c r="F10" s="43"/>
      <c r="H10" s="59" t="s">
        <v>58</v>
      </c>
      <c r="I10" s="59"/>
      <c r="K10" s="43" t="s">
        <v>58</v>
      </c>
      <c r="L10" s="43"/>
      <c r="M10" s="45"/>
    </row>
    <row r="11" spans="3:14" ht="16.2" thickBot="1" x14ac:dyDescent="0.35">
      <c r="C11" s="26"/>
      <c r="D11" s="44"/>
      <c r="E11" s="44"/>
      <c r="F11" s="44"/>
      <c r="G11" s="27"/>
      <c r="H11" s="61"/>
      <c r="I11" s="61"/>
      <c r="J11" s="27"/>
      <c r="K11" s="44"/>
      <c r="L11" s="44"/>
      <c r="M11" s="46"/>
    </row>
    <row r="14" spans="3:14" x14ac:dyDescent="0.3">
      <c r="C14" s="122" t="s">
        <v>59</v>
      </c>
      <c r="D14" s="122"/>
      <c r="E14" s="122"/>
      <c r="F14" s="122"/>
      <c r="G14" s="122"/>
      <c r="H14" s="122"/>
    </row>
    <row r="15" spans="3:14" x14ac:dyDescent="0.3">
      <c r="C15" s="64" t="s">
        <v>60</v>
      </c>
      <c r="D15" s="64"/>
      <c r="E15" s="64"/>
      <c r="F15" s="64"/>
    </row>
    <row r="16" spans="3:14" ht="16.2" thickBot="1" x14ac:dyDescent="0.35"/>
    <row r="17" spans="3:15" ht="15.6" customHeight="1" x14ac:dyDescent="0.3">
      <c r="C17" s="48" t="s">
        <v>61</v>
      </c>
      <c r="D17" s="49"/>
      <c r="E17" s="49"/>
      <c r="F17" s="52" t="s">
        <v>62</v>
      </c>
      <c r="G17" s="52"/>
      <c r="H17" s="52"/>
      <c r="I17" s="52" t="s">
        <v>63</v>
      </c>
      <c r="J17" s="52" t="s">
        <v>64</v>
      </c>
      <c r="K17" s="52"/>
      <c r="L17" s="52" t="s">
        <v>4</v>
      </c>
      <c r="M17" s="52" t="s">
        <v>65</v>
      </c>
      <c r="N17" s="55"/>
      <c r="O17" s="29"/>
    </row>
    <row r="18" spans="3:15" ht="16.2" thickBot="1" x14ac:dyDescent="0.35">
      <c r="C18" s="50"/>
      <c r="D18" s="51"/>
      <c r="E18" s="51"/>
      <c r="F18" s="44"/>
      <c r="G18" s="44"/>
      <c r="H18" s="44"/>
      <c r="I18" s="44"/>
      <c r="J18" s="44"/>
      <c r="K18" s="44"/>
      <c r="L18" s="44"/>
      <c r="M18" s="44"/>
      <c r="N18" s="46"/>
      <c r="O18" s="29"/>
    </row>
    <row r="20" spans="3:15" x14ac:dyDescent="0.3">
      <c r="C20" s="121" t="s">
        <v>66</v>
      </c>
      <c r="D20" s="121"/>
      <c r="E20" s="121"/>
      <c r="F20" s="121"/>
      <c r="G20" s="121"/>
    </row>
    <row r="21" spans="3:15" x14ac:dyDescent="0.3">
      <c r="C21" s="5"/>
      <c r="F21" s="2"/>
      <c r="G21" s="2"/>
      <c r="H21" s="2"/>
      <c r="I21" s="2"/>
      <c r="J21" s="22"/>
      <c r="K21" s="22"/>
      <c r="L21" s="2"/>
      <c r="M21" s="22"/>
      <c r="N21" s="22"/>
      <c r="O21" s="22"/>
    </row>
    <row r="22" spans="3:15" x14ac:dyDescent="0.3">
      <c r="C22" s="57" t="s">
        <v>61</v>
      </c>
      <c r="D22" s="57"/>
      <c r="E22" s="57"/>
      <c r="F22" s="53">
        <v>1954000</v>
      </c>
      <c r="G22" s="53"/>
      <c r="H22" s="53"/>
      <c r="I22" s="2" t="s">
        <v>63</v>
      </c>
      <c r="J22" s="56">
        <f>2000</f>
        <v>2000</v>
      </c>
      <c r="K22" s="56"/>
      <c r="L22" s="2" t="s">
        <v>4</v>
      </c>
      <c r="M22" s="53">
        <f>100</f>
        <v>100</v>
      </c>
      <c r="N22" s="53"/>
      <c r="O22" s="24"/>
    </row>
    <row r="23" spans="3:15" x14ac:dyDescent="0.3">
      <c r="C23" s="5"/>
      <c r="F23" s="2"/>
      <c r="G23" s="2"/>
      <c r="H23" s="2"/>
      <c r="I23" s="2"/>
      <c r="J23" s="22"/>
      <c r="K23" s="22"/>
      <c r="L23" s="2"/>
      <c r="M23" s="22"/>
      <c r="N23" s="22"/>
      <c r="O23" s="22"/>
    </row>
    <row r="25" spans="3:15" x14ac:dyDescent="0.3">
      <c r="C25" s="57" t="s">
        <v>61</v>
      </c>
      <c r="D25" s="57"/>
      <c r="E25" s="57"/>
      <c r="F25" s="24">
        <f>F22</f>
        <v>1954000</v>
      </c>
      <c r="G25" s="2" t="s">
        <v>63</v>
      </c>
      <c r="H25" s="24">
        <f>J22*M22</f>
        <v>200000</v>
      </c>
      <c r="I25" s="22"/>
      <c r="J25" s="24"/>
    </row>
    <row r="27" spans="3:15" ht="15.6" customHeight="1" x14ac:dyDescent="0.3">
      <c r="C27" s="58" t="s">
        <v>61</v>
      </c>
      <c r="D27" s="58"/>
      <c r="E27" s="58"/>
      <c r="F27" s="28">
        <f>F25-H25</f>
        <v>1754000</v>
      </c>
      <c r="H27" s="24"/>
    </row>
    <row r="30" spans="3:15" ht="15.6" customHeight="1" x14ac:dyDescent="0.3"/>
    <row r="32" spans="3:15" x14ac:dyDescent="0.3">
      <c r="C32" s="47" t="s">
        <v>67</v>
      </c>
      <c r="D32" s="47"/>
      <c r="E32" s="47"/>
      <c r="F32" s="47"/>
    </row>
    <row r="33" spans="3:13" ht="15.6" customHeight="1" thickBot="1" x14ac:dyDescent="0.35"/>
    <row r="34" spans="3:13" ht="15.6" customHeight="1" x14ac:dyDescent="0.3">
      <c r="C34" s="33" t="s">
        <v>57</v>
      </c>
      <c r="D34" s="35" t="s">
        <v>3</v>
      </c>
      <c r="E34" s="35"/>
      <c r="F34" s="35"/>
      <c r="G34" s="37" t="s">
        <v>4</v>
      </c>
      <c r="H34" s="39" t="s">
        <v>7</v>
      </c>
      <c r="I34" s="39"/>
      <c r="J34" s="25"/>
      <c r="K34" s="35" t="s">
        <v>3</v>
      </c>
      <c r="L34" s="35"/>
      <c r="M34" s="41"/>
    </row>
    <row r="35" spans="3:13" ht="15.6" customHeight="1" x14ac:dyDescent="0.3">
      <c r="C35" s="34"/>
      <c r="D35" s="36"/>
      <c r="E35" s="36"/>
      <c r="F35" s="36"/>
      <c r="G35" s="38"/>
      <c r="H35" s="40"/>
      <c r="I35" s="40"/>
      <c r="J35" s="1" t="s">
        <v>6</v>
      </c>
      <c r="K35" s="36"/>
      <c r="L35" s="36"/>
      <c r="M35" s="42"/>
    </row>
    <row r="36" spans="3:13" ht="15.6" customHeight="1" x14ac:dyDescent="0.3">
      <c r="C36" s="34"/>
      <c r="D36" s="43" t="s">
        <v>7</v>
      </c>
      <c r="E36" s="43"/>
      <c r="F36" s="43"/>
      <c r="H36" s="59" t="s">
        <v>58</v>
      </c>
      <c r="I36" s="59"/>
      <c r="K36" s="59" t="s">
        <v>58</v>
      </c>
      <c r="L36" s="59"/>
      <c r="M36" s="60"/>
    </row>
    <row r="37" spans="3:13" ht="15.6" customHeight="1" thickBot="1" x14ac:dyDescent="0.35">
      <c r="C37" s="26"/>
      <c r="D37" s="44"/>
      <c r="E37" s="44"/>
      <c r="F37" s="44"/>
      <c r="G37" s="27"/>
      <c r="H37" s="61"/>
      <c r="I37" s="61"/>
      <c r="J37" s="27"/>
      <c r="K37" s="61"/>
      <c r="L37" s="61"/>
      <c r="M37" s="62"/>
    </row>
    <row r="38" spans="3:13" ht="15.6" customHeight="1" x14ac:dyDescent="0.3">
      <c r="D38" s="4"/>
      <c r="E38" s="4"/>
      <c r="F38" s="4"/>
      <c r="H38" s="3"/>
      <c r="I38" s="3"/>
      <c r="K38" s="4"/>
      <c r="L38" s="4"/>
      <c r="M38" s="4"/>
    </row>
    <row r="39" spans="3:13" ht="15.6" customHeight="1" x14ac:dyDescent="0.3">
      <c r="C39" s="2"/>
      <c r="D39" s="4"/>
      <c r="E39" s="4"/>
      <c r="F39" s="4"/>
      <c r="H39" s="3"/>
      <c r="I39" s="3"/>
      <c r="K39" s="4"/>
      <c r="L39" s="4"/>
      <c r="M39" s="4"/>
    </row>
    <row r="40" spans="3:13" x14ac:dyDescent="0.3">
      <c r="C40" s="2" t="s">
        <v>2</v>
      </c>
      <c r="D40" s="108">
        <f>221000</f>
        <v>221000</v>
      </c>
      <c r="E40" s="2" t="s">
        <v>4</v>
      </c>
      <c r="F40" s="108">
        <f>D41</f>
        <v>3597000</v>
      </c>
    </row>
    <row r="41" spans="3:13" x14ac:dyDescent="0.3">
      <c r="C41" s="2"/>
      <c r="D41" s="109">
        <f>3597000</f>
        <v>3597000</v>
      </c>
      <c r="E41" s="2"/>
      <c r="F41" s="119">
        <f>F27</f>
        <v>1754000</v>
      </c>
    </row>
    <row r="42" spans="3:13" x14ac:dyDescent="0.3">
      <c r="C42" s="2"/>
      <c r="D42" s="2"/>
      <c r="E42" s="2"/>
      <c r="F42" s="2"/>
    </row>
    <row r="43" spans="3:13" x14ac:dyDescent="0.3">
      <c r="C43" s="2" t="s">
        <v>2</v>
      </c>
      <c r="D43" s="101">
        <f>+D40/D41</f>
        <v>6.144008896302474E-2</v>
      </c>
      <c r="E43" s="2" t="s">
        <v>4</v>
      </c>
      <c r="F43" s="109">
        <f>F40/F41</f>
        <v>2.0507411630558723</v>
      </c>
    </row>
    <row r="44" spans="3:13" x14ac:dyDescent="0.3">
      <c r="C44" s="2"/>
      <c r="D44" s="2"/>
      <c r="E44" s="2"/>
      <c r="F44" s="2"/>
    </row>
    <row r="45" spans="3:13" x14ac:dyDescent="0.3">
      <c r="C45" s="2" t="s">
        <v>2</v>
      </c>
      <c r="D45" s="101">
        <f>+D43*F43</f>
        <v>0.12599771949828961</v>
      </c>
      <c r="E45" s="2"/>
      <c r="F45" s="2"/>
    </row>
    <row r="46" spans="3:13" x14ac:dyDescent="0.3">
      <c r="C46" s="2"/>
      <c r="D46" s="2"/>
      <c r="E46" s="2"/>
      <c r="F46" s="2"/>
    </row>
    <row r="48" spans="3:13" x14ac:dyDescent="0.3">
      <c r="D48" s="54" t="s">
        <v>68</v>
      </c>
      <c r="E48" s="54"/>
      <c r="F48" s="63" t="s">
        <v>69</v>
      </c>
      <c r="G48" s="63"/>
      <c r="H48" s="63"/>
    </row>
    <row r="49" spans="3:11" x14ac:dyDescent="0.3">
      <c r="D49" s="54"/>
      <c r="E49" s="54"/>
      <c r="F49" s="64" t="s">
        <v>70</v>
      </c>
      <c r="G49" s="64"/>
      <c r="H49" s="64"/>
    </row>
    <row r="51" spans="3:11" x14ac:dyDescent="0.3">
      <c r="D51" s="54" t="s">
        <v>68</v>
      </c>
      <c r="E51" s="54"/>
      <c r="F51" s="23">
        <f>1643000</f>
        <v>1643000</v>
      </c>
    </row>
    <row r="52" spans="3:11" x14ac:dyDescent="0.3">
      <c r="D52" s="54"/>
      <c r="E52" s="54"/>
      <c r="F52" s="24">
        <f>F27</f>
        <v>1754000</v>
      </c>
    </row>
    <row r="54" spans="3:11" x14ac:dyDescent="0.3">
      <c r="D54" s="65" t="s">
        <v>68</v>
      </c>
      <c r="E54" s="65"/>
      <c r="F54" s="120">
        <f>+F51/F52</f>
        <v>0.9367160775370581</v>
      </c>
      <c r="H54" s="64"/>
      <c r="I54" s="64"/>
      <c r="K54" s="3"/>
    </row>
    <row r="55" spans="3:11" x14ac:dyDescent="0.3">
      <c r="D55" s="65"/>
      <c r="E55" s="65"/>
      <c r="F55" s="120"/>
      <c r="H55" s="6"/>
      <c r="K55" s="24"/>
    </row>
    <row r="57" spans="3:11" x14ac:dyDescent="0.3">
      <c r="C57" s="64" t="s">
        <v>71</v>
      </c>
      <c r="D57" s="64"/>
      <c r="E57" s="66" t="s">
        <v>72</v>
      </c>
      <c r="F57" s="66"/>
      <c r="G57" s="66"/>
      <c r="H57" s="66"/>
      <c r="I57" s="66"/>
      <c r="J57" s="66"/>
      <c r="K57" s="66"/>
    </row>
    <row r="58" spans="3:11" x14ac:dyDescent="0.3">
      <c r="E58" s="66"/>
      <c r="F58" s="66"/>
      <c r="G58" s="66"/>
      <c r="H58" s="66"/>
      <c r="I58" s="66"/>
      <c r="J58" s="66"/>
      <c r="K58" s="66"/>
    </row>
    <row r="59" spans="3:11" x14ac:dyDescent="0.3">
      <c r="E59" s="66"/>
      <c r="F59" s="66"/>
      <c r="G59" s="66"/>
      <c r="H59" s="66"/>
      <c r="I59" s="66"/>
      <c r="J59" s="66"/>
      <c r="K59" s="66"/>
    </row>
  </sheetData>
  <mergeCells count="42">
    <mergeCell ref="C14:H14"/>
    <mergeCell ref="C15:F15"/>
    <mergeCell ref="C20:G20"/>
    <mergeCell ref="D54:E55"/>
    <mergeCell ref="F54:F55"/>
    <mergeCell ref="H54:I54"/>
    <mergeCell ref="C57:D57"/>
    <mergeCell ref="E57:K59"/>
    <mergeCell ref="C34:C36"/>
    <mergeCell ref="D34:F35"/>
    <mergeCell ref="G34:G35"/>
    <mergeCell ref="H34:I35"/>
    <mergeCell ref="K34:M35"/>
    <mergeCell ref="D36:F37"/>
    <mergeCell ref="H36:I37"/>
    <mergeCell ref="K36:M37"/>
    <mergeCell ref="L17:L18"/>
    <mergeCell ref="F22:H22"/>
    <mergeCell ref="D51:E52"/>
    <mergeCell ref="M17:N18"/>
    <mergeCell ref="M22:N22"/>
    <mergeCell ref="J22:K22"/>
    <mergeCell ref="C25:E25"/>
    <mergeCell ref="C27:E27"/>
    <mergeCell ref="C22:E22"/>
    <mergeCell ref="D48:E49"/>
    <mergeCell ref="F48:H48"/>
    <mergeCell ref="F49:H49"/>
    <mergeCell ref="C32:F32"/>
    <mergeCell ref="C17:E18"/>
    <mergeCell ref="F17:H18"/>
    <mergeCell ref="I17:I18"/>
    <mergeCell ref="J17:K18"/>
    <mergeCell ref="C3:N3"/>
    <mergeCell ref="C8:C10"/>
    <mergeCell ref="D8:F9"/>
    <mergeCell ref="G8:G9"/>
    <mergeCell ref="H8:I9"/>
    <mergeCell ref="K8:M9"/>
    <mergeCell ref="H10:I11"/>
    <mergeCell ref="D10:F11"/>
    <mergeCell ref="K10:M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8EFD-FDA1-44AE-93AA-B3B076D76CD0}">
  <dimension ref="C3:O59"/>
  <sheetViews>
    <sheetView zoomScale="70" zoomScaleNormal="70" workbookViewId="0">
      <selection activeCell="K15" sqref="K15"/>
    </sheetView>
  </sheetViews>
  <sheetFormatPr baseColWidth="10" defaultColWidth="11.5546875" defaultRowHeight="15.6" x14ac:dyDescent="0.3"/>
  <cols>
    <col min="1" max="3" width="11.5546875" style="1"/>
    <col min="4" max="4" width="15.6640625" style="1" bestFit="1" customWidth="1"/>
    <col min="5" max="5" width="11.5546875" style="1"/>
    <col min="6" max="6" width="17.109375" style="1" bestFit="1" customWidth="1"/>
    <col min="7" max="7" width="11.5546875" style="1"/>
    <col min="8" max="8" width="17.109375" style="1" bestFit="1" customWidth="1"/>
    <col min="9" max="9" width="14.21875" style="1" bestFit="1" customWidth="1"/>
    <col min="10" max="10" width="17.109375" style="1" bestFit="1" customWidth="1"/>
    <col min="11" max="16384" width="11.5546875" style="1"/>
  </cols>
  <sheetData>
    <row r="3" spans="3:14" ht="23.4" thickBot="1" x14ac:dyDescent="0.45">
      <c r="C3" s="32" t="s">
        <v>55</v>
      </c>
      <c r="D3" s="32"/>
      <c r="E3" s="32"/>
      <c r="F3" s="32"/>
      <c r="G3" s="32"/>
      <c r="H3" s="32"/>
      <c r="I3" s="32"/>
      <c r="J3" s="32"/>
      <c r="K3" s="32"/>
      <c r="L3" s="32"/>
      <c r="M3" s="32"/>
      <c r="N3" s="32"/>
    </row>
    <row r="4" spans="3:14" ht="16.2" thickTop="1" x14ac:dyDescent="0.3"/>
    <row r="6" spans="3:14" x14ac:dyDescent="0.3">
      <c r="C6" s="5" t="s">
        <v>56</v>
      </c>
    </row>
    <row r="7" spans="3:14" ht="16.2" thickBot="1" x14ac:dyDescent="0.35"/>
    <row r="8" spans="3:14" x14ac:dyDescent="0.3">
      <c r="C8" s="33" t="s">
        <v>57</v>
      </c>
      <c r="D8" s="35" t="s">
        <v>3</v>
      </c>
      <c r="E8" s="35"/>
      <c r="F8" s="35"/>
      <c r="G8" s="37" t="s">
        <v>4</v>
      </c>
      <c r="H8" s="39" t="s">
        <v>7</v>
      </c>
      <c r="I8" s="39"/>
      <c r="J8" s="25"/>
      <c r="K8" s="35" t="s">
        <v>3</v>
      </c>
      <c r="L8" s="35"/>
      <c r="M8" s="41"/>
    </row>
    <row r="9" spans="3:14" x14ac:dyDescent="0.3">
      <c r="C9" s="34"/>
      <c r="D9" s="36"/>
      <c r="E9" s="36"/>
      <c r="F9" s="36"/>
      <c r="G9" s="38"/>
      <c r="H9" s="40"/>
      <c r="I9" s="40"/>
      <c r="J9" s="1" t="s">
        <v>6</v>
      </c>
      <c r="K9" s="36"/>
      <c r="L9" s="36"/>
      <c r="M9" s="42"/>
    </row>
    <row r="10" spans="3:14" ht="15.6" customHeight="1" x14ac:dyDescent="0.3">
      <c r="C10" s="34"/>
      <c r="D10" s="43" t="s">
        <v>7</v>
      </c>
      <c r="E10" s="43"/>
      <c r="F10" s="43"/>
      <c r="H10" s="59" t="s">
        <v>58</v>
      </c>
      <c r="I10" s="59"/>
      <c r="K10" s="43" t="s">
        <v>58</v>
      </c>
      <c r="L10" s="43"/>
      <c r="M10" s="45"/>
    </row>
    <row r="11" spans="3:14" ht="16.2" thickBot="1" x14ac:dyDescent="0.35">
      <c r="C11" s="26"/>
      <c r="D11" s="44"/>
      <c r="E11" s="44"/>
      <c r="F11" s="44"/>
      <c r="G11" s="27"/>
      <c r="H11" s="61"/>
      <c r="I11" s="61"/>
      <c r="J11" s="27"/>
      <c r="K11" s="44"/>
      <c r="L11" s="44"/>
      <c r="M11" s="46"/>
    </row>
    <row r="14" spans="3:14" x14ac:dyDescent="0.3">
      <c r="C14" s="122" t="s">
        <v>59</v>
      </c>
      <c r="D14" s="122"/>
      <c r="E14" s="122"/>
      <c r="F14" s="122"/>
      <c r="G14" s="122"/>
      <c r="H14" s="122"/>
    </row>
    <row r="15" spans="3:14" x14ac:dyDescent="0.3">
      <c r="C15" s="64" t="s">
        <v>60</v>
      </c>
      <c r="D15" s="64"/>
      <c r="E15" s="64"/>
      <c r="F15" s="64"/>
    </row>
    <row r="16" spans="3:14" ht="16.2" thickBot="1" x14ac:dyDescent="0.35"/>
    <row r="17" spans="3:15" ht="15.6" customHeight="1" x14ac:dyDescent="0.3">
      <c r="C17" s="48" t="s">
        <v>78</v>
      </c>
      <c r="D17" s="49"/>
      <c r="E17" s="49"/>
      <c r="F17" s="52" t="s">
        <v>62</v>
      </c>
      <c r="G17" s="52"/>
      <c r="H17" s="52"/>
      <c r="I17" s="52" t="s">
        <v>63</v>
      </c>
      <c r="J17" s="52" t="s">
        <v>64</v>
      </c>
      <c r="K17" s="52"/>
      <c r="L17" s="52" t="s">
        <v>4</v>
      </c>
      <c r="M17" s="52" t="s">
        <v>65</v>
      </c>
      <c r="N17" s="55"/>
      <c r="O17" s="29"/>
    </row>
    <row r="18" spans="3:15" ht="16.2" thickBot="1" x14ac:dyDescent="0.35">
      <c r="C18" s="50"/>
      <c r="D18" s="51"/>
      <c r="E18" s="51"/>
      <c r="F18" s="44"/>
      <c r="G18" s="44"/>
      <c r="H18" s="44"/>
      <c r="I18" s="44"/>
      <c r="J18" s="44"/>
      <c r="K18" s="44"/>
      <c r="L18" s="44"/>
      <c r="M18" s="44"/>
      <c r="N18" s="46"/>
      <c r="O18" s="29"/>
    </row>
    <row r="20" spans="3:15" x14ac:dyDescent="0.3">
      <c r="C20" s="121" t="s">
        <v>75</v>
      </c>
      <c r="D20" s="121"/>
      <c r="E20" s="121"/>
      <c r="F20" s="121"/>
      <c r="G20" s="121"/>
    </row>
    <row r="21" spans="3:15" x14ac:dyDescent="0.3">
      <c r="C21" s="5"/>
      <c r="F21" s="2"/>
      <c r="G21" s="2"/>
      <c r="H21" s="2"/>
      <c r="I21" s="2"/>
      <c r="J21" s="22"/>
      <c r="K21" s="22"/>
      <c r="L21" s="2"/>
      <c r="M21" s="22"/>
      <c r="N21" s="22"/>
      <c r="O21" s="22"/>
    </row>
    <row r="22" spans="3:15" x14ac:dyDescent="0.3">
      <c r="C22" s="57" t="s">
        <v>61</v>
      </c>
      <c r="D22" s="57"/>
      <c r="E22" s="57"/>
      <c r="F22" s="53">
        <f>1820000</f>
        <v>1820000</v>
      </c>
      <c r="G22" s="53"/>
      <c r="H22" s="53"/>
      <c r="I22" s="2" t="s">
        <v>63</v>
      </c>
      <c r="J22" s="56">
        <f>2000</f>
        <v>2000</v>
      </c>
      <c r="K22" s="56"/>
      <c r="L22" s="2" t="s">
        <v>4</v>
      </c>
      <c r="M22" s="53">
        <f>100</f>
        <v>100</v>
      </c>
      <c r="N22" s="53"/>
      <c r="O22" s="24"/>
    </row>
    <row r="23" spans="3:15" x14ac:dyDescent="0.3">
      <c r="C23" s="5"/>
      <c r="F23" s="2"/>
      <c r="G23" s="2"/>
      <c r="H23" s="2"/>
      <c r="I23" s="2"/>
      <c r="J23" s="22"/>
      <c r="K23" s="22"/>
      <c r="L23" s="2"/>
      <c r="M23" s="22"/>
      <c r="N23" s="22"/>
      <c r="O23" s="22"/>
    </row>
    <row r="25" spans="3:15" x14ac:dyDescent="0.3">
      <c r="C25" s="57" t="s">
        <v>61</v>
      </c>
      <c r="D25" s="57"/>
      <c r="E25" s="57"/>
      <c r="F25" s="24">
        <f>F22</f>
        <v>1820000</v>
      </c>
      <c r="G25" s="2" t="s">
        <v>63</v>
      </c>
      <c r="H25" s="24">
        <f>J22*M22</f>
        <v>200000</v>
      </c>
      <c r="I25" s="22"/>
      <c r="J25" s="24"/>
    </row>
    <row r="27" spans="3:15" ht="15.6" customHeight="1" x14ac:dyDescent="0.3">
      <c r="C27" s="58" t="s">
        <v>61</v>
      </c>
      <c r="D27" s="58"/>
      <c r="E27" s="58"/>
      <c r="F27" s="28">
        <f>F25-H25</f>
        <v>1620000</v>
      </c>
      <c r="H27" s="24"/>
    </row>
    <row r="30" spans="3:15" ht="15.6" customHeight="1" x14ac:dyDescent="0.3"/>
    <row r="32" spans="3:15" x14ac:dyDescent="0.3">
      <c r="C32" s="47" t="s">
        <v>76</v>
      </c>
      <c r="D32" s="47"/>
      <c r="E32" s="47"/>
      <c r="F32" s="47"/>
    </row>
    <row r="33" spans="3:13" ht="15.6" customHeight="1" thickBot="1" x14ac:dyDescent="0.35"/>
    <row r="34" spans="3:13" ht="15.6" customHeight="1" x14ac:dyDescent="0.3">
      <c r="C34" s="33" t="s">
        <v>57</v>
      </c>
      <c r="D34" s="35" t="s">
        <v>3</v>
      </c>
      <c r="E34" s="35"/>
      <c r="F34" s="35"/>
      <c r="G34" s="37" t="s">
        <v>4</v>
      </c>
      <c r="H34" s="39" t="s">
        <v>7</v>
      </c>
      <c r="I34" s="39"/>
      <c r="J34" s="25"/>
      <c r="K34" s="35" t="s">
        <v>3</v>
      </c>
      <c r="L34" s="35"/>
      <c r="M34" s="41"/>
    </row>
    <row r="35" spans="3:13" ht="15.6" customHeight="1" x14ac:dyDescent="0.3">
      <c r="C35" s="34"/>
      <c r="D35" s="36"/>
      <c r="E35" s="36"/>
      <c r="F35" s="36"/>
      <c r="G35" s="38"/>
      <c r="H35" s="40"/>
      <c r="I35" s="40"/>
      <c r="J35" s="1" t="s">
        <v>6</v>
      </c>
      <c r="K35" s="36"/>
      <c r="L35" s="36"/>
      <c r="M35" s="42"/>
    </row>
    <row r="36" spans="3:13" ht="15.6" customHeight="1" x14ac:dyDescent="0.3">
      <c r="C36" s="34"/>
      <c r="D36" s="43" t="s">
        <v>7</v>
      </c>
      <c r="E36" s="43"/>
      <c r="F36" s="43"/>
      <c r="H36" s="59" t="s">
        <v>58</v>
      </c>
      <c r="I36" s="59"/>
      <c r="K36" s="59" t="s">
        <v>58</v>
      </c>
      <c r="L36" s="59"/>
      <c r="M36" s="60"/>
    </row>
    <row r="37" spans="3:13" ht="15.6" customHeight="1" thickBot="1" x14ac:dyDescent="0.35">
      <c r="C37" s="26"/>
      <c r="D37" s="44"/>
      <c r="E37" s="44"/>
      <c r="F37" s="44"/>
      <c r="G37" s="27"/>
      <c r="H37" s="61"/>
      <c r="I37" s="61"/>
      <c r="J37" s="27"/>
      <c r="K37" s="61"/>
      <c r="L37" s="61"/>
      <c r="M37" s="62"/>
    </row>
    <row r="38" spans="3:13" ht="15.6" customHeight="1" x14ac:dyDescent="0.3">
      <c r="D38" s="4"/>
      <c r="E38" s="4"/>
      <c r="F38" s="4"/>
      <c r="H38" s="3"/>
      <c r="I38" s="3"/>
      <c r="K38" s="4"/>
      <c r="L38" s="4"/>
      <c r="M38" s="4"/>
    </row>
    <row r="39" spans="3:13" ht="15.6" customHeight="1" x14ac:dyDescent="0.3">
      <c r="C39" s="2"/>
      <c r="D39" s="4"/>
      <c r="E39" s="4"/>
      <c r="F39" s="4"/>
      <c r="H39" s="3"/>
      <c r="I39" s="3"/>
      <c r="K39" s="4"/>
      <c r="L39" s="4"/>
      <c r="M39" s="4"/>
    </row>
    <row r="40" spans="3:13" x14ac:dyDescent="0.3">
      <c r="C40" s="2" t="s">
        <v>2</v>
      </c>
      <c r="D40" s="108">
        <f>138000</f>
        <v>138000</v>
      </c>
      <c r="E40" s="2" t="s">
        <v>4</v>
      </c>
      <c r="F40" s="108">
        <f>D41</f>
        <v>3270000</v>
      </c>
    </row>
    <row r="41" spans="3:13" x14ac:dyDescent="0.3">
      <c r="C41" s="2"/>
      <c r="D41" s="109">
        <f>3270000</f>
        <v>3270000</v>
      </c>
      <c r="E41" s="2"/>
      <c r="F41" s="119">
        <f>F27</f>
        <v>1620000</v>
      </c>
    </row>
    <row r="42" spans="3:13" x14ac:dyDescent="0.3">
      <c r="C42" s="2"/>
      <c r="D42" s="2"/>
      <c r="E42" s="2"/>
      <c r="F42" s="2"/>
    </row>
    <row r="43" spans="3:13" x14ac:dyDescent="0.3">
      <c r="C43" s="2" t="s">
        <v>2</v>
      </c>
      <c r="D43" s="101">
        <f>+D40/D41</f>
        <v>4.2201834862385323E-2</v>
      </c>
      <c r="E43" s="2" t="s">
        <v>4</v>
      </c>
      <c r="F43" s="109">
        <f>F40/F41</f>
        <v>2.0185185185185186</v>
      </c>
    </row>
    <row r="44" spans="3:13" x14ac:dyDescent="0.3">
      <c r="C44" s="2"/>
      <c r="D44" s="2"/>
      <c r="E44" s="2"/>
      <c r="F44" s="2"/>
    </row>
    <row r="45" spans="3:13" x14ac:dyDescent="0.3">
      <c r="C45" s="2" t="s">
        <v>2</v>
      </c>
      <c r="D45" s="101">
        <f>+D43*F43</f>
        <v>8.5185185185185197E-2</v>
      </c>
      <c r="E45" s="2"/>
      <c r="F45" s="2"/>
    </row>
    <row r="46" spans="3:13" x14ac:dyDescent="0.3">
      <c r="C46" s="2"/>
      <c r="D46" s="2"/>
      <c r="E46" s="2"/>
      <c r="F46" s="2"/>
    </row>
    <row r="48" spans="3:13" x14ac:dyDescent="0.3">
      <c r="D48" s="54" t="s">
        <v>68</v>
      </c>
      <c r="E48" s="54"/>
      <c r="F48" s="63" t="s">
        <v>69</v>
      </c>
      <c r="G48" s="63"/>
      <c r="H48" s="63"/>
    </row>
    <row r="49" spans="3:11" x14ac:dyDescent="0.3">
      <c r="D49" s="54"/>
      <c r="E49" s="54"/>
      <c r="F49" s="64" t="s">
        <v>70</v>
      </c>
      <c r="G49" s="64"/>
      <c r="H49" s="64"/>
    </row>
    <row r="51" spans="3:11" x14ac:dyDescent="0.3">
      <c r="D51" s="54" t="s">
        <v>68</v>
      </c>
      <c r="E51" s="54"/>
      <c r="F51" s="23">
        <f>1450000</f>
        <v>1450000</v>
      </c>
    </row>
    <row r="52" spans="3:11" x14ac:dyDescent="0.3">
      <c r="D52" s="54"/>
      <c r="E52" s="54"/>
      <c r="F52" s="24">
        <f>F27</f>
        <v>1620000</v>
      </c>
    </row>
    <row r="54" spans="3:11" x14ac:dyDescent="0.3">
      <c r="D54" s="65" t="s">
        <v>68</v>
      </c>
      <c r="E54" s="65"/>
      <c r="F54" s="120">
        <f>+F51/F52</f>
        <v>0.89506172839506171</v>
      </c>
      <c r="H54" s="64"/>
      <c r="I54" s="64"/>
      <c r="K54" s="3"/>
    </row>
    <row r="55" spans="3:11" x14ac:dyDescent="0.3">
      <c r="D55" s="65"/>
      <c r="E55" s="65"/>
      <c r="F55" s="120"/>
      <c r="H55" s="6"/>
      <c r="K55" s="24"/>
    </row>
    <row r="57" spans="3:11" x14ac:dyDescent="0.3">
      <c r="C57" s="64" t="s">
        <v>71</v>
      </c>
      <c r="D57" s="64"/>
      <c r="E57" s="66" t="s">
        <v>77</v>
      </c>
      <c r="F57" s="66"/>
      <c r="G57" s="66"/>
      <c r="H57" s="66"/>
      <c r="I57" s="66"/>
      <c r="J57" s="66"/>
      <c r="K57" s="66"/>
    </row>
    <row r="58" spans="3:11" x14ac:dyDescent="0.3">
      <c r="E58" s="66"/>
      <c r="F58" s="66"/>
      <c r="G58" s="66"/>
      <c r="H58" s="66"/>
      <c r="I58" s="66"/>
      <c r="J58" s="66"/>
      <c r="K58" s="66"/>
    </row>
    <row r="59" spans="3:11" x14ac:dyDescent="0.3">
      <c r="E59" s="66"/>
      <c r="F59" s="66"/>
      <c r="G59" s="66"/>
      <c r="H59" s="66"/>
      <c r="I59" s="66"/>
      <c r="J59" s="66"/>
      <c r="K59" s="66"/>
    </row>
  </sheetData>
  <mergeCells count="42">
    <mergeCell ref="C57:D57"/>
    <mergeCell ref="E57:K59"/>
    <mergeCell ref="C20:G20"/>
    <mergeCell ref="C14:H14"/>
    <mergeCell ref="C15:F15"/>
    <mergeCell ref="D48:E49"/>
    <mergeCell ref="F48:H48"/>
    <mergeCell ref="F49:H49"/>
    <mergeCell ref="D51:E52"/>
    <mergeCell ref="D54:E55"/>
    <mergeCell ref="F54:F55"/>
    <mergeCell ref="H54:I54"/>
    <mergeCell ref="C32:F32"/>
    <mergeCell ref="C34:C36"/>
    <mergeCell ref="D34:F35"/>
    <mergeCell ref="G34:G35"/>
    <mergeCell ref="H34:I35"/>
    <mergeCell ref="K34:M35"/>
    <mergeCell ref="D36:F37"/>
    <mergeCell ref="H36:I37"/>
    <mergeCell ref="K36:M37"/>
    <mergeCell ref="C22:E22"/>
    <mergeCell ref="F22:H22"/>
    <mergeCell ref="J22:K22"/>
    <mergeCell ref="M22:N22"/>
    <mergeCell ref="C25:E25"/>
    <mergeCell ref="C27:E27"/>
    <mergeCell ref="C17:E18"/>
    <mergeCell ref="F17:H18"/>
    <mergeCell ref="I17:I18"/>
    <mergeCell ref="J17:K18"/>
    <mergeCell ref="L17:L18"/>
    <mergeCell ref="M17:N18"/>
    <mergeCell ref="C3:N3"/>
    <mergeCell ref="C8:C10"/>
    <mergeCell ref="D8:F9"/>
    <mergeCell ref="G8:G9"/>
    <mergeCell ref="H8:I9"/>
    <mergeCell ref="K8:M9"/>
    <mergeCell ref="D10:F11"/>
    <mergeCell ref="H10:I11"/>
    <mergeCell ref="K10:M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15F761A4F05D74C9A09B8B9178C8F28" ma:contentTypeVersion="7" ma:contentTypeDescription="Crear nuevo documento." ma:contentTypeScope="" ma:versionID="75bb4dd442e9db3a3a77e16ebc33033d">
  <xsd:schema xmlns:xsd="http://www.w3.org/2001/XMLSchema" xmlns:xs="http://www.w3.org/2001/XMLSchema" xmlns:p="http://schemas.microsoft.com/office/2006/metadata/properties" xmlns:ns2="726918c5-b813-45ce-a7f4-072932c2b8bb" targetNamespace="http://schemas.microsoft.com/office/2006/metadata/properties" ma:root="true" ma:fieldsID="42f8481975be06f47043ec85151f3da1" ns2:_="">
    <xsd:import namespace="726918c5-b813-45ce-a7f4-072932c2b8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918c5-b813-45ce-a7f4-072932c2b8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D19B5B-8CA7-461A-8F18-913E6555B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918c5-b813-45ce-a7f4-072932c2b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D2EC00-EE95-46A1-8169-03BD8259A01C}">
  <ds:schemaRefs>
    <ds:schemaRef ds:uri="http://schemas.microsoft.com/sharepoint/v3/contenttype/forms"/>
  </ds:schemaRefs>
</ds:datastoreItem>
</file>

<file path=customXml/itemProps3.xml><?xml version="1.0" encoding="utf-8"?>
<ds:datastoreItem xmlns:ds="http://schemas.openxmlformats.org/officeDocument/2006/customXml" ds:itemID="{70FDEB24-04EC-424C-8A8F-EC4F1127EF8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Fórmula DuPont</vt:lpstr>
      <vt:lpstr>Práctica</vt:lpstr>
      <vt:lpstr>Fórmula DuPont modificada</vt:lpstr>
      <vt:lpstr>Solución DuPont Modificada 2014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MORALES ESPINOZA FERNANDA VALENTINA</dc:creator>
  <cp:keywords/>
  <dc:description/>
  <cp:lastModifiedBy>Alex Roblero</cp:lastModifiedBy>
  <cp:revision/>
  <dcterms:created xsi:type="dcterms:W3CDTF">2025-11-12T14:25:08Z</dcterms:created>
  <dcterms:modified xsi:type="dcterms:W3CDTF">2026-03-11T17:00:14Z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0x010100615F761A4F05D74C9A09B8B9178C8F28</vt:lpwstr>
  </property>
</Properties>
</file>