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nspiron\Documents\UHISPANOAMERICANA\FINANZAS 1\FINANZAS IQ 2026\SEMANA 9\"/>
    </mc:Choice>
  </mc:AlternateContent>
  <xr:revisionPtr revIDLastSave="0" documentId="13_ncr:1_{4F06D08C-5DB9-41E4-8207-DE648FD1E029}" xr6:coauthVersionLast="47" xr6:coauthVersionMax="47" xr10:uidLastSave="{00000000-0000-0000-0000-000000000000}"/>
  <bookViews>
    <workbookView xWindow="-108" yWindow="-108" windowWidth="23256" windowHeight="12456" activeTab="3" xr2:uid="{02C2045C-647B-4B61-881D-E563DE9C2495}"/>
  </bookViews>
  <sheets>
    <sheet name="ROI" sheetId="5" r:id="rId1"/>
    <sheet name="APALANCAMIENTO FINANCIERO" sheetId="4" r:id="rId2"/>
    <sheet name="CPPC" sheetId="2" r:id="rId3"/>
    <sheet name="ESQUEMA DE PONDERACIO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3" l="1"/>
  <c r="G19" i="3"/>
  <c r="G20" i="3"/>
  <c r="G18" i="3"/>
  <c r="F19" i="3"/>
  <c r="F20" i="3"/>
  <c r="F18" i="3"/>
  <c r="E20" i="3"/>
  <c r="E19" i="3"/>
  <c r="E18" i="3"/>
  <c r="D20" i="3"/>
  <c r="D19" i="3"/>
  <c r="D18" i="3"/>
  <c r="F27" i="3"/>
  <c r="E27" i="3"/>
  <c r="B46" i="2"/>
  <c r="F44" i="2"/>
  <c r="D44" i="2"/>
  <c r="B44" i="2"/>
  <c r="E34" i="2"/>
  <c r="I37" i="4"/>
  <c r="F48" i="4" s="1"/>
  <c r="I31" i="4"/>
  <c r="G31" i="4" s="1"/>
  <c r="G32" i="4" s="1"/>
  <c r="M57" i="5"/>
  <c r="M55" i="5"/>
  <c r="M53" i="5"/>
  <c r="M52" i="5"/>
  <c r="M49" i="5"/>
  <c r="M44" i="5"/>
  <c r="M42" i="5"/>
  <c r="M40" i="5"/>
  <c r="M39" i="5"/>
  <c r="M36" i="5"/>
  <c r="N34" i="5"/>
  <c r="D98" i="5"/>
  <c r="D96" i="5"/>
  <c r="D94" i="5"/>
  <c r="D93" i="5"/>
  <c r="D80" i="5"/>
  <c r="D78" i="5"/>
  <c r="D76" i="5"/>
  <c r="D75" i="5"/>
  <c r="D55" i="5"/>
  <c r="D54" i="5"/>
  <c r="D57" i="5" s="1"/>
  <c r="D59" i="5" s="1"/>
  <c r="D35" i="5"/>
  <c r="D37" i="5" s="1"/>
  <c r="D39" i="5" s="1"/>
  <c r="D34" i="5"/>
  <c r="O55" i="5"/>
  <c r="P34" i="5"/>
  <c r="G34" i="4" l="1"/>
  <c r="G37" i="4" s="1"/>
  <c r="I34" i="4"/>
  <c r="F46" i="4" s="1"/>
  <c r="K31" i="4"/>
  <c r="I32" i="4"/>
  <c r="D34" i="2"/>
  <c r="F44" i="4" l="1"/>
  <c r="F49" i="4" s="1"/>
  <c r="I35" i="4"/>
  <c r="K32" i="4"/>
  <c r="K34" i="4"/>
  <c r="B48" i="2"/>
  <c r="K3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tc={E0037522-E57F-4C2E-8FB5-10A8CC4219BB}</author>
  </authors>
  <commentList>
    <comment ref="N27" authorId="0" shapeId="0" xr:uid="{E0037522-E57F-4C2E-8FB5-10A8CC4219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negativo, significa salida de dinero</t>
      </text>
    </comment>
  </commentList>
</comments>
</file>

<file path=xl/sharedStrings.xml><?xml version="1.0" encoding="utf-8"?>
<sst xmlns="http://schemas.openxmlformats.org/spreadsheetml/2006/main" count="234" uniqueCount="124">
  <si>
    <t>COSTO PROMEDIO PONDERADO DE CAPITAL</t>
  </si>
  <si>
    <t>Determinar el costo promedio ponderado de capital CCPP a partir de las ponderaciones dela estructura de capital</t>
  </si>
  <si>
    <t>Recuerden la fórmula</t>
  </si>
  <si>
    <t xml:space="preserve">COSTO DE CAPITAL PROMEDIO PONDERADO (CCPP): </t>
  </si>
  <si>
    <t xml:space="preserve"> </t>
  </si>
  <si>
    <t>DEUDA</t>
  </si>
  <si>
    <t>ACCIONES PREFERENTES</t>
  </si>
  <si>
    <t>UTILIDADES RETENIDAS</t>
  </si>
  <si>
    <t>NUEVAS ACCIONES ORDINARIAS</t>
  </si>
  <si>
    <t>La empresa usa para calcular su costo de capital (según de cada recurso) las siguientes ponderaciones</t>
  </si>
  <si>
    <t>Deuda largo plazo</t>
  </si>
  <si>
    <t>Capital acciones ordinarias</t>
  </si>
  <si>
    <t>¿ Cual es el costo de capital promedio ponderado?</t>
  </si>
  <si>
    <t>ESQUEMA DE PONDERACIÓN</t>
  </si>
  <si>
    <t>Ka=</t>
  </si>
  <si>
    <t>CCPP</t>
  </si>
  <si>
    <t>Wi=</t>
  </si>
  <si>
    <t>porción deuda largo plazo</t>
  </si>
  <si>
    <t>Ki=</t>
  </si>
  <si>
    <t>porcentaje de recursos deuda largo plazo</t>
  </si>
  <si>
    <t>Wp</t>
  </si>
  <si>
    <t>porción de acción preferente</t>
  </si>
  <si>
    <t>Kp=</t>
  </si>
  <si>
    <t>porcentaje de recursos acción preferente</t>
  </si>
  <si>
    <t>Ws=</t>
  </si>
  <si>
    <t>porción de acciones ordinarias</t>
  </si>
  <si>
    <t>Kron=</t>
  </si>
  <si>
    <t>porcentaje de recursos usando utilidades retenidas ó nuevas acciones ordinarios</t>
  </si>
  <si>
    <t>Costos de recursos</t>
  </si>
  <si>
    <t>Acciones preferentes</t>
  </si>
  <si>
    <t>(Wi x Ki)</t>
  </si>
  <si>
    <t>+</t>
  </si>
  <si>
    <t>(Wp x Kp)</t>
  </si>
  <si>
    <t>(Ws x Kron)</t>
  </si>
  <si>
    <t>Wp=</t>
  </si>
  <si>
    <t>COSTO DE CAPITAL PROMEDIO PONDERADO</t>
  </si>
  <si>
    <t>Fuente de capital</t>
  </si>
  <si>
    <t>Costo de la deuda, Ki=</t>
  </si>
  <si>
    <t>Costo de la acciones preferentes Kp</t>
  </si>
  <si>
    <t>Costo de las ganancias retenidas Kr</t>
  </si>
  <si>
    <t>Costo de nuevas acciones comunes Kn</t>
  </si>
  <si>
    <t>Para realizar el cálculo debemos considerar el porcentaje de los diferentes COSTOS tipos de Capital</t>
  </si>
  <si>
    <t>Costo (%)</t>
  </si>
  <si>
    <t xml:space="preserve">Ponderación(decimales) </t>
  </si>
  <si>
    <t>((1)x(2))</t>
  </si>
  <si>
    <t>Costo Ponderado (decimales)</t>
  </si>
  <si>
    <t>Costo Ponderado (%)</t>
  </si>
  <si>
    <t>Adicional se debe considerar las ponderaciones para calcular CCPP</t>
  </si>
  <si>
    <t>APALANCAMIENTO FINANCIERO</t>
  </si>
  <si>
    <t>Uso de los costos financieros fijos para acrecentar los efectos de los cambios en las utilidades antes de intereses e impuestos sobre las ganancias por acción de la empresa</t>
  </si>
  <si>
    <t>Apalancamiento operativo e incremento en los costos fijos</t>
  </si>
  <si>
    <t>Ventas (en unidades)</t>
  </si>
  <si>
    <t>Ingreso por ventas</t>
  </si>
  <si>
    <t>Utilidades antes de intereses e impuestos (UAII)</t>
  </si>
  <si>
    <t>Costos operativos variables= $4,50/unidad x ventas en unidades</t>
  </si>
  <si>
    <t>Caso 2</t>
  </si>
  <si>
    <t>Caso 1</t>
  </si>
  <si>
    <t>P= precio</t>
  </si>
  <si>
    <t>CV= Costo variable</t>
  </si>
  <si>
    <t>CF= Costo fijo</t>
  </si>
  <si>
    <t>Ejemplo</t>
  </si>
  <si>
    <t>Caso 1 Un incremento de 50 por ciento en las ventas</t>
  </si>
  <si>
    <t>Caso 2 Una disminución de 50 por ciento</t>
  </si>
  <si>
    <t>Cheryl’s Posters (precio de venta, P = $10 por unidad; costo variable operativo, CV = $5 por unidad; costo fijo operativo, CF = $2,500), Nivel de ventas de 1,000 unidades</t>
  </si>
  <si>
    <t>Q= cantidad</t>
  </si>
  <si>
    <t>RENDIMIENTO SOBRE LA INVERSION (RSI)/ RETURN ON INVESTMENT (ROI)</t>
  </si>
  <si>
    <r>
      <t xml:space="preserve">El </t>
    </r>
    <r>
      <rPr>
        <b/>
        <sz val="12"/>
        <color theme="1"/>
        <rFont val="Arial Nova"/>
        <family val="2"/>
      </rPr>
      <t>ROI (Return on Investment o Rendimiento sobre la Inversión)</t>
    </r>
    <r>
      <rPr>
        <sz val="12"/>
        <color theme="1"/>
        <rFont val="Arial Nova"/>
        <family val="2"/>
      </rPr>
      <t xml:space="preserve"> es un indicador financiero que mide la </t>
    </r>
    <r>
      <rPr>
        <b/>
        <sz val="12"/>
        <color theme="1"/>
        <rFont val="Arial Nova"/>
        <family val="2"/>
      </rPr>
      <t>rentabilidad de una inversión</t>
    </r>
    <r>
      <rPr>
        <sz val="12"/>
        <color theme="1"/>
        <rFont val="Arial Nova"/>
        <family val="2"/>
      </rPr>
      <t xml:space="preserve"> en relación con su costo.</t>
    </r>
  </si>
  <si>
    <t>✅ Fórmula del ROI</t>
  </si>
  <si>
    <t>Interpretación</t>
  </si>
  <si>
    <r>
      <rPr>
        <b/>
        <sz val="12"/>
        <color rgb="FF0000CC"/>
        <rFont val="Arial Nova"/>
        <family val="2"/>
      </rPr>
      <t>ROI positivo:</t>
    </r>
    <r>
      <rPr>
        <sz val="12"/>
        <color theme="1"/>
        <rFont val="Arial Nova"/>
        <family val="2"/>
      </rPr>
      <t xml:space="preserve"> la inversión generó ganancias.</t>
    </r>
  </si>
  <si>
    <r>
      <rPr>
        <b/>
        <sz val="12"/>
        <color rgb="FFC00000"/>
        <rFont val="Arial Nova"/>
        <family val="2"/>
      </rPr>
      <t>ROI negativo:</t>
    </r>
    <r>
      <rPr>
        <sz val="12"/>
        <color theme="1"/>
        <rFont val="Arial Nova"/>
        <family val="2"/>
      </rPr>
      <t xml:space="preserve"> la inversión produjo pérdidas.</t>
    </r>
  </si>
  <si>
    <t>ROI=</t>
  </si>
  <si>
    <t>Ganancia neta</t>
  </si>
  <si>
    <t>x</t>
  </si>
  <si>
    <r>
      <rPr>
        <b/>
        <sz val="12"/>
        <color rgb="FF008000"/>
        <rFont val="Arial Nova"/>
        <family val="2"/>
      </rPr>
      <t>ROI alto:</t>
    </r>
    <r>
      <rPr>
        <sz val="12"/>
        <color theme="1"/>
        <rFont val="Arial Nova"/>
        <family val="2"/>
      </rPr>
      <t xml:space="preserve"> mayor eficiencia y rentabilidad.</t>
    </r>
  </si>
  <si>
    <t>Costo de la inversión</t>
  </si>
  <si>
    <t>Ingresos obtenidos</t>
  </si>
  <si>
    <t>-</t>
  </si>
  <si>
    <r>
      <t>Ganancia neta</t>
    </r>
    <r>
      <rPr>
        <sz val="12"/>
        <color theme="1"/>
        <rFont val="Arial Nova"/>
        <family val="2"/>
      </rPr>
      <t xml:space="preserve"> = ingresos obtenidos por la inversión – costos totales.</t>
    </r>
  </si>
  <si>
    <r>
      <t>Costo de la inversión</t>
    </r>
    <r>
      <rPr>
        <sz val="12"/>
        <color theme="1"/>
        <rFont val="Arial Nova"/>
        <family val="2"/>
      </rPr>
      <t xml:space="preserve"> = monto inicial invertido.</t>
    </r>
  </si>
  <si>
    <t>Si inviertes $10,000 y obtienes $13,000 al final:</t>
  </si>
  <si>
    <t>Proyecto A</t>
  </si>
  <si>
    <t>Proyecto B</t>
  </si>
  <si>
    <t>Año</t>
  </si>
  <si>
    <t>Entradas operativas de efectivo</t>
  </si>
  <si>
    <t>Esto significa que tu inversión generó un 30% de rendimiento.</t>
  </si>
  <si>
    <t>Práctica</t>
  </si>
  <si>
    <t>Ejemplo 1: Proyecto de Marketing</t>
  </si>
  <si>
    <t>Costo de la campaña: $5,000</t>
  </si>
  <si>
    <t>Ingresos generados: $8,000</t>
  </si>
  <si>
    <t>Ejemplo 2: Compra de maquinaria</t>
  </si>
  <si>
    <t>Costo de la máquina: $50,000</t>
  </si>
  <si>
    <t>Beneficio neto anual: $15,000</t>
  </si>
  <si>
    <t>Ejemplo 3: Inversión en acciones</t>
  </si>
  <si>
    <t>Esto significa que tu inversión generó un 60% de rendimiento.</t>
  </si>
  <si>
    <t>Esto significa que tu inversión generó un 70% de pérdida.</t>
  </si>
  <si>
    <t>Esto significa que tu inversión generó un 20% de rendimiento.</t>
  </si>
  <si>
    <t>Esto significa que tu inversión generó un 67% de rendimiento.</t>
  </si>
  <si>
    <t>Esto significa que tu inversión generó un 56% de rendimiento.</t>
  </si>
  <si>
    <t>Monto invertido: $20,000</t>
  </si>
  <si>
    <t>Valor final: $24,000</t>
  </si>
  <si>
    <t>ROI ALTO</t>
  </si>
  <si>
    <t>ROI NEGATIVO</t>
  </si>
  <si>
    <t>ROI POSITIVO</t>
  </si>
  <si>
    <t>INGRESO</t>
  </si>
  <si>
    <t>Q1= cantidad aumentada</t>
  </si>
  <si>
    <t>Reales</t>
  </si>
  <si>
    <t>+50%</t>
  </si>
  <si>
    <t>*precio por cantidad=  P $10</t>
  </si>
  <si>
    <t>UAII</t>
  </si>
  <si>
    <t>UAII 1</t>
  </si>
  <si>
    <r>
      <rPr>
        <sz val="12"/>
        <color rgb="FFFF0000"/>
        <rFont val="Arial Nova"/>
        <family val="2"/>
      </rPr>
      <t>Menos</t>
    </r>
    <r>
      <rPr>
        <sz val="12"/>
        <color theme="1"/>
        <rFont val="Arial Nova"/>
        <family val="2"/>
      </rPr>
      <t xml:space="preserve"> costos operativos variables</t>
    </r>
  </si>
  <si>
    <r>
      <rPr>
        <sz val="12"/>
        <color rgb="FFFF0000"/>
        <rFont val="Arial Nova"/>
        <family val="2"/>
      </rPr>
      <t>menos</t>
    </r>
    <r>
      <rPr>
        <sz val="12"/>
        <color theme="1"/>
        <rFont val="Arial Nova"/>
        <family val="2"/>
      </rPr>
      <t xml:space="preserve"> costos operativos fijos</t>
    </r>
  </si>
  <si>
    <t>Ingreso ventas</t>
  </si>
  <si>
    <t>menos</t>
  </si>
  <si>
    <t xml:space="preserve"> costos operativos variables</t>
  </si>
  <si>
    <t>Cálculo COSTOS OPERATIVOS FIJOS (BASADO EN LOS DATOS)</t>
  </si>
  <si>
    <t>Costos operativos fijos</t>
  </si>
  <si>
    <t>Ventas unidades x costo operativo x unidad = ( 1,000 x 4,50= 4,500)</t>
  </si>
  <si>
    <t>Wi</t>
  </si>
  <si>
    <t>(0,40 x 6,29%)</t>
  </si>
  <si>
    <t>(0,10 x 8,37%)</t>
  </si>
  <si>
    <t>(0,50 x 14,50%)</t>
  </si>
  <si>
    <t>COSTO CAPITAL PROMEDIO PONDERADO CCPP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</si>
</sst>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[$$-409]#,##0.00"/>
    <numFmt numFmtId="166" formatCode="[$$-540A]#,##0.00"/>
  </numFmts>
  <fonts count="25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0"/>
      <name val="Arial"/>
      <family val="2"/>
    </font>
    <font>
      <sz val="5"/>
      <name val="Arial"/>
      <family val="2"/>
    </font>
    <font>
      <b/>
      <sz val="14"/>
      <color rgb="FF0000FF"/>
      <name val="Arial"/>
      <family val="2"/>
    </font>
    <font>
      <sz val="14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Arial Nova"/>
      <family val="2"/>
    </font>
    <font>
      <sz val="11"/>
      <color rgb="FF000000"/>
      <name val="Arial Nova"/>
      <family val="2"/>
    </font>
    <font>
      <b/>
      <sz val="18"/>
      <name val="Arial Nova"/>
      <family val="2"/>
    </font>
    <font>
      <sz val="11"/>
      <name val="Arial Nova"/>
      <family val="2"/>
    </font>
    <font>
      <sz val="12"/>
      <color theme="1"/>
      <name val="Arial Nova"/>
      <family val="2"/>
    </font>
    <font>
      <b/>
      <sz val="16"/>
      <color theme="1"/>
      <name val="Arial Nova"/>
      <family val="2"/>
    </font>
    <font>
      <b/>
      <sz val="12"/>
      <color theme="1"/>
      <name val="Arial Nova"/>
      <family val="2"/>
    </font>
    <font>
      <b/>
      <sz val="12"/>
      <color rgb="FF0000CC"/>
      <name val="Arial Nova"/>
      <family val="2"/>
    </font>
    <font>
      <b/>
      <sz val="12"/>
      <color rgb="FFC00000"/>
      <name val="Arial Nova"/>
      <family val="2"/>
    </font>
    <font>
      <b/>
      <sz val="12"/>
      <color rgb="FF008000"/>
      <name val="Arial Nova"/>
      <family val="2"/>
    </font>
    <font>
      <sz val="12"/>
      <color rgb="FF0000CC"/>
      <name val="Arial Nova"/>
      <family val="2"/>
    </font>
    <font>
      <b/>
      <sz val="14"/>
      <color rgb="FF0000CC"/>
      <name val="Arial Nova"/>
      <family val="2"/>
    </font>
    <font>
      <b/>
      <sz val="12"/>
      <color rgb="FFFF0000"/>
      <name val="Arial Nova"/>
      <family val="2"/>
    </font>
    <font>
      <b/>
      <sz val="12"/>
      <color rgb="FF00CC00"/>
      <name val="Arial Nova"/>
      <family val="2"/>
    </font>
    <font>
      <sz val="12"/>
      <color rgb="FFFF0000"/>
      <name val="Arial Nova"/>
      <family val="2"/>
    </font>
    <font>
      <b/>
      <sz val="11"/>
      <color theme="1"/>
      <name val="Arial Nov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rgb="FF99FF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B2B2B2"/>
      </bottom>
      <diagonal/>
    </border>
    <border>
      <left/>
      <right/>
      <top style="medium">
        <color indexed="64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8" fillId="0" borderId="0" applyFont="0" applyFill="0" applyBorder="0" applyAlignment="0" applyProtection="0"/>
    <xf numFmtId="0" fontId="8" fillId="3" borderId="11" applyNumberFormat="0" applyFont="0" applyAlignment="0" applyProtection="0"/>
    <xf numFmtId="43" fontId="8" fillId="0" borderId="0" applyFont="0" applyFill="0" applyBorder="0" applyAlignment="0" applyProtection="0"/>
  </cellStyleXfs>
  <cellXfs count="168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0" fontId="2" fillId="0" borderId="8" xfId="0" applyNumberFormat="1" applyFont="1" applyBorder="1"/>
    <xf numFmtId="0" fontId="3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10" fontId="2" fillId="0" borderId="0" xfId="0" applyNumberFormat="1" applyFont="1"/>
    <xf numFmtId="0" fontId="2" fillId="0" borderId="0" xfId="0" applyFont="1" applyAlignment="1">
      <alignment horizontal="center"/>
    </xf>
    <xf numFmtId="0" fontId="9" fillId="0" borderId="0" xfId="0" applyFont="1"/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164" fontId="9" fillId="0" borderId="0" xfId="1" applyNumberFormat="1" applyFont="1"/>
    <xf numFmtId="0" fontId="9" fillId="0" borderId="10" xfId="0" applyFont="1" applyBorder="1" applyAlignment="1">
      <alignment horizontal="center"/>
    </xf>
    <xf numFmtId="0" fontId="2" fillId="3" borderId="11" xfId="2" applyFont="1"/>
    <xf numFmtId="0" fontId="3" fillId="3" borderId="11" xfId="2" applyFont="1"/>
    <xf numFmtId="0" fontId="13" fillId="0" borderId="0" xfId="0" applyFont="1"/>
    <xf numFmtId="0" fontId="13" fillId="0" borderId="0" xfId="0" applyFont="1" applyAlignment="1">
      <alignment horizontal="center"/>
    </xf>
    <xf numFmtId="0" fontId="15" fillId="0" borderId="0" xfId="0" applyFont="1"/>
    <xf numFmtId="0" fontId="13" fillId="0" borderId="0" xfId="0" applyFont="1" applyAlignment="1">
      <alignment horizontal="left"/>
    </xf>
    <xf numFmtId="43" fontId="13" fillId="0" borderId="0" xfId="3" applyFont="1"/>
    <xf numFmtId="9" fontId="13" fillId="0" borderId="0" xfId="0" applyNumberFormat="1" applyFont="1"/>
    <xf numFmtId="0" fontId="15" fillId="0" borderId="0" xfId="0" applyFont="1" applyAlignment="1">
      <alignment vertical="center"/>
    </xf>
    <xf numFmtId="0" fontId="13" fillId="3" borderId="16" xfId="2" applyFont="1" applyBorder="1" applyAlignment="1">
      <alignment horizontal="left" vertical="center"/>
    </xf>
    <xf numFmtId="0" fontId="13" fillId="3" borderId="11" xfId="2" applyFont="1" applyAlignment="1">
      <alignment horizontal="left" vertical="center"/>
    </xf>
    <xf numFmtId="0" fontId="13" fillId="3" borderId="17" xfId="2" applyFont="1" applyBorder="1" applyAlignment="1">
      <alignment horizontal="left" vertical="center"/>
    </xf>
    <xf numFmtId="0" fontId="15" fillId="0" borderId="0" xfId="0" applyFont="1" applyAlignment="1">
      <alignment horizontal="center"/>
    </xf>
    <xf numFmtId="9" fontId="15" fillId="0" borderId="0" xfId="0" applyNumberFormat="1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9" fontId="15" fillId="0" borderId="3" xfId="1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3" fillId="0" borderId="0" xfId="0" applyFont="1" applyAlignment="1">
      <alignment horizontal="left" vertical="center" indent="1"/>
    </xf>
    <xf numFmtId="9" fontId="13" fillId="3" borderId="23" xfId="2" applyNumberFormat="1" applyFont="1" applyBorder="1"/>
    <xf numFmtId="0" fontId="15" fillId="3" borderId="24" xfId="2" applyFont="1" applyBorder="1"/>
    <xf numFmtId="164" fontId="15" fillId="3" borderId="24" xfId="2" applyNumberFormat="1" applyFont="1" applyBorder="1"/>
    <xf numFmtId="0" fontId="15" fillId="3" borderId="25" xfId="2" applyFont="1" applyBorder="1"/>
    <xf numFmtId="0" fontId="13" fillId="3" borderId="16" xfId="2" applyFont="1" applyBorder="1"/>
    <xf numFmtId="0" fontId="13" fillId="3" borderId="11" xfId="2" applyFont="1"/>
    <xf numFmtId="0" fontId="13" fillId="3" borderId="17" xfId="2" applyFont="1" applyBorder="1"/>
    <xf numFmtId="165" fontId="13" fillId="0" borderId="18" xfId="0" applyNumberFormat="1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165" fontId="13" fillId="0" borderId="0" xfId="0" applyNumberFormat="1" applyFont="1" applyAlignment="1">
      <alignment horizontal="center"/>
    </xf>
    <xf numFmtId="0" fontId="13" fillId="3" borderId="19" xfId="2" applyFont="1" applyBorder="1"/>
    <xf numFmtId="0" fontId="13" fillId="3" borderId="20" xfId="2" applyFont="1" applyBorder="1"/>
    <xf numFmtId="9" fontId="13" fillId="0" borderId="0" xfId="1" applyFont="1" applyAlignment="1">
      <alignment horizontal="center"/>
    </xf>
    <xf numFmtId="0" fontId="22" fillId="0" borderId="0" xfId="0" applyFont="1" applyAlignment="1">
      <alignment horizontal="center"/>
    </xf>
    <xf numFmtId="0" fontId="13" fillId="3" borderId="16" xfId="2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left"/>
    </xf>
    <xf numFmtId="0" fontId="15" fillId="0" borderId="12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3" borderId="13" xfId="2" applyFont="1" applyBorder="1" applyAlignment="1">
      <alignment horizontal="center" vertical="center"/>
    </xf>
    <xf numFmtId="0" fontId="15" fillId="3" borderId="14" xfId="2" applyFont="1" applyBorder="1" applyAlignment="1">
      <alignment horizontal="center" vertical="center"/>
    </xf>
    <xf numFmtId="0" fontId="15" fillId="3" borderId="15" xfId="2" applyFont="1" applyBorder="1" applyAlignment="1">
      <alignment horizontal="center" vertical="center"/>
    </xf>
    <xf numFmtId="0" fontId="13" fillId="3" borderId="16" xfId="2" applyFont="1" applyBorder="1" applyAlignment="1">
      <alignment horizontal="left" vertical="center"/>
    </xf>
    <xf numFmtId="0" fontId="13" fillId="3" borderId="11" xfId="2" applyFont="1" applyAlignment="1">
      <alignment horizontal="left" vertical="center"/>
    </xf>
    <xf numFmtId="0" fontId="13" fillId="3" borderId="17" xfId="2" applyFont="1" applyBorder="1" applyAlignment="1">
      <alignment horizontal="left" vertical="center"/>
    </xf>
    <xf numFmtId="0" fontId="15" fillId="0" borderId="18" xfId="0" applyFont="1" applyBorder="1" applyAlignment="1">
      <alignment horizontal="center"/>
    </xf>
    <xf numFmtId="0" fontId="13" fillId="3" borderId="19" xfId="2" applyFont="1" applyBorder="1" applyAlignment="1">
      <alignment horizontal="left" vertical="center"/>
    </xf>
    <xf numFmtId="0" fontId="13" fillId="3" borderId="20" xfId="2" applyFont="1" applyBorder="1" applyAlignment="1">
      <alignment horizontal="left" vertical="center"/>
    </xf>
    <xf numFmtId="0" fontId="13" fillId="3" borderId="21" xfId="2" applyFont="1" applyBorder="1" applyAlignment="1">
      <alignment horizontal="left" vertical="center"/>
    </xf>
    <xf numFmtId="0" fontId="15" fillId="0" borderId="22" xfId="0" applyFont="1" applyBorder="1" applyAlignment="1">
      <alignment horizontal="center"/>
    </xf>
    <xf numFmtId="0" fontId="15" fillId="0" borderId="0" xfId="0" applyFont="1" applyAlignment="1">
      <alignment horizontal="left" vertical="center"/>
    </xf>
    <xf numFmtId="165" fontId="13" fillId="0" borderId="9" xfId="0" applyNumberFormat="1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3" fillId="0" borderId="0" xfId="0" applyFont="1" applyBorder="1"/>
    <xf numFmtId="9" fontId="15" fillId="0" borderId="8" xfId="1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9" fontId="16" fillId="0" borderId="0" xfId="1" applyFont="1" applyAlignment="1">
      <alignment horizontal="center"/>
    </xf>
    <xf numFmtId="9" fontId="21" fillId="0" borderId="0" xfId="1" applyFont="1" applyAlignment="1">
      <alignment horizontal="center"/>
    </xf>
    <xf numFmtId="9" fontId="16" fillId="4" borderId="0" xfId="1" applyFont="1" applyFill="1" applyAlignment="1">
      <alignment horizontal="center"/>
    </xf>
    <xf numFmtId="0" fontId="21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66" fontId="16" fillId="3" borderId="11" xfId="2" applyNumberFormat="1" applyFont="1"/>
    <xf numFmtId="166" fontId="19" fillId="3" borderId="11" xfId="2" applyNumberFormat="1" applyFont="1"/>
    <xf numFmtId="166" fontId="16" fillId="3" borderId="17" xfId="2" applyNumberFormat="1" applyFont="1" applyBorder="1"/>
    <xf numFmtId="166" fontId="13" fillId="3" borderId="11" xfId="2" applyNumberFormat="1" applyFont="1"/>
    <xf numFmtId="166" fontId="13" fillId="3" borderId="17" xfId="2" applyNumberFormat="1" applyFont="1" applyBorder="1"/>
    <xf numFmtId="166" fontId="13" fillId="3" borderId="20" xfId="2" applyNumberFormat="1" applyFont="1" applyBorder="1"/>
    <xf numFmtId="166" fontId="13" fillId="3" borderId="21" xfId="2" applyNumberFormat="1" applyFont="1" applyBorder="1"/>
    <xf numFmtId="166" fontId="21" fillId="3" borderId="17" xfId="2" applyNumberFormat="1" applyFont="1" applyBorder="1"/>
    <xf numFmtId="166" fontId="21" fillId="3" borderId="11" xfId="2" applyNumberFormat="1" applyFont="1"/>
    <xf numFmtId="166" fontId="15" fillId="0" borderId="0" xfId="0" applyNumberFormat="1" applyFont="1"/>
    <xf numFmtId="43" fontId="13" fillId="0" borderId="0" xfId="0" applyNumberFormat="1" applyFont="1"/>
    <xf numFmtId="49" fontId="13" fillId="0" borderId="0" xfId="0" applyNumberFormat="1" applyFont="1" applyAlignment="1">
      <alignment horizontal="center"/>
    </xf>
    <xf numFmtId="0" fontId="19" fillId="0" borderId="0" xfId="0" applyFont="1"/>
    <xf numFmtId="165" fontId="13" fillId="0" borderId="0" xfId="0" applyNumberFormat="1" applyFont="1"/>
    <xf numFmtId="0" fontId="13" fillId="3" borderId="23" xfId="2" applyFont="1" applyBorder="1" applyAlignment="1">
      <alignment horizontal="left"/>
    </xf>
    <xf numFmtId="0" fontId="13" fillId="3" borderId="24" xfId="2" applyFont="1" applyBorder="1" applyAlignment="1">
      <alignment horizontal="left"/>
    </xf>
    <xf numFmtId="165" fontId="13" fillId="3" borderId="25" xfId="2" applyNumberFormat="1" applyFont="1" applyBorder="1" applyAlignment="1">
      <alignment horizontal="center"/>
    </xf>
    <xf numFmtId="0" fontId="13" fillId="3" borderId="16" xfId="2" applyFont="1" applyBorder="1" applyAlignment="1">
      <alignment horizontal="left"/>
    </xf>
    <xf numFmtId="0" fontId="13" fillId="3" borderId="11" xfId="2" applyFont="1" applyBorder="1" applyAlignment="1">
      <alignment horizontal="left"/>
    </xf>
    <xf numFmtId="165" fontId="13" fillId="3" borderId="17" xfId="2" applyNumberFormat="1" applyFont="1" applyBorder="1" applyAlignment="1">
      <alignment horizontal="center"/>
    </xf>
    <xf numFmtId="43" fontId="13" fillId="3" borderId="17" xfId="2" applyNumberFormat="1" applyFont="1" applyBorder="1"/>
    <xf numFmtId="0" fontId="13" fillId="3" borderId="19" xfId="2" applyFont="1" applyBorder="1" applyAlignment="1">
      <alignment horizontal="left"/>
    </xf>
    <xf numFmtId="0" fontId="13" fillId="3" borderId="20" xfId="2" applyFont="1" applyBorder="1" applyAlignment="1">
      <alignment horizontal="left"/>
    </xf>
    <xf numFmtId="43" fontId="13" fillId="3" borderId="21" xfId="2" applyNumberFormat="1" applyFont="1" applyBorder="1"/>
    <xf numFmtId="0" fontId="13" fillId="3" borderId="16" xfId="2" applyFont="1" applyBorder="1" applyAlignment="1">
      <alignment horizontal="left"/>
    </xf>
    <xf numFmtId="0" fontId="13" fillId="3" borderId="11" xfId="2" applyFont="1" applyBorder="1" applyAlignment="1">
      <alignment horizontal="left"/>
    </xf>
    <xf numFmtId="0" fontId="13" fillId="3" borderId="11" xfId="2" applyFont="1" applyBorder="1"/>
    <xf numFmtId="0" fontId="13" fillId="5" borderId="0" xfId="0" applyFont="1" applyFill="1" applyAlignment="1">
      <alignment horizontal="center"/>
    </xf>
    <xf numFmtId="43" fontId="13" fillId="5" borderId="0" xfId="3" applyFont="1" applyFill="1"/>
    <xf numFmtId="43" fontId="13" fillId="5" borderId="0" xfId="0" applyNumberFormat="1" applyFont="1" applyFill="1"/>
    <xf numFmtId="165" fontId="13" fillId="5" borderId="0" xfId="0" applyNumberFormat="1" applyFont="1" applyFill="1"/>
    <xf numFmtId="0" fontId="13" fillId="5" borderId="0" xfId="0" applyFont="1" applyFill="1"/>
    <xf numFmtId="165" fontId="15" fillId="5" borderId="0" xfId="0" applyNumberFormat="1" applyFont="1" applyFill="1" applyAlignment="1">
      <alignment horizontal="center"/>
    </xf>
    <xf numFmtId="0" fontId="15" fillId="0" borderId="0" xfId="0" applyFont="1" applyAlignment="1">
      <alignment horizontal="center"/>
    </xf>
    <xf numFmtId="165" fontId="13" fillId="0" borderId="18" xfId="0" applyNumberFormat="1" applyFont="1" applyBorder="1"/>
    <xf numFmtId="0" fontId="21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165" fontId="15" fillId="5" borderId="0" xfId="0" applyNumberFormat="1" applyFont="1" applyFill="1"/>
    <xf numFmtId="165" fontId="21" fillId="0" borderId="0" xfId="0" applyNumberFormat="1" applyFont="1"/>
    <xf numFmtId="165" fontId="16" fillId="0" borderId="0" xfId="0" applyNumberFormat="1" applyFont="1"/>
    <xf numFmtId="165" fontId="13" fillId="3" borderId="21" xfId="2" applyNumberFormat="1" applyFont="1" applyBorder="1" applyAlignment="1">
      <alignment horizontal="center"/>
    </xf>
    <xf numFmtId="2" fontId="2" fillId="0" borderId="0" xfId="0" applyNumberFormat="1" applyFont="1"/>
    <xf numFmtId="10" fontId="2" fillId="5" borderId="3" xfId="0" applyNumberFormat="1" applyFont="1" applyFill="1" applyBorder="1"/>
    <xf numFmtId="10" fontId="2" fillId="6" borderId="5" xfId="0" applyNumberFormat="1" applyFont="1" applyFill="1" applyBorder="1"/>
    <xf numFmtId="10" fontId="2" fillId="7" borderId="8" xfId="0" applyNumberFormat="1" applyFont="1" applyFill="1" applyBorder="1"/>
    <xf numFmtId="10" fontId="2" fillId="7" borderId="5" xfId="0" applyNumberFormat="1" applyFont="1" applyFill="1" applyBorder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10" fontId="3" fillId="3" borderId="11" xfId="2" applyNumberFormat="1" applyFont="1"/>
    <xf numFmtId="0" fontId="2" fillId="0" borderId="0" xfId="0" applyFont="1" applyBorder="1" applyAlignment="1">
      <alignment horizontal="left"/>
    </xf>
    <xf numFmtId="164" fontId="9" fillId="5" borderId="0" xfId="1" applyNumberFormat="1" applyFont="1" applyFill="1"/>
    <xf numFmtId="164" fontId="9" fillId="6" borderId="0" xfId="1" applyNumberFormat="1" applyFont="1" applyFill="1"/>
    <xf numFmtId="164" fontId="9" fillId="7" borderId="0" xfId="1" applyNumberFormat="1" applyFont="1" applyFill="1"/>
    <xf numFmtId="0" fontId="1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2" fontId="2" fillId="0" borderId="0" xfId="0" applyNumberFormat="1" applyFont="1" applyBorder="1" applyAlignment="1"/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 wrapText="1"/>
    </xf>
    <xf numFmtId="0" fontId="10" fillId="0" borderId="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wrapText="1"/>
    </xf>
    <xf numFmtId="164" fontId="9" fillId="0" borderId="0" xfId="1" applyNumberFormat="1" applyFont="1" applyBorder="1"/>
    <xf numFmtId="0" fontId="9" fillId="0" borderId="0" xfId="0" applyFont="1" applyBorder="1"/>
    <xf numFmtId="164" fontId="9" fillId="0" borderId="5" xfId="1" applyNumberFormat="1" applyFont="1" applyBorder="1"/>
    <xf numFmtId="0" fontId="9" fillId="0" borderId="6" xfId="0" applyFont="1" applyBorder="1"/>
    <xf numFmtId="0" fontId="9" fillId="0" borderId="7" xfId="0" applyFont="1" applyBorder="1"/>
    <xf numFmtId="0" fontId="24" fillId="0" borderId="7" xfId="0" applyFont="1" applyBorder="1"/>
    <xf numFmtId="164" fontId="24" fillId="0" borderId="7" xfId="1" applyNumberFormat="1" applyFont="1" applyBorder="1"/>
    <xf numFmtId="164" fontId="24" fillId="0" borderId="8" xfId="1" applyNumberFormat="1" applyFont="1" applyBorder="1"/>
    <xf numFmtId="164" fontId="9" fillId="0" borderId="29" xfId="1" applyNumberFormat="1" applyFont="1" applyBorder="1"/>
  </cellXfs>
  <cellStyles count="4">
    <cellStyle name="Millares" xfId="3" builtinId="3"/>
    <cellStyle name="Normal" xfId="0" builtinId="0"/>
    <cellStyle name="Notas" xfId="2" builtinId="10"/>
    <cellStyle name="Porcentaje" xfId="1" builtinId="5"/>
  </cellStyles>
  <dxfs count="0"/>
  <tableStyles count="0" defaultTableStyle="TableStyleMedium2" defaultPivotStyle="PivotStyleLight16"/>
  <colors>
    <mruColors>
      <color rgb="FFCCCCFF"/>
      <color rgb="FFFFCCFF"/>
      <color rgb="FFCCECFF"/>
      <color rgb="FF0000CC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617220</xdr:colOff>
      <xdr:row>10</xdr:row>
      <xdr:rowOff>83820</xdr:rowOff>
    </xdr:from>
    <xdr:to>
      <xdr:col>3</xdr:col>
      <xdr:colOff>106680</xdr:colOff>
      <xdr:row>14</xdr:row>
      <xdr:rowOff>129540</xdr:rowOff>
    </xdr:to>
    <xdr:sp macro="" textlink="">
      <xdr:nvSpPr>
        <xdr:cNvPr id="2" name="Flecha: curvada hacia la derecha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202180" y="2148840"/>
          <a:ext cx="281940" cy="853440"/>
        </a:xfrm>
        <a:prstGeom prst="curvedRightArrow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R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548640</xdr:colOff>
      <xdr:row>23</xdr:row>
      <xdr:rowOff>144780</xdr:rowOff>
    </xdr:from>
    <xdr:to>
      <xdr:col>23</xdr:col>
      <xdr:colOff>490728</xdr:colOff>
      <xdr:row>41</xdr:row>
      <xdr:rowOff>45483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15800" y="4792980"/>
          <a:ext cx="6281928" cy="3596403"/>
        </a:xfrm>
        <a:prstGeom prst="rect">
          <a:avLst/>
        </a:prstGeom>
      </xdr:spPr>
    </xdr:pic>
    <xdr:clientData/>
  </xdr:twoCellAnchor>
  <xdr:twoCellAnchor editAs="oneCell">
    <xdr:from>
      <xdr:col>11</xdr:col>
      <xdr:colOff>495300</xdr:colOff>
      <xdr:row>4</xdr:row>
      <xdr:rowOff>68580</xdr:rowOff>
    </xdr:from>
    <xdr:to>
      <xdr:col>21</xdr:col>
      <xdr:colOff>130195</xdr:colOff>
      <xdr:row>22</xdr:row>
      <xdr:rowOff>7925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98180" y="937260"/>
          <a:ext cx="7559695" cy="3520745"/>
        </a:xfrm>
        <a:prstGeom prst="rect">
          <a:avLst/>
        </a:prstGeom>
      </xdr:spPr>
    </xdr:pic>
    <xdr:clientData/>
  </xdr:twoCellAnchor>
  <xdr:twoCellAnchor>
    <xdr:from>
      <xdr:col>6</xdr:col>
      <xdr:colOff>327660</xdr:colOff>
      <xdr:row>29</xdr:row>
      <xdr:rowOff>30480</xdr:rowOff>
    </xdr:from>
    <xdr:to>
      <xdr:col>8</xdr:col>
      <xdr:colOff>22860</xdr:colOff>
      <xdr:row>30</xdr:row>
      <xdr:rowOff>0</xdr:rowOff>
    </xdr:to>
    <xdr:sp macro="" textlink="">
      <xdr:nvSpPr>
        <xdr:cNvPr id="4" name="Flecha: curvada hacia arriba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 rot="10800000">
          <a:off x="5288280" y="5455920"/>
          <a:ext cx="487680" cy="266700"/>
        </a:xfrm>
        <a:prstGeom prst="curvedUpArrow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R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114300</xdr:colOff>
      <xdr:row>29</xdr:row>
      <xdr:rowOff>30480</xdr:rowOff>
    </xdr:from>
    <xdr:to>
      <xdr:col>10</xdr:col>
      <xdr:colOff>601980</xdr:colOff>
      <xdr:row>29</xdr:row>
      <xdr:rowOff>259080</xdr:rowOff>
    </xdr:to>
    <xdr:sp macro="" textlink="">
      <xdr:nvSpPr>
        <xdr:cNvPr id="6" name="Flecha: curvada hacia abaj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6659880" y="5455920"/>
          <a:ext cx="487680" cy="228600"/>
        </a:xfrm>
        <a:prstGeom prst="curvedDownArrow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R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724800</xdr:colOff>
      <xdr:row>34</xdr:row>
      <xdr:rowOff>115380</xdr:rowOff>
    </xdr:from>
    <xdr:to>
      <xdr:col>8</xdr:col>
      <xdr:colOff>63720</xdr:colOff>
      <xdr:row>34</xdr:row>
      <xdr:rowOff>115380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3D6DE57D-E5CA-6820-E592-DCC3E725C635}"/>
            </a:ext>
          </a:extLst>
        </xdr:cNvPr>
        <xdr:cNvCxnSpPr/>
      </xdr:nvCxnSpPr>
      <xdr:spPr>
        <a:xfrm>
          <a:off x="6150240" y="7064820"/>
          <a:ext cx="360000" cy="0"/>
        </a:xfrm>
        <a:prstGeom prst="line">
          <a:avLst/>
        </a:prstGeom>
        <a:gradFill>
          <a:gsLst>
            <a:gs pos="1000">
              <a:srgbClr val="489CD1">
                <a:alpha val="5000"/>
              </a:srgbClr>
            </a:gs>
            <a:gs pos="25000">
              <a:srgbClr val="A9D7B2">
                <a:alpha val="5000"/>
              </a:srgbClr>
            </a:gs>
            <a:gs pos="50000">
              <a:srgbClr val="B92B65">
                <a:alpha val="5000"/>
              </a:srgbClr>
            </a:gs>
            <a:gs pos="76000">
              <a:srgbClr val="9B2486">
                <a:alpha val="5000"/>
              </a:srgbClr>
            </a:gs>
            <a:gs pos="100000">
              <a:srgbClr val="244F85">
                <a:alpha val="5000"/>
              </a:srgbClr>
            </a:gs>
          </a:gsLst>
        </a:gradFill>
        <a:ln w="36000">
          <a:gradFill>
            <a:gsLst>
              <a:gs pos="1000">
                <a:srgbClr val="489CD1"/>
              </a:gs>
              <a:gs pos="25000">
                <a:srgbClr val="A9D7B2"/>
              </a:gs>
              <a:gs pos="50000">
                <a:srgbClr val="B92B65"/>
              </a:gs>
              <a:gs pos="76000">
                <a:srgbClr val="9B2486"/>
              </a:gs>
              <a:gs pos="100000">
                <a:srgbClr val="244F85"/>
              </a:gs>
            </a:gsLst>
          </a:gradFill>
          <a:head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784800</xdr:colOff>
      <xdr:row>34</xdr:row>
      <xdr:rowOff>103500</xdr:rowOff>
    </xdr:from>
    <xdr:to>
      <xdr:col>10</xdr:col>
      <xdr:colOff>9420</xdr:colOff>
      <xdr:row>34</xdr:row>
      <xdr:rowOff>103500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45BD26C3-E8EB-F1A9-E6A9-CA9CF80798AA}"/>
            </a:ext>
          </a:extLst>
        </xdr:cNvPr>
        <xdr:cNvCxnSpPr/>
      </xdr:nvCxnSpPr>
      <xdr:spPr>
        <a:xfrm>
          <a:off x="7231320" y="7052940"/>
          <a:ext cx="360000" cy="0"/>
        </a:xfrm>
        <a:prstGeom prst="line">
          <a:avLst/>
        </a:prstGeom>
        <a:gradFill>
          <a:gsLst>
            <a:gs pos="1000">
              <a:srgbClr val="7FC83F">
                <a:alpha val="5000"/>
              </a:srgbClr>
            </a:gs>
            <a:gs pos="18000">
              <a:srgbClr val="489CD1">
                <a:alpha val="5000"/>
              </a:srgbClr>
            </a:gs>
            <a:gs pos="36000">
              <a:srgbClr val="9B2486">
                <a:alpha val="5000"/>
              </a:srgbClr>
            </a:gs>
            <a:gs pos="52000">
              <a:srgbClr val="D33634">
                <a:alpha val="5000"/>
              </a:srgbClr>
            </a:gs>
            <a:gs pos="68000">
              <a:srgbClr val="E93668">
                <a:alpha val="5000"/>
              </a:srgbClr>
            </a:gs>
            <a:gs pos="83000">
              <a:srgbClr val="E46C33">
                <a:alpha val="5000"/>
              </a:srgbClr>
            </a:gs>
            <a:gs pos="95000">
              <a:srgbClr val="F5C248">
                <a:alpha val="5000"/>
              </a:srgbClr>
            </a:gs>
          </a:gsLst>
        </a:gradFill>
        <a:ln w="36000">
          <a:gradFill>
            <a:gsLst>
              <a:gs pos="1000">
                <a:srgbClr val="7FC83F"/>
              </a:gs>
              <a:gs pos="18000">
                <a:srgbClr val="489CD1"/>
              </a:gs>
              <a:gs pos="36000">
                <a:srgbClr val="9B2486"/>
              </a:gs>
              <a:gs pos="52000">
                <a:srgbClr val="D33634"/>
              </a:gs>
              <a:gs pos="68000">
                <a:srgbClr val="E93668"/>
              </a:gs>
              <a:gs pos="83000">
                <a:srgbClr val="E46C33"/>
              </a:gs>
              <a:gs pos="95000">
                <a:srgbClr val="F5C248"/>
              </a:gs>
            </a:gsLst>
          </a:gra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182880</xdr:colOff>
      <xdr:row>34</xdr:row>
      <xdr:rowOff>181530</xdr:rowOff>
    </xdr:from>
    <xdr:to>
      <xdr:col>8</xdr:col>
      <xdr:colOff>671778</xdr:colOff>
      <xdr:row>46</xdr:row>
      <xdr:rowOff>83820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DC6108E4-2339-CEB3-F227-EBA13A8C4ACC}"/>
            </a:ext>
          </a:extLst>
        </xdr:cNvPr>
        <xdr:cNvCxnSpPr/>
      </xdr:nvCxnSpPr>
      <xdr:spPr>
        <a:xfrm flipH="1">
          <a:off x="5814060" y="7130970"/>
          <a:ext cx="1509978" cy="2287350"/>
        </a:xfrm>
        <a:prstGeom prst="line">
          <a:avLst/>
        </a:prstGeom>
        <a:gradFill>
          <a:gsLst>
            <a:gs pos="1000">
              <a:srgbClr val="7FC83F">
                <a:alpha val="5000"/>
              </a:srgbClr>
            </a:gs>
            <a:gs pos="18000">
              <a:srgbClr val="489CD1">
                <a:alpha val="5000"/>
              </a:srgbClr>
            </a:gs>
            <a:gs pos="36000">
              <a:srgbClr val="9B2486">
                <a:alpha val="5000"/>
              </a:srgbClr>
            </a:gs>
            <a:gs pos="52000">
              <a:srgbClr val="D33634">
                <a:alpha val="5000"/>
              </a:srgbClr>
            </a:gs>
            <a:gs pos="68000">
              <a:srgbClr val="E93668">
                <a:alpha val="5000"/>
              </a:srgbClr>
            </a:gs>
            <a:gs pos="83000">
              <a:srgbClr val="E46C33">
                <a:alpha val="5000"/>
              </a:srgbClr>
            </a:gs>
            <a:gs pos="95000">
              <a:srgbClr val="F5C248">
                <a:alpha val="5000"/>
              </a:srgbClr>
            </a:gs>
          </a:gsLst>
        </a:gradFill>
        <a:ln w="36000">
          <a:gradFill>
            <a:gsLst>
              <a:gs pos="1000">
                <a:srgbClr val="7FC83F"/>
              </a:gs>
              <a:gs pos="18000">
                <a:srgbClr val="489CD1"/>
              </a:gs>
              <a:gs pos="36000">
                <a:srgbClr val="9B2486"/>
              </a:gs>
              <a:gs pos="52000">
                <a:srgbClr val="D33634"/>
              </a:gs>
              <a:gs pos="68000">
                <a:srgbClr val="E93668"/>
              </a:gs>
              <a:gs pos="83000">
                <a:srgbClr val="E46C33"/>
              </a:gs>
              <a:gs pos="95000">
                <a:srgbClr val="F5C248"/>
              </a:gs>
            </a:gsLst>
          </a:gra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9</xdr:row>
          <xdr:rowOff>0</xdr:rowOff>
        </xdr:from>
        <xdr:to>
          <xdr:col>7</xdr:col>
          <xdr:colOff>121920</xdr:colOff>
          <xdr:row>10</xdr:row>
          <xdr:rowOff>76200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53068</xdr:colOff>
      <xdr:row>8</xdr:row>
      <xdr:rowOff>138793</xdr:rowOff>
    </xdr:from>
    <xdr:to>
      <xdr:col>3</xdr:col>
      <xdr:colOff>331639</xdr:colOff>
      <xdr:row>20</xdr:row>
      <xdr:rowOff>85445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68" y="1710418"/>
          <a:ext cx="3000000" cy="2232652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3</xdr:row>
      <xdr:rowOff>161925</xdr:rowOff>
    </xdr:from>
    <xdr:to>
      <xdr:col>15</xdr:col>
      <xdr:colOff>732687</xdr:colOff>
      <xdr:row>11</xdr:row>
      <xdr:rowOff>85543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48425" y="771525"/>
          <a:ext cx="5904762" cy="145714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36</xdr:row>
          <xdr:rowOff>223157</xdr:rowOff>
        </xdr:from>
        <xdr:to>
          <xdr:col>3</xdr:col>
          <xdr:colOff>631371</xdr:colOff>
          <xdr:row>38</xdr:row>
          <xdr:rowOff>76200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673677</xdr:colOff>
      <xdr:row>23</xdr:row>
      <xdr:rowOff>89189</xdr:rowOff>
    </xdr:from>
    <xdr:to>
      <xdr:col>12</xdr:col>
      <xdr:colOff>511752</xdr:colOff>
      <xdr:row>36</xdr:row>
      <xdr:rowOff>67541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3404" y="4778953"/>
          <a:ext cx="3751984" cy="2319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626052</xdr:colOff>
      <xdr:row>4</xdr:row>
      <xdr:rowOff>120534</xdr:rowOff>
    </xdr:from>
    <xdr:to>
      <xdr:col>17</xdr:col>
      <xdr:colOff>292678</xdr:colOff>
      <xdr:row>21</xdr:row>
      <xdr:rowOff>2770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6907" y="1048789"/>
          <a:ext cx="4363316" cy="3290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RALES ESPINOZA FERNANDA VALENTINA" id="{F0798915-E583-4DF7-AAE4-1FB890C70545}" userId="S::fernanda.morales0100@uhispano.ac.cr::ec3cedbd-9f1f-46f5-aaa3-8609e9c4c948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27" dT="2025-12-03T16:45:49.23" personId="{F0798915-E583-4DF7-AAE4-1FB890C70545}" id="{E0037522-E57F-4C2E-8FB5-10A8CC4219BB}">
    <text>Este negativo, significa salida de dinero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5" Type="http://schemas.openxmlformats.org/officeDocument/2006/relationships/oleObject" Target="../embeddings/oleObject2.bin"/><Relationship Id="rId4" Type="http://schemas.openxmlformats.org/officeDocument/2006/relationships/image" Target="../media/image3.wmf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CE49C-3C6A-4E91-B5D0-CE128A38E639}">
  <dimension ref="C3:Q100"/>
  <sheetViews>
    <sheetView topLeftCell="E37" zoomScale="110" zoomScaleNormal="110" workbookViewId="0">
      <selection activeCell="M42" sqref="M42"/>
    </sheetView>
  </sheetViews>
  <sheetFormatPr baseColWidth="10" defaultRowHeight="15.6" x14ac:dyDescent="0.3"/>
  <cols>
    <col min="1" max="3" width="11.5546875" style="18"/>
    <col min="4" max="4" width="12.6640625" style="18" bestFit="1" customWidth="1"/>
    <col min="5" max="5" width="13.5546875" style="18" customWidth="1"/>
    <col min="6" max="6" width="13.109375" style="18" bestFit="1" customWidth="1"/>
    <col min="7" max="11" width="11.5546875" style="18"/>
    <col min="12" max="12" width="15.109375" style="18" customWidth="1"/>
    <col min="13" max="13" width="12.109375" style="18" customWidth="1"/>
    <col min="14" max="14" width="12.77734375" style="18" bestFit="1" customWidth="1"/>
    <col min="15" max="15" width="16.109375" style="18" customWidth="1"/>
    <col min="16" max="16" width="14" style="18" bestFit="1" customWidth="1"/>
    <col min="17" max="16384" width="11.5546875" style="18"/>
  </cols>
  <sheetData>
    <row r="3" spans="3:16" ht="21" thickBot="1" x14ac:dyDescent="0.4">
      <c r="C3" s="53" t="s">
        <v>65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</row>
    <row r="4" spans="3:16" ht="16.2" thickTop="1" x14ac:dyDescent="0.3"/>
    <row r="6" spans="3:16" x14ac:dyDescent="0.3">
      <c r="C6" s="18" t="s">
        <v>66</v>
      </c>
    </row>
    <row r="7" spans="3:16" ht="16.2" thickBot="1" x14ac:dyDescent="0.35"/>
    <row r="8" spans="3:16" x14ac:dyDescent="0.3">
      <c r="C8" s="24" t="s">
        <v>67</v>
      </c>
      <c r="M8" s="58" t="s">
        <v>68</v>
      </c>
      <c r="N8" s="59"/>
      <c r="O8" s="59"/>
      <c r="P8" s="60"/>
    </row>
    <row r="9" spans="3:16" x14ac:dyDescent="0.3">
      <c r="C9" s="24"/>
      <c r="M9" s="25" t="s">
        <v>69</v>
      </c>
      <c r="N9" s="26"/>
      <c r="O9" s="26"/>
      <c r="P9" s="27"/>
    </row>
    <row r="10" spans="3:16" x14ac:dyDescent="0.3">
      <c r="C10" s="24"/>
      <c r="M10" s="61" t="s">
        <v>70</v>
      </c>
      <c r="N10" s="62"/>
      <c r="O10" s="62"/>
      <c r="P10" s="63"/>
    </row>
    <row r="11" spans="3:16" ht="16.2" thickBot="1" x14ac:dyDescent="0.35">
      <c r="C11" s="24" t="s">
        <v>71</v>
      </c>
      <c r="D11" s="64" t="s">
        <v>72</v>
      </c>
      <c r="E11" s="64"/>
      <c r="F11" s="28" t="s">
        <v>73</v>
      </c>
      <c r="G11" s="29">
        <v>1</v>
      </c>
      <c r="M11" s="65" t="s">
        <v>74</v>
      </c>
      <c r="N11" s="66"/>
      <c r="O11" s="66"/>
      <c r="P11" s="67"/>
    </row>
    <row r="12" spans="3:16" x14ac:dyDescent="0.3">
      <c r="D12" s="57" t="s">
        <v>75</v>
      </c>
      <c r="E12" s="57"/>
      <c r="F12" s="28"/>
      <c r="G12" s="28"/>
    </row>
    <row r="14" spans="3:16" ht="16.2" thickBot="1" x14ac:dyDescent="0.35"/>
    <row r="15" spans="3:16" x14ac:dyDescent="0.3">
      <c r="C15" s="30" t="s">
        <v>71</v>
      </c>
      <c r="D15" s="68" t="s">
        <v>76</v>
      </c>
      <c r="E15" s="68"/>
      <c r="F15" s="31" t="s">
        <v>77</v>
      </c>
      <c r="G15" s="68" t="s">
        <v>75</v>
      </c>
      <c r="H15" s="68"/>
      <c r="I15" s="32" t="s">
        <v>73</v>
      </c>
      <c r="J15" s="33">
        <v>1</v>
      </c>
    </row>
    <row r="16" spans="3:16" ht="16.2" thickBot="1" x14ac:dyDescent="0.35">
      <c r="C16" s="34"/>
      <c r="D16" s="35"/>
      <c r="E16" s="35" t="s">
        <v>75</v>
      </c>
      <c r="F16" s="35"/>
      <c r="G16" s="35"/>
      <c r="H16" s="35"/>
      <c r="I16" s="35"/>
      <c r="J16" s="36"/>
    </row>
    <row r="18" spans="3:16" x14ac:dyDescent="0.3">
      <c r="C18" s="37"/>
    </row>
    <row r="19" spans="3:16" x14ac:dyDescent="0.3">
      <c r="C19" s="69" t="s">
        <v>78</v>
      </c>
      <c r="D19" s="69"/>
      <c r="E19" s="69"/>
      <c r="F19" s="69"/>
      <c r="G19" s="69"/>
      <c r="H19" s="69"/>
    </row>
    <row r="20" spans="3:16" x14ac:dyDescent="0.3">
      <c r="C20" s="69" t="s">
        <v>79</v>
      </c>
      <c r="D20" s="69"/>
      <c r="E20" s="69"/>
      <c r="F20" s="69"/>
      <c r="G20" s="69"/>
      <c r="H20" s="69"/>
    </row>
    <row r="23" spans="3:16" x14ac:dyDescent="0.3">
      <c r="C23" s="20" t="s">
        <v>60</v>
      </c>
    </row>
    <row r="24" spans="3:16" ht="16.2" thickBot="1" x14ac:dyDescent="0.35"/>
    <row r="25" spans="3:16" x14ac:dyDescent="0.3">
      <c r="C25" s="18" t="s">
        <v>80</v>
      </c>
      <c r="M25" s="38"/>
      <c r="N25" s="39" t="s">
        <v>81</v>
      </c>
      <c r="O25" s="40"/>
      <c r="P25" s="41" t="s">
        <v>82</v>
      </c>
    </row>
    <row r="26" spans="3:16" ht="16.2" thickBot="1" x14ac:dyDescent="0.35">
      <c r="M26" s="52" t="s">
        <v>83</v>
      </c>
      <c r="N26" s="43" t="s">
        <v>84</v>
      </c>
      <c r="O26" s="43"/>
      <c r="P26" s="44"/>
    </row>
    <row r="27" spans="3:16" x14ac:dyDescent="0.3">
      <c r="C27" s="30" t="s">
        <v>71</v>
      </c>
      <c r="D27" s="68" t="s">
        <v>76</v>
      </c>
      <c r="E27" s="68"/>
      <c r="F27" s="31" t="s">
        <v>77</v>
      </c>
      <c r="G27" s="68" t="s">
        <v>75</v>
      </c>
      <c r="H27" s="68"/>
      <c r="I27" s="32" t="s">
        <v>73</v>
      </c>
      <c r="J27" s="33">
        <v>1</v>
      </c>
      <c r="M27" s="42"/>
      <c r="N27" s="100">
        <v>-42000</v>
      </c>
      <c r="O27" s="93"/>
      <c r="P27" s="99">
        <v>-45000</v>
      </c>
    </row>
    <row r="28" spans="3:16" ht="16.2" thickBot="1" x14ac:dyDescent="0.35">
      <c r="C28" s="34"/>
      <c r="D28" s="86" t="s">
        <v>75</v>
      </c>
      <c r="E28" s="86"/>
      <c r="F28" s="86"/>
      <c r="G28" s="86"/>
      <c r="H28" s="86"/>
      <c r="I28" s="35"/>
      <c r="J28" s="85"/>
      <c r="M28" s="42"/>
      <c r="N28" s="92"/>
      <c r="O28" s="93"/>
      <c r="P28" s="94"/>
    </row>
    <row r="29" spans="3:16" x14ac:dyDescent="0.3">
      <c r="C29" s="83"/>
      <c r="D29" s="84"/>
      <c r="E29" s="84"/>
      <c r="F29" s="83"/>
      <c r="G29" s="83"/>
      <c r="H29" s="83"/>
      <c r="I29" s="83"/>
      <c r="J29" s="83"/>
      <c r="M29" s="42">
        <v>1</v>
      </c>
      <c r="N29" s="95">
        <v>14000</v>
      </c>
      <c r="O29" s="95"/>
      <c r="P29" s="96">
        <v>28000</v>
      </c>
    </row>
    <row r="30" spans="3:16" x14ac:dyDescent="0.3">
      <c r="M30" s="42">
        <v>2</v>
      </c>
      <c r="N30" s="95">
        <v>14000</v>
      </c>
      <c r="O30" s="95"/>
      <c r="P30" s="96">
        <v>12000</v>
      </c>
    </row>
    <row r="31" spans="3:16" x14ac:dyDescent="0.3">
      <c r="C31" s="18" t="s">
        <v>71</v>
      </c>
      <c r="D31" s="45">
        <v>13000</v>
      </c>
      <c r="E31" s="46" t="s">
        <v>77</v>
      </c>
      <c r="F31" s="45">
        <v>10000</v>
      </c>
      <c r="G31" s="47" t="s">
        <v>73</v>
      </c>
      <c r="H31" s="29">
        <v>1</v>
      </c>
      <c r="M31" s="42">
        <v>3</v>
      </c>
      <c r="N31" s="95">
        <v>14000</v>
      </c>
      <c r="O31" s="95"/>
      <c r="P31" s="96">
        <v>10000</v>
      </c>
    </row>
    <row r="32" spans="3:16" x14ac:dyDescent="0.3">
      <c r="D32" s="70">
        <v>10000</v>
      </c>
      <c r="E32" s="70"/>
      <c r="F32" s="70"/>
      <c r="G32" s="19"/>
      <c r="H32" s="19"/>
      <c r="M32" s="42">
        <v>4</v>
      </c>
      <c r="N32" s="95">
        <v>14000</v>
      </c>
      <c r="O32" s="95"/>
      <c r="P32" s="96">
        <v>10000</v>
      </c>
    </row>
    <row r="33" spans="3:17" ht="16.2" thickBot="1" x14ac:dyDescent="0.35">
      <c r="D33" s="19"/>
      <c r="E33" s="19"/>
      <c r="F33" s="19"/>
      <c r="G33" s="19"/>
      <c r="H33" s="19"/>
      <c r="M33" s="48">
        <v>5</v>
      </c>
      <c r="N33" s="97">
        <v>14000</v>
      </c>
      <c r="O33" s="97"/>
      <c r="P33" s="98">
        <v>10000</v>
      </c>
    </row>
    <row r="34" spans="3:17" x14ac:dyDescent="0.3">
      <c r="C34" s="18" t="s">
        <v>71</v>
      </c>
      <c r="D34" s="45">
        <f>+D31-F31</f>
        <v>3000</v>
      </c>
      <c r="E34" s="19" t="s">
        <v>73</v>
      </c>
      <c r="F34" s="50">
        <v>1</v>
      </c>
      <c r="G34" s="19"/>
      <c r="H34" s="19"/>
      <c r="M34" s="20" t="s">
        <v>104</v>
      </c>
      <c r="N34" s="101">
        <f>SUM(N29:N33)</f>
        <v>70000</v>
      </c>
      <c r="O34" s="101"/>
      <c r="P34" s="101">
        <f>SUM(P29:P33)</f>
        <v>70000</v>
      </c>
    </row>
    <row r="35" spans="3:17" x14ac:dyDescent="0.3">
      <c r="D35" s="47">
        <f>+D32</f>
        <v>10000</v>
      </c>
      <c r="E35" s="19"/>
      <c r="F35" s="19"/>
      <c r="G35" s="19"/>
      <c r="H35" s="19"/>
      <c r="L35" s="20" t="s">
        <v>81</v>
      </c>
    </row>
    <row r="36" spans="3:17" x14ac:dyDescent="0.3">
      <c r="D36" s="19"/>
      <c r="E36" s="19"/>
      <c r="F36" s="19"/>
      <c r="G36" s="19"/>
      <c r="H36" s="19"/>
      <c r="L36" s="18" t="s">
        <v>71</v>
      </c>
      <c r="M36" s="45">
        <f>+N34</f>
        <v>70000</v>
      </c>
      <c r="N36" s="46" t="s">
        <v>77</v>
      </c>
      <c r="O36" s="45">
        <v>42000</v>
      </c>
      <c r="P36" s="47" t="s">
        <v>73</v>
      </c>
      <c r="Q36" s="29">
        <v>1</v>
      </c>
    </row>
    <row r="37" spans="3:17" x14ac:dyDescent="0.3">
      <c r="C37" s="18" t="s">
        <v>71</v>
      </c>
      <c r="D37" s="47">
        <f>+D34/D35</f>
        <v>0.3</v>
      </c>
      <c r="E37" s="19" t="s">
        <v>73</v>
      </c>
      <c r="F37" s="50">
        <v>1</v>
      </c>
      <c r="G37" s="19"/>
      <c r="H37" s="19"/>
      <c r="M37" s="70">
        <v>42000</v>
      </c>
      <c r="N37" s="70"/>
      <c r="O37" s="70"/>
      <c r="P37" s="19"/>
      <c r="Q37" s="19"/>
    </row>
    <row r="38" spans="3:17" x14ac:dyDescent="0.3">
      <c r="D38" s="19"/>
      <c r="E38" s="19"/>
      <c r="F38" s="19"/>
      <c r="G38" s="19"/>
      <c r="H38" s="19"/>
      <c r="M38" s="19"/>
      <c r="N38" s="19"/>
      <c r="O38" s="19"/>
      <c r="P38" s="19"/>
      <c r="Q38" s="19"/>
    </row>
    <row r="39" spans="3:17" x14ac:dyDescent="0.3">
      <c r="C39" s="20" t="s">
        <v>71</v>
      </c>
      <c r="D39" s="87">
        <f>+D37*F37</f>
        <v>0.3</v>
      </c>
      <c r="E39" s="19"/>
      <c r="F39" s="19"/>
      <c r="G39" s="19"/>
      <c r="H39" s="19"/>
      <c r="L39" s="18" t="s">
        <v>71</v>
      </c>
      <c r="M39" s="45">
        <f>+M36-O36</f>
        <v>28000</v>
      </c>
      <c r="N39" s="19" t="s">
        <v>73</v>
      </c>
      <c r="O39" s="50">
        <v>1</v>
      </c>
      <c r="P39" s="19"/>
      <c r="Q39" s="19"/>
    </row>
    <row r="40" spans="3:17" x14ac:dyDescent="0.3">
      <c r="D40" s="19"/>
      <c r="E40" s="19"/>
      <c r="F40" s="19"/>
      <c r="G40" s="19"/>
      <c r="H40" s="19"/>
      <c r="M40" s="47">
        <f>+M37</f>
        <v>42000</v>
      </c>
      <c r="N40" s="19"/>
      <c r="O40" s="19"/>
      <c r="P40" s="19"/>
      <c r="Q40" s="19"/>
    </row>
    <row r="41" spans="3:17" x14ac:dyDescent="0.3">
      <c r="C41" s="18" t="s">
        <v>85</v>
      </c>
      <c r="N41" s="19"/>
      <c r="O41" s="19"/>
      <c r="P41" s="19"/>
      <c r="Q41" s="19"/>
    </row>
    <row r="42" spans="3:17" x14ac:dyDescent="0.3">
      <c r="L42" s="18" t="s">
        <v>71</v>
      </c>
      <c r="M42" s="47">
        <f>+M39/M40</f>
        <v>0.66666666666666663</v>
      </c>
      <c r="N42" s="19" t="s">
        <v>73</v>
      </c>
      <c r="O42" s="50">
        <v>1</v>
      </c>
      <c r="P42" s="19"/>
      <c r="Q42" s="19"/>
    </row>
    <row r="43" spans="3:17" x14ac:dyDescent="0.3">
      <c r="M43" s="19"/>
      <c r="N43" s="19"/>
      <c r="O43" s="19"/>
      <c r="P43" s="19"/>
      <c r="Q43" s="19"/>
    </row>
    <row r="44" spans="3:17" ht="17.399999999999999" x14ac:dyDescent="0.3">
      <c r="C44" s="71" t="s">
        <v>86</v>
      </c>
      <c r="D44" s="71"/>
      <c r="E44" s="71"/>
      <c r="L44" s="18" t="s">
        <v>71</v>
      </c>
      <c r="M44" s="50">
        <f>+M42*O42</f>
        <v>0.66666666666666663</v>
      </c>
      <c r="N44" s="19"/>
      <c r="O44" s="19"/>
      <c r="P44" s="19"/>
      <c r="Q44" s="19"/>
    </row>
    <row r="46" spans="3:17" x14ac:dyDescent="0.3">
      <c r="C46" s="20" t="s">
        <v>87</v>
      </c>
      <c r="L46" s="18" t="s">
        <v>97</v>
      </c>
    </row>
    <row r="48" spans="3:17" x14ac:dyDescent="0.3">
      <c r="C48" s="55" t="s">
        <v>88</v>
      </c>
      <c r="D48" s="55"/>
      <c r="E48" s="55"/>
      <c r="L48" s="20" t="s">
        <v>82</v>
      </c>
    </row>
    <row r="49" spans="3:17" x14ac:dyDescent="0.3">
      <c r="C49" s="55" t="s">
        <v>89</v>
      </c>
      <c r="D49" s="55"/>
      <c r="E49" s="55"/>
      <c r="L49" s="18" t="s">
        <v>71</v>
      </c>
      <c r="M49" s="45">
        <f>+P34</f>
        <v>70000</v>
      </c>
      <c r="N49" s="46" t="s">
        <v>77</v>
      </c>
      <c r="O49" s="45">
        <v>45000</v>
      </c>
      <c r="P49" s="47" t="s">
        <v>73</v>
      </c>
      <c r="Q49" s="29">
        <v>1</v>
      </c>
    </row>
    <row r="50" spans="3:17" x14ac:dyDescent="0.3">
      <c r="M50" s="70">
        <v>45000</v>
      </c>
      <c r="N50" s="70"/>
      <c r="O50" s="70"/>
      <c r="P50" s="19"/>
      <c r="Q50" s="19"/>
    </row>
    <row r="51" spans="3:17" x14ac:dyDescent="0.3">
      <c r="C51" s="18" t="s">
        <v>71</v>
      </c>
      <c r="D51" s="45">
        <v>8000</v>
      </c>
      <c r="E51" s="46" t="s">
        <v>77</v>
      </c>
      <c r="F51" s="45">
        <v>5000</v>
      </c>
      <c r="G51" s="47" t="s">
        <v>73</v>
      </c>
      <c r="H51" s="29">
        <v>1</v>
      </c>
      <c r="M51" s="19"/>
      <c r="N51" s="19"/>
      <c r="O51" s="19"/>
      <c r="P51" s="19"/>
      <c r="Q51" s="19"/>
    </row>
    <row r="52" spans="3:17" x14ac:dyDescent="0.3">
      <c r="D52" s="70">
        <v>5000</v>
      </c>
      <c r="E52" s="70"/>
      <c r="F52" s="70"/>
      <c r="G52" s="19"/>
      <c r="H52" s="19"/>
      <c r="L52" s="18" t="s">
        <v>71</v>
      </c>
      <c r="M52" s="45">
        <f>+M49-O49</f>
        <v>25000</v>
      </c>
      <c r="N52" s="19" t="s">
        <v>73</v>
      </c>
      <c r="O52" s="50">
        <v>1</v>
      </c>
      <c r="P52" s="19"/>
      <c r="Q52" s="19"/>
    </row>
    <row r="53" spans="3:17" x14ac:dyDescent="0.3">
      <c r="D53" s="19"/>
      <c r="E53" s="19"/>
      <c r="F53" s="19"/>
      <c r="G53" s="19"/>
      <c r="H53" s="19"/>
      <c r="M53" s="47">
        <f>+M50</f>
        <v>45000</v>
      </c>
      <c r="N53" s="19"/>
      <c r="O53" s="19"/>
      <c r="P53" s="19"/>
      <c r="Q53" s="19"/>
    </row>
    <row r="54" spans="3:17" x14ac:dyDescent="0.3">
      <c r="C54" s="18" t="s">
        <v>71</v>
      </c>
      <c r="D54" s="45">
        <f>+D51-F51</f>
        <v>3000</v>
      </c>
      <c r="E54" s="19" t="s">
        <v>73</v>
      </c>
      <c r="F54" s="50">
        <v>1</v>
      </c>
      <c r="G54" s="19"/>
      <c r="H54" s="19"/>
      <c r="M54" s="19"/>
      <c r="N54" s="19"/>
      <c r="O54" s="19"/>
      <c r="P54" s="19"/>
      <c r="Q54" s="19"/>
    </row>
    <row r="55" spans="3:17" x14ac:dyDescent="0.3">
      <c r="D55" s="47">
        <f>+D52</f>
        <v>5000</v>
      </c>
      <c r="E55" s="19"/>
      <c r="F55" s="19"/>
      <c r="G55" s="19"/>
      <c r="H55" s="19"/>
      <c r="L55" s="18" t="s">
        <v>71</v>
      </c>
      <c r="M55" s="47">
        <f>+M52/M53</f>
        <v>0.55555555555555558</v>
      </c>
      <c r="N55" s="19" t="s">
        <v>73</v>
      </c>
      <c r="O55" s="50">
        <f>+O52</f>
        <v>1</v>
      </c>
      <c r="P55" s="19"/>
      <c r="Q55" s="19"/>
    </row>
    <row r="56" spans="3:17" x14ac:dyDescent="0.3">
      <c r="D56" s="19"/>
      <c r="E56" s="19"/>
      <c r="F56" s="19"/>
      <c r="G56" s="19"/>
      <c r="H56" s="19"/>
      <c r="M56" s="19"/>
      <c r="N56" s="19"/>
      <c r="O56" s="19"/>
      <c r="P56" s="19"/>
      <c r="Q56" s="19"/>
    </row>
    <row r="57" spans="3:17" x14ac:dyDescent="0.3">
      <c r="C57" s="18" t="s">
        <v>71</v>
      </c>
      <c r="D57" s="47">
        <f>+D54/D55</f>
        <v>0.6</v>
      </c>
      <c r="E57" s="19" t="s">
        <v>73</v>
      </c>
      <c r="F57" s="50">
        <v>1</v>
      </c>
      <c r="G57" s="19"/>
      <c r="H57" s="19"/>
      <c r="L57" s="18" t="s">
        <v>71</v>
      </c>
      <c r="M57" s="50">
        <f>+M55*O55</f>
        <v>0.55555555555555558</v>
      </c>
      <c r="N57" s="19"/>
      <c r="O57" s="19"/>
      <c r="P57" s="19"/>
      <c r="Q57" s="19"/>
    </row>
    <row r="58" spans="3:17" x14ac:dyDescent="0.3">
      <c r="D58" s="19"/>
      <c r="E58" s="19"/>
      <c r="F58" s="19"/>
      <c r="G58" s="19"/>
      <c r="H58" s="19"/>
    </row>
    <row r="59" spans="3:17" x14ac:dyDescent="0.3">
      <c r="C59" s="18" t="s">
        <v>71</v>
      </c>
      <c r="D59" s="89">
        <f>+D57*F57</f>
        <v>0.6</v>
      </c>
      <c r="E59" s="51" t="s">
        <v>101</v>
      </c>
      <c r="F59" s="19"/>
      <c r="G59" s="19"/>
      <c r="H59" s="19"/>
      <c r="L59" s="18" t="s">
        <v>98</v>
      </c>
    </row>
    <row r="60" spans="3:17" ht="16.2" thickBot="1" x14ac:dyDescent="0.35">
      <c r="D60" s="19"/>
      <c r="E60" s="19"/>
      <c r="F60" s="19"/>
      <c r="G60" s="19"/>
      <c r="H60" s="19"/>
    </row>
    <row r="61" spans="3:17" x14ac:dyDescent="0.3">
      <c r="C61" s="18" t="s">
        <v>94</v>
      </c>
      <c r="M61" s="38"/>
      <c r="N61" s="39" t="s">
        <v>81</v>
      </c>
      <c r="O61" s="40"/>
      <c r="P61" s="41" t="s">
        <v>82</v>
      </c>
    </row>
    <row r="62" spans="3:17" x14ac:dyDescent="0.3">
      <c r="M62" s="42" t="s">
        <v>83</v>
      </c>
      <c r="N62" s="43" t="s">
        <v>84</v>
      </c>
      <c r="O62" s="43"/>
      <c r="P62" s="44"/>
    </row>
    <row r="63" spans="3:17" x14ac:dyDescent="0.3">
      <c r="M63" s="42"/>
      <c r="N63" s="100">
        <v>-98000</v>
      </c>
      <c r="O63" s="93"/>
      <c r="P63" s="99">
        <v>-110000</v>
      </c>
    </row>
    <row r="64" spans="3:17" x14ac:dyDescent="0.3">
      <c r="M64" s="42"/>
      <c r="N64" s="92"/>
      <c r="O64" s="93"/>
      <c r="P64" s="94"/>
    </row>
    <row r="65" spans="3:16" x14ac:dyDescent="0.3">
      <c r="C65" s="20"/>
      <c r="M65" s="42">
        <v>1</v>
      </c>
      <c r="N65" s="95">
        <v>25000</v>
      </c>
      <c r="O65" s="95"/>
      <c r="P65" s="96">
        <v>25000</v>
      </c>
    </row>
    <row r="66" spans="3:16" x14ac:dyDescent="0.3">
      <c r="M66" s="42">
        <v>2</v>
      </c>
      <c r="N66" s="95">
        <v>25000</v>
      </c>
      <c r="O66" s="95"/>
      <c r="P66" s="96">
        <v>35000</v>
      </c>
    </row>
    <row r="67" spans="3:16" x14ac:dyDescent="0.3">
      <c r="C67" s="20" t="s">
        <v>90</v>
      </c>
      <c r="M67" s="42">
        <v>3</v>
      </c>
      <c r="N67" s="95">
        <v>25000</v>
      </c>
      <c r="O67" s="95"/>
      <c r="P67" s="96">
        <v>30000</v>
      </c>
    </row>
    <row r="68" spans="3:16" x14ac:dyDescent="0.3">
      <c r="M68" s="42">
        <v>4</v>
      </c>
      <c r="N68" s="95">
        <v>25000</v>
      </c>
      <c r="O68" s="95"/>
      <c r="P68" s="96">
        <v>30000</v>
      </c>
    </row>
    <row r="69" spans="3:16" ht="16.2" thickBot="1" x14ac:dyDescent="0.35">
      <c r="C69" s="55" t="s">
        <v>91</v>
      </c>
      <c r="D69" s="55"/>
      <c r="E69" s="55"/>
      <c r="M69" s="48">
        <v>5</v>
      </c>
      <c r="N69" s="97">
        <v>25000</v>
      </c>
      <c r="O69" s="97"/>
      <c r="P69" s="98">
        <v>40000</v>
      </c>
    </row>
    <row r="70" spans="3:16" x14ac:dyDescent="0.3">
      <c r="C70" s="55" t="s">
        <v>92</v>
      </c>
      <c r="D70" s="55"/>
      <c r="E70" s="55"/>
    </row>
    <row r="72" spans="3:16" x14ac:dyDescent="0.3">
      <c r="C72" s="18" t="s">
        <v>71</v>
      </c>
      <c r="D72" s="45">
        <v>15000</v>
      </c>
      <c r="E72" s="46" t="s">
        <v>77</v>
      </c>
      <c r="F72" s="45">
        <v>50000</v>
      </c>
      <c r="G72" s="47" t="s">
        <v>73</v>
      </c>
      <c r="H72" s="29">
        <v>1</v>
      </c>
    </row>
    <row r="73" spans="3:16" x14ac:dyDescent="0.3">
      <c r="D73" s="70">
        <v>50000</v>
      </c>
      <c r="E73" s="70"/>
      <c r="F73" s="70"/>
      <c r="G73" s="19"/>
      <c r="H73" s="19"/>
    </row>
    <row r="74" spans="3:16" x14ac:dyDescent="0.3">
      <c r="D74" s="19"/>
      <c r="E74" s="19"/>
      <c r="F74" s="19"/>
      <c r="G74" s="19"/>
      <c r="H74" s="19"/>
    </row>
    <row r="75" spans="3:16" x14ac:dyDescent="0.3">
      <c r="C75" s="18" t="s">
        <v>71</v>
      </c>
      <c r="D75" s="45">
        <f>+D72-F72</f>
        <v>-35000</v>
      </c>
      <c r="E75" s="19" t="s">
        <v>73</v>
      </c>
      <c r="F75" s="50">
        <v>1</v>
      </c>
      <c r="G75" s="19"/>
      <c r="H75" s="19"/>
    </row>
    <row r="76" spans="3:16" x14ac:dyDescent="0.3">
      <c r="D76" s="47">
        <f>+D73</f>
        <v>50000</v>
      </c>
      <c r="E76" s="19"/>
      <c r="F76" s="19"/>
      <c r="G76" s="19"/>
      <c r="H76" s="19"/>
    </row>
    <row r="77" spans="3:16" x14ac:dyDescent="0.3">
      <c r="D77" s="19"/>
      <c r="E77" s="19"/>
      <c r="F77" s="19"/>
      <c r="G77" s="19"/>
      <c r="H77" s="19"/>
    </row>
    <row r="78" spans="3:16" x14ac:dyDescent="0.3">
      <c r="C78" s="18" t="s">
        <v>71</v>
      </c>
      <c r="D78" s="47">
        <f>+D75/D76</f>
        <v>-0.7</v>
      </c>
      <c r="E78" s="19" t="s">
        <v>73</v>
      </c>
      <c r="F78" s="50">
        <v>1</v>
      </c>
      <c r="G78" s="19"/>
      <c r="H78" s="19"/>
    </row>
    <row r="79" spans="3:16" x14ac:dyDescent="0.3">
      <c r="D79" s="19"/>
      <c r="E79" s="19"/>
      <c r="F79" s="19"/>
      <c r="G79" s="19"/>
      <c r="H79" s="19"/>
    </row>
    <row r="80" spans="3:16" x14ac:dyDescent="0.3">
      <c r="C80" s="18" t="s">
        <v>71</v>
      </c>
      <c r="D80" s="88">
        <f>+D78*F78</f>
        <v>-0.7</v>
      </c>
      <c r="E80" s="90" t="s">
        <v>102</v>
      </c>
      <c r="F80" s="90"/>
      <c r="G80" s="19"/>
      <c r="H80" s="19"/>
    </row>
    <row r="81" spans="3:11" x14ac:dyDescent="0.3">
      <c r="D81" s="19"/>
      <c r="E81" s="19"/>
      <c r="F81" s="19"/>
      <c r="G81" s="19"/>
      <c r="H81" s="19"/>
    </row>
    <row r="82" spans="3:11" ht="16.2" thickBot="1" x14ac:dyDescent="0.35">
      <c r="C82" s="18" t="s">
        <v>95</v>
      </c>
    </row>
    <row r="83" spans="3:11" x14ac:dyDescent="0.3">
      <c r="H83" s="58" t="s">
        <v>68</v>
      </c>
      <c r="I83" s="59"/>
      <c r="J83" s="59"/>
      <c r="K83" s="60"/>
    </row>
    <row r="84" spans="3:11" x14ac:dyDescent="0.3">
      <c r="H84" s="25" t="s">
        <v>69</v>
      </c>
      <c r="I84" s="26"/>
      <c r="J84" s="26"/>
      <c r="K84" s="27"/>
    </row>
    <row r="85" spans="3:11" x14ac:dyDescent="0.3">
      <c r="C85" s="20" t="s">
        <v>93</v>
      </c>
      <c r="H85" s="61" t="s">
        <v>70</v>
      </c>
      <c r="I85" s="62"/>
      <c r="J85" s="62"/>
      <c r="K85" s="63"/>
    </row>
    <row r="86" spans="3:11" ht="16.2" thickBot="1" x14ac:dyDescent="0.35">
      <c r="H86" s="65" t="s">
        <v>74</v>
      </c>
      <c r="I86" s="66"/>
      <c r="J86" s="66"/>
      <c r="K86" s="67"/>
    </row>
    <row r="87" spans="3:11" x14ac:dyDescent="0.3">
      <c r="C87" s="55" t="s">
        <v>99</v>
      </c>
      <c r="D87" s="55"/>
      <c r="E87" s="55"/>
    </row>
    <row r="88" spans="3:11" x14ac:dyDescent="0.3">
      <c r="C88" s="55" t="s">
        <v>100</v>
      </c>
      <c r="D88" s="55"/>
      <c r="E88" s="55"/>
    </row>
    <row r="90" spans="3:11" x14ac:dyDescent="0.3">
      <c r="C90" s="18" t="s">
        <v>71</v>
      </c>
      <c r="D90" s="45">
        <v>24000</v>
      </c>
      <c r="E90" s="46" t="s">
        <v>77</v>
      </c>
      <c r="F90" s="45">
        <v>20000</v>
      </c>
      <c r="G90" s="47" t="s">
        <v>73</v>
      </c>
      <c r="H90" s="29">
        <v>1</v>
      </c>
    </row>
    <row r="91" spans="3:11" x14ac:dyDescent="0.3">
      <c r="D91" s="70">
        <v>20000</v>
      </c>
      <c r="E91" s="70"/>
      <c r="F91" s="70"/>
      <c r="G91" s="19"/>
      <c r="H91" s="19"/>
    </row>
    <row r="92" spans="3:11" x14ac:dyDescent="0.3">
      <c r="D92" s="19"/>
      <c r="E92" s="19"/>
      <c r="F92" s="19"/>
      <c r="G92" s="19"/>
      <c r="H92" s="19"/>
    </row>
    <row r="93" spans="3:11" x14ac:dyDescent="0.3">
      <c r="C93" s="18" t="s">
        <v>71</v>
      </c>
      <c r="D93" s="45">
        <f>+D90-F90</f>
        <v>4000</v>
      </c>
      <c r="E93" s="19" t="s">
        <v>73</v>
      </c>
      <c r="F93" s="50">
        <v>1</v>
      </c>
      <c r="G93" s="19"/>
      <c r="H93" s="19"/>
    </row>
    <row r="94" spans="3:11" x14ac:dyDescent="0.3">
      <c r="D94" s="47">
        <f>+D91</f>
        <v>20000</v>
      </c>
      <c r="E94" s="19"/>
      <c r="F94" s="19"/>
      <c r="G94" s="19"/>
      <c r="H94" s="19"/>
    </row>
    <row r="95" spans="3:11" x14ac:dyDescent="0.3">
      <c r="D95" s="19"/>
      <c r="E95" s="19"/>
      <c r="F95" s="19"/>
      <c r="G95" s="19"/>
      <c r="H95" s="19"/>
    </row>
    <row r="96" spans="3:11" x14ac:dyDescent="0.3">
      <c r="C96" s="18" t="s">
        <v>71</v>
      </c>
      <c r="D96" s="47">
        <f>+D93/D94</f>
        <v>0.2</v>
      </c>
      <c r="E96" s="19" t="s">
        <v>73</v>
      </c>
      <c r="F96" s="50">
        <v>1</v>
      </c>
      <c r="G96" s="19"/>
      <c r="H96" s="19"/>
    </row>
    <row r="97" spans="3:8" x14ac:dyDescent="0.3">
      <c r="D97" s="19"/>
      <c r="E97" s="19"/>
      <c r="F97" s="19"/>
      <c r="G97" s="19"/>
      <c r="H97" s="19"/>
    </row>
    <row r="98" spans="3:8" x14ac:dyDescent="0.3">
      <c r="C98" s="18" t="s">
        <v>71</v>
      </c>
      <c r="D98" s="87">
        <f>+D96*F96</f>
        <v>0.2</v>
      </c>
      <c r="E98" s="91" t="s">
        <v>103</v>
      </c>
      <c r="F98" s="91"/>
      <c r="G98" s="19"/>
      <c r="H98" s="19"/>
    </row>
    <row r="99" spans="3:8" x14ac:dyDescent="0.3">
      <c r="D99" s="19"/>
      <c r="E99" s="19"/>
      <c r="F99" s="19"/>
      <c r="G99" s="19"/>
      <c r="H99" s="19"/>
    </row>
    <row r="100" spans="3:8" x14ac:dyDescent="0.3">
      <c r="C100" s="18" t="s">
        <v>96</v>
      </c>
    </row>
  </sheetData>
  <mergeCells count="31">
    <mergeCell ref="E98:F98"/>
    <mergeCell ref="D28:H28"/>
    <mergeCell ref="H83:K83"/>
    <mergeCell ref="H85:K85"/>
    <mergeCell ref="H86:K86"/>
    <mergeCell ref="E80:F80"/>
    <mergeCell ref="D91:F91"/>
    <mergeCell ref="C69:E69"/>
    <mergeCell ref="C70:E70"/>
    <mergeCell ref="C87:E87"/>
    <mergeCell ref="C88:E88"/>
    <mergeCell ref="D52:F52"/>
    <mergeCell ref="D73:F73"/>
    <mergeCell ref="D32:F32"/>
    <mergeCell ref="M37:O37"/>
    <mergeCell ref="C44:E44"/>
    <mergeCell ref="C48:E48"/>
    <mergeCell ref="C49:E49"/>
    <mergeCell ref="M50:O50"/>
    <mergeCell ref="D15:E15"/>
    <mergeCell ref="G15:H15"/>
    <mergeCell ref="C19:H19"/>
    <mergeCell ref="C20:H20"/>
    <mergeCell ref="D27:E27"/>
    <mergeCell ref="G27:H27"/>
    <mergeCell ref="D12:E12"/>
    <mergeCell ref="C3:O3"/>
    <mergeCell ref="M8:P8"/>
    <mergeCell ref="M10:P10"/>
    <mergeCell ref="D11:E11"/>
    <mergeCell ref="M11:P11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2992D-2F05-4471-B6BD-6AB88C158963}">
  <sheetPr codeName="Hoja1"/>
  <dimension ref="C3:O49"/>
  <sheetViews>
    <sheetView topLeftCell="A26" workbookViewId="0">
      <selection activeCell="I43" sqref="I43"/>
    </sheetView>
  </sheetViews>
  <sheetFormatPr baseColWidth="10" defaultRowHeight="15.6" x14ac:dyDescent="0.3"/>
  <cols>
    <col min="1" max="2" width="11.5546875" style="18"/>
    <col min="3" max="3" width="14.5546875" style="18" customWidth="1"/>
    <col min="4" max="4" width="18.33203125" style="18" customWidth="1"/>
    <col min="5" max="5" width="11.5546875" style="18"/>
    <col min="6" max="6" width="14.5546875" style="18" customWidth="1"/>
    <col min="7" max="7" width="11.5546875" style="18"/>
    <col min="8" max="8" width="3.33203125" style="18" customWidth="1"/>
    <col min="9" max="9" width="11.88671875" style="18" bestFit="1" customWidth="1"/>
    <col min="10" max="10" width="4.6640625" style="18" customWidth="1"/>
    <col min="11" max="11" width="11.88671875" style="18" bestFit="1" customWidth="1"/>
    <col min="12" max="16384" width="11.5546875" style="18"/>
  </cols>
  <sheetData>
    <row r="3" spans="3:15" ht="21" thickBot="1" x14ac:dyDescent="0.4">
      <c r="C3" s="53" t="s">
        <v>48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</row>
    <row r="4" spans="3:15" ht="16.2" thickTop="1" x14ac:dyDescent="0.3"/>
    <row r="5" spans="3:15" x14ac:dyDescent="0.3">
      <c r="C5" s="54" t="s">
        <v>49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</row>
    <row r="6" spans="3:15" x14ac:dyDescent="0.3"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</row>
    <row r="7" spans="3:15" ht="16.2" thickBot="1" x14ac:dyDescent="0.35"/>
    <row r="8" spans="3:15" x14ac:dyDescent="0.3">
      <c r="C8" s="106" t="s">
        <v>57</v>
      </c>
      <c r="D8" s="107"/>
      <c r="E8" s="108">
        <v>10</v>
      </c>
    </row>
    <row r="9" spans="3:15" x14ac:dyDescent="0.3">
      <c r="C9" s="109" t="s">
        <v>58</v>
      </c>
      <c r="D9" s="110"/>
      <c r="E9" s="111">
        <v>5</v>
      </c>
    </row>
    <row r="10" spans="3:15" x14ac:dyDescent="0.3">
      <c r="C10" s="109" t="s">
        <v>59</v>
      </c>
      <c r="D10" s="110"/>
      <c r="E10" s="111">
        <v>2500</v>
      </c>
    </row>
    <row r="11" spans="3:15" x14ac:dyDescent="0.3">
      <c r="C11" s="109" t="s">
        <v>64</v>
      </c>
      <c r="D11" s="110"/>
      <c r="E11" s="112">
        <v>1000</v>
      </c>
    </row>
    <row r="12" spans="3:15" ht="16.2" thickBot="1" x14ac:dyDescent="0.35">
      <c r="C12" s="113" t="s">
        <v>105</v>
      </c>
      <c r="D12" s="114"/>
      <c r="E12" s="115">
        <v>1500</v>
      </c>
    </row>
    <row r="13" spans="3:15" x14ac:dyDescent="0.3">
      <c r="C13" s="21"/>
      <c r="D13" s="21"/>
    </row>
    <row r="14" spans="3:15" x14ac:dyDescent="0.3">
      <c r="C14" s="20" t="s">
        <v>60</v>
      </c>
    </row>
    <row r="15" spans="3:15" x14ac:dyDescent="0.3">
      <c r="C15" s="54" t="s">
        <v>63</v>
      </c>
      <c r="D15" s="54"/>
      <c r="E15" s="54"/>
      <c r="F15" s="54"/>
      <c r="G15" s="54"/>
      <c r="H15" s="54"/>
      <c r="I15" s="54"/>
      <c r="J15" s="54"/>
      <c r="K15" s="54"/>
    </row>
    <row r="16" spans="3:15" x14ac:dyDescent="0.3">
      <c r="C16" s="54"/>
      <c r="D16" s="54"/>
      <c r="E16" s="54"/>
      <c r="F16" s="54"/>
      <c r="G16" s="54"/>
      <c r="H16" s="54"/>
      <c r="I16" s="54"/>
      <c r="J16" s="54"/>
      <c r="K16" s="54"/>
    </row>
    <row r="18" spans="3:11" x14ac:dyDescent="0.3">
      <c r="C18" s="20" t="s">
        <v>61</v>
      </c>
    </row>
    <row r="20" spans="3:11" x14ac:dyDescent="0.3">
      <c r="C20" s="20" t="s">
        <v>62</v>
      </c>
    </row>
    <row r="26" spans="3:11" ht="16.2" thickBot="1" x14ac:dyDescent="0.35">
      <c r="C26" s="56" t="s">
        <v>50</v>
      </c>
      <c r="D26" s="56"/>
      <c r="E26" s="56"/>
      <c r="F26" s="56"/>
      <c r="G26" s="56"/>
      <c r="H26" s="56"/>
      <c r="I26" s="56"/>
      <c r="J26" s="56"/>
      <c r="K26" s="56"/>
    </row>
    <row r="27" spans="3:11" ht="16.2" thickTop="1" x14ac:dyDescent="0.3"/>
    <row r="28" spans="3:11" x14ac:dyDescent="0.3">
      <c r="G28" s="18" t="s">
        <v>55</v>
      </c>
      <c r="K28" s="18" t="s">
        <v>56</v>
      </c>
    </row>
    <row r="29" spans="3:11" x14ac:dyDescent="0.3">
      <c r="G29" s="23">
        <v>-0.5</v>
      </c>
      <c r="H29" s="23"/>
      <c r="I29" s="119" t="s">
        <v>106</v>
      </c>
      <c r="J29" s="19"/>
      <c r="K29" s="103" t="s">
        <v>107</v>
      </c>
    </row>
    <row r="30" spans="3:11" ht="23.4" customHeight="1" x14ac:dyDescent="0.3">
      <c r="I30" s="120"/>
      <c r="J30" s="22"/>
    </row>
    <row r="31" spans="3:11" x14ac:dyDescent="0.3">
      <c r="C31" s="55" t="s">
        <v>51</v>
      </c>
      <c r="D31" s="55"/>
      <c r="E31" s="55"/>
      <c r="F31" s="55"/>
      <c r="G31" s="19">
        <f>+I31*50%</f>
        <v>500</v>
      </c>
      <c r="H31" s="19"/>
      <c r="I31" s="121">
        <f>+E11</f>
        <v>1000</v>
      </c>
      <c r="J31" s="102"/>
      <c r="K31" s="102">
        <f>+(I31*50%)+I31</f>
        <v>1500</v>
      </c>
    </row>
    <row r="32" spans="3:11" ht="16.2" thickBot="1" x14ac:dyDescent="0.35">
      <c r="C32" s="55" t="s">
        <v>52</v>
      </c>
      <c r="D32" s="55"/>
      <c r="E32" s="55"/>
      <c r="F32" s="55"/>
      <c r="G32" s="105">
        <f>+G31*O33</f>
        <v>5000</v>
      </c>
      <c r="H32" s="105"/>
      <c r="I32" s="122">
        <f>+I31*O33</f>
        <v>10000</v>
      </c>
      <c r="J32" s="105"/>
      <c r="K32" s="105">
        <f>+K31*O33</f>
        <v>15000</v>
      </c>
    </row>
    <row r="33" spans="3:15" x14ac:dyDescent="0.3">
      <c r="C33" s="104" t="s">
        <v>108</v>
      </c>
      <c r="I33" s="123"/>
      <c r="M33" s="106" t="s">
        <v>57</v>
      </c>
      <c r="N33" s="107"/>
      <c r="O33" s="108">
        <v>10</v>
      </c>
    </row>
    <row r="34" spans="3:15" x14ac:dyDescent="0.3">
      <c r="C34" s="55" t="s">
        <v>111</v>
      </c>
      <c r="D34" s="55"/>
      <c r="E34" s="55"/>
      <c r="F34" s="55"/>
      <c r="G34" s="105">
        <f>4.5*G31</f>
        <v>2250</v>
      </c>
      <c r="H34" s="105"/>
      <c r="I34" s="122">
        <f>4.5*I31</f>
        <v>4500</v>
      </c>
      <c r="J34" s="105"/>
      <c r="K34" s="105">
        <f>4.5*K31</f>
        <v>6750</v>
      </c>
      <c r="M34" s="109" t="s">
        <v>58</v>
      </c>
      <c r="N34" s="110"/>
      <c r="O34" s="111">
        <v>5</v>
      </c>
    </row>
    <row r="35" spans="3:15" x14ac:dyDescent="0.3">
      <c r="C35" s="55" t="s">
        <v>112</v>
      </c>
      <c r="D35" s="55"/>
      <c r="E35" s="55"/>
      <c r="F35" s="55"/>
      <c r="G35" s="126">
        <v>3000</v>
      </c>
      <c r="H35" s="105"/>
      <c r="I35" s="124">
        <f>+I32-I34-I37</f>
        <v>3000</v>
      </c>
      <c r="J35" s="105"/>
      <c r="K35" s="126">
        <v>3000</v>
      </c>
      <c r="M35" s="109" t="s">
        <v>59</v>
      </c>
      <c r="N35" s="110"/>
      <c r="O35" s="111">
        <v>2500</v>
      </c>
    </row>
    <row r="36" spans="3:15" x14ac:dyDescent="0.3">
      <c r="H36" s="105"/>
      <c r="I36" s="122"/>
      <c r="J36" s="105"/>
      <c r="K36" s="105"/>
      <c r="M36" s="109" t="s">
        <v>64</v>
      </c>
      <c r="N36" s="110"/>
      <c r="O36" s="112">
        <v>1000</v>
      </c>
    </row>
    <row r="37" spans="3:15" x14ac:dyDescent="0.3">
      <c r="C37" s="55" t="s">
        <v>53</v>
      </c>
      <c r="D37" s="55"/>
      <c r="E37" s="55"/>
      <c r="F37" s="55"/>
      <c r="G37" s="130">
        <f>+G32-G34-G35</f>
        <v>-250</v>
      </c>
      <c r="H37" s="105"/>
      <c r="I37" s="122">
        <f>+O38</f>
        <v>2500</v>
      </c>
      <c r="J37" s="105"/>
      <c r="K37" s="131">
        <f>+K32-K34-K35</f>
        <v>5250</v>
      </c>
      <c r="M37" s="116" t="s">
        <v>105</v>
      </c>
      <c r="N37" s="117"/>
      <c r="O37" s="112">
        <v>1500</v>
      </c>
    </row>
    <row r="38" spans="3:15" x14ac:dyDescent="0.3">
      <c r="M38" s="42" t="s">
        <v>109</v>
      </c>
      <c r="N38" s="118"/>
      <c r="O38" s="111">
        <v>2500</v>
      </c>
    </row>
    <row r="39" spans="3:15" ht="16.2" thickBot="1" x14ac:dyDescent="0.35">
      <c r="M39" s="48" t="s">
        <v>110</v>
      </c>
      <c r="N39" s="49"/>
      <c r="O39" s="132">
        <v>5000</v>
      </c>
    </row>
    <row r="40" spans="3:15" x14ac:dyDescent="0.3">
      <c r="C40" s="128" t="s">
        <v>54</v>
      </c>
      <c r="D40" s="128"/>
      <c r="E40" s="128"/>
      <c r="F40" s="128"/>
      <c r="G40" s="128"/>
    </row>
    <row r="41" spans="3:15" x14ac:dyDescent="0.3">
      <c r="C41" s="18" t="s">
        <v>118</v>
      </c>
    </row>
    <row r="43" spans="3:15" x14ac:dyDescent="0.3">
      <c r="C43" s="125" t="s">
        <v>116</v>
      </c>
      <c r="D43" s="125"/>
      <c r="E43" s="125"/>
      <c r="F43" s="125"/>
      <c r="G43" s="125"/>
    </row>
    <row r="44" spans="3:15" x14ac:dyDescent="0.3">
      <c r="C44" s="55" t="s">
        <v>113</v>
      </c>
      <c r="D44" s="55"/>
      <c r="E44" s="55"/>
      <c r="F44" s="105">
        <f>+I32</f>
        <v>10000</v>
      </c>
    </row>
    <row r="45" spans="3:15" x14ac:dyDescent="0.3">
      <c r="C45" s="127" t="s">
        <v>114</v>
      </c>
      <c r="D45" s="127"/>
      <c r="E45" s="127"/>
    </row>
    <row r="46" spans="3:15" x14ac:dyDescent="0.3">
      <c r="C46" s="55" t="s">
        <v>115</v>
      </c>
      <c r="D46" s="55"/>
      <c r="E46" s="55"/>
      <c r="F46" s="105">
        <f>+I34</f>
        <v>4500</v>
      </c>
    </row>
    <row r="47" spans="3:15" x14ac:dyDescent="0.3">
      <c r="C47" s="127" t="s">
        <v>114</v>
      </c>
      <c r="D47" s="127"/>
      <c r="E47" s="127"/>
    </row>
    <row r="48" spans="3:15" ht="36" customHeight="1" x14ac:dyDescent="0.3">
      <c r="C48" s="54" t="s">
        <v>53</v>
      </c>
      <c r="D48" s="54"/>
      <c r="E48" s="54"/>
      <c r="F48" s="126">
        <f>+I37</f>
        <v>2500</v>
      </c>
    </row>
    <row r="49" spans="3:6" x14ac:dyDescent="0.3">
      <c r="C49" s="128" t="s">
        <v>117</v>
      </c>
      <c r="D49" s="128"/>
      <c r="E49" s="128"/>
      <c r="F49" s="129">
        <f>+F44-F46-F48</f>
        <v>3000</v>
      </c>
    </row>
  </sheetData>
  <mergeCells count="25">
    <mergeCell ref="C49:E49"/>
    <mergeCell ref="C40:G40"/>
    <mergeCell ref="C44:E44"/>
    <mergeCell ref="C45:E45"/>
    <mergeCell ref="C46:E46"/>
    <mergeCell ref="C47:E47"/>
    <mergeCell ref="C48:E48"/>
    <mergeCell ref="M33:N33"/>
    <mergeCell ref="M34:N34"/>
    <mergeCell ref="M35:N35"/>
    <mergeCell ref="M36:N36"/>
    <mergeCell ref="C43:G43"/>
    <mergeCell ref="C34:F34"/>
    <mergeCell ref="C35:F35"/>
    <mergeCell ref="C37:F37"/>
    <mergeCell ref="C8:D8"/>
    <mergeCell ref="C9:D9"/>
    <mergeCell ref="C10:D10"/>
    <mergeCell ref="C11:D11"/>
    <mergeCell ref="C26:K26"/>
    <mergeCell ref="C3:O3"/>
    <mergeCell ref="C5:O6"/>
    <mergeCell ref="C15:K16"/>
    <mergeCell ref="C31:F31"/>
    <mergeCell ref="C32:F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C8A0-FD81-4093-8224-34B55A58C46A}">
  <sheetPr codeName="Hoja2"/>
  <dimension ref="A3:J48"/>
  <sheetViews>
    <sheetView topLeftCell="A36" zoomScale="140" zoomScaleNormal="140" workbookViewId="0">
      <selection activeCell="B48" sqref="B48"/>
    </sheetView>
  </sheetViews>
  <sheetFormatPr baseColWidth="10" defaultColWidth="11.44140625" defaultRowHeight="15" x14ac:dyDescent="0.25"/>
  <cols>
    <col min="1" max="1" width="11.44140625" style="1"/>
    <col min="2" max="2" width="15.109375" style="1" customWidth="1"/>
    <col min="3" max="3" width="14.33203125" style="1" customWidth="1"/>
    <col min="4" max="4" width="16.33203125" style="1" customWidth="1"/>
    <col min="5" max="5" width="11.44140625" style="1"/>
    <col min="6" max="6" width="13.44140625" style="1" customWidth="1"/>
    <col min="7" max="16384" width="11.44140625" style="1"/>
  </cols>
  <sheetData>
    <row r="3" spans="1:10" ht="17.399999999999999" x14ac:dyDescent="0.25">
      <c r="A3" s="78" t="s">
        <v>0</v>
      </c>
      <c r="B3" s="78"/>
      <c r="C3" s="78"/>
      <c r="D3" s="78"/>
      <c r="E3" s="78"/>
      <c r="F3" s="78"/>
      <c r="G3" s="78"/>
      <c r="H3" s="78"/>
      <c r="I3" s="78"/>
      <c r="J3" s="78"/>
    </row>
    <row r="5" spans="1:10" x14ac:dyDescent="0.25">
      <c r="A5" s="1" t="s">
        <v>1</v>
      </c>
    </row>
    <row r="8" spans="1:10" ht="15.6" x14ac:dyDescent="0.25">
      <c r="A8" s="79" t="s">
        <v>2</v>
      </c>
      <c r="B8" s="79"/>
      <c r="C8" s="79"/>
      <c r="E8" s="2" t="s">
        <v>3</v>
      </c>
    </row>
    <row r="9" spans="1:10" x14ac:dyDescent="0.25">
      <c r="E9" s="3"/>
    </row>
    <row r="10" spans="1:10" x14ac:dyDescent="0.25">
      <c r="E10" s="2" t="s">
        <v>4</v>
      </c>
    </row>
    <row r="15" spans="1:10" x14ac:dyDescent="0.25">
      <c r="F15" s="1" t="s">
        <v>14</v>
      </c>
      <c r="G15" s="1" t="s">
        <v>15</v>
      </c>
    </row>
    <row r="16" spans="1:10" x14ac:dyDescent="0.25">
      <c r="F16" s="138" t="s">
        <v>16</v>
      </c>
      <c r="G16" s="1" t="s">
        <v>17</v>
      </c>
    </row>
    <row r="17" spans="1:7" x14ac:dyDescent="0.25">
      <c r="F17" s="138" t="s">
        <v>18</v>
      </c>
      <c r="G17" s="1" t="s">
        <v>19</v>
      </c>
    </row>
    <row r="18" spans="1:7" x14ac:dyDescent="0.25">
      <c r="F18" s="139" t="s">
        <v>20</v>
      </c>
      <c r="G18" s="1" t="s">
        <v>21</v>
      </c>
    </row>
    <row r="19" spans="1:7" x14ac:dyDescent="0.25">
      <c r="F19" s="139" t="s">
        <v>22</v>
      </c>
      <c r="G19" s="1" t="s">
        <v>23</v>
      </c>
    </row>
    <row r="20" spans="1:7" x14ac:dyDescent="0.25">
      <c r="F20" s="140" t="s">
        <v>24</v>
      </c>
      <c r="G20" s="1" t="s">
        <v>25</v>
      </c>
    </row>
    <row r="21" spans="1:7" x14ac:dyDescent="0.25">
      <c r="F21" s="140" t="s">
        <v>26</v>
      </c>
      <c r="G21" s="1" t="s">
        <v>27</v>
      </c>
    </row>
    <row r="22" spans="1:7" ht="15.6" thickBot="1" x14ac:dyDescent="0.3">
      <c r="A22" s="1" t="s">
        <v>28</v>
      </c>
    </row>
    <row r="23" spans="1:7" x14ac:dyDescent="0.25">
      <c r="A23" s="72" t="s">
        <v>5</v>
      </c>
      <c r="B23" s="73"/>
      <c r="C23" s="73"/>
      <c r="D23" s="134">
        <v>6.2899999999999998E-2</v>
      </c>
      <c r="E23" s="138" t="s">
        <v>18</v>
      </c>
    </row>
    <row r="24" spans="1:7" x14ac:dyDescent="0.25">
      <c r="A24" s="74" t="s">
        <v>6</v>
      </c>
      <c r="B24" s="75"/>
      <c r="C24" s="75"/>
      <c r="D24" s="135">
        <v>8.3699999999999997E-2</v>
      </c>
      <c r="E24" s="139" t="s">
        <v>22</v>
      </c>
    </row>
    <row r="25" spans="1:7" x14ac:dyDescent="0.25">
      <c r="A25" s="74" t="s">
        <v>7</v>
      </c>
      <c r="B25" s="75"/>
      <c r="C25" s="75"/>
      <c r="D25" s="137">
        <v>0.14499999999999999</v>
      </c>
      <c r="E25" s="140" t="s">
        <v>26</v>
      </c>
    </row>
    <row r="26" spans="1:7" ht="15.6" thickBot="1" x14ac:dyDescent="0.3">
      <c r="A26" s="76" t="s">
        <v>8</v>
      </c>
      <c r="B26" s="77"/>
      <c r="C26" s="77"/>
      <c r="D26" s="4">
        <v>0.1762</v>
      </c>
    </row>
    <row r="29" spans="1:7" x14ac:dyDescent="0.25">
      <c r="A29" s="1" t="s">
        <v>9</v>
      </c>
    </row>
    <row r="30" spans="1:7" ht="15.6" thickBot="1" x14ac:dyDescent="0.3"/>
    <row r="31" spans="1:7" x14ac:dyDescent="0.25">
      <c r="A31" s="72" t="s">
        <v>10</v>
      </c>
      <c r="B31" s="73"/>
      <c r="C31" s="73"/>
      <c r="D31" s="134">
        <v>0.4</v>
      </c>
      <c r="E31" s="133">
        <v>0.4</v>
      </c>
      <c r="F31" s="138" t="s">
        <v>119</v>
      </c>
    </row>
    <row r="32" spans="1:7" x14ac:dyDescent="0.25">
      <c r="A32" s="74" t="s">
        <v>29</v>
      </c>
      <c r="B32" s="75"/>
      <c r="C32" s="75"/>
      <c r="D32" s="135">
        <v>0.1</v>
      </c>
      <c r="E32" s="133">
        <v>0.1</v>
      </c>
      <c r="F32" s="139" t="s">
        <v>20</v>
      </c>
    </row>
    <row r="33" spans="1:9" ht="15.6" thickBot="1" x14ac:dyDescent="0.3">
      <c r="A33" s="76" t="s">
        <v>11</v>
      </c>
      <c r="B33" s="77"/>
      <c r="C33" s="77"/>
      <c r="D33" s="136">
        <v>0.5</v>
      </c>
      <c r="E33" s="133">
        <v>0.5</v>
      </c>
      <c r="F33" s="140" t="s">
        <v>24</v>
      </c>
    </row>
    <row r="34" spans="1:9" x14ac:dyDescent="0.25">
      <c r="A34" s="8"/>
      <c r="B34" s="8"/>
      <c r="C34" s="8"/>
      <c r="D34" s="9">
        <f>SUM(D31:D33)</f>
        <v>1</v>
      </c>
      <c r="E34" s="133">
        <f>SUM(E31:E33)</f>
        <v>1</v>
      </c>
    </row>
    <row r="36" spans="1:9" ht="15.6" x14ac:dyDescent="0.3">
      <c r="A36" s="5" t="s">
        <v>12</v>
      </c>
    </row>
    <row r="37" spans="1:9" ht="17.399999999999999" x14ac:dyDescent="0.3">
      <c r="A37" s="6"/>
      <c r="H37" s="1" t="s">
        <v>14</v>
      </c>
      <c r="I37" s="1" t="s">
        <v>15</v>
      </c>
    </row>
    <row r="38" spans="1:9" x14ac:dyDescent="0.25">
      <c r="H38" s="1" t="s">
        <v>16</v>
      </c>
      <c r="I38" s="1" t="s">
        <v>17</v>
      </c>
    </row>
    <row r="39" spans="1:9" x14ac:dyDescent="0.25">
      <c r="H39" s="1" t="s">
        <v>18</v>
      </c>
      <c r="I39" s="1" t="s">
        <v>19</v>
      </c>
    </row>
    <row r="40" spans="1:9" x14ac:dyDescent="0.25">
      <c r="A40" s="1" t="s">
        <v>14</v>
      </c>
      <c r="B40" s="1" t="s">
        <v>30</v>
      </c>
      <c r="C40" s="10" t="s">
        <v>31</v>
      </c>
      <c r="D40" s="1" t="s">
        <v>32</v>
      </c>
      <c r="E40" s="1" t="s">
        <v>31</v>
      </c>
      <c r="F40" s="1" t="s">
        <v>33</v>
      </c>
      <c r="H40" s="1" t="s">
        <v>34</v>
      </c>
      <c r="I40" s="1" t="s">
        <v>21</v>
      </c>
    </row>
    <row r="41" spans="1:9" x14ac:dyDescent="0.25">
      <c r="C41" s="10"/>
      <c r="H41" s="1" t="s">
        <v>22</v>
      </c>
      <c r="I41" s="1" t="s">
        <v>23</v>
      </c>
    </row>
    <row r="42" spans="1:9" x14ac:dyDescent="0.25">
      <c r="A42" s="1" t="s">
        <v>14</v>
      </c>
      <c r="B42" s="1" t="s">
        <v>120</v>
      </c>
      <c r="C42" s="10" t="s">
        <v>31</v>
      </c>
      <c r="D42" s="1" t="s">
        <v>121</v>
      </c>
      <c r="E42" s="1" t="s">
        <v>31</v>
      </c>
      <c r="F42" s="1" t="s">
        <v>122</v>
      </c>
      <c r="H42" s="1" t="s">
        <v>24</v>
      </c>
      <c r="I42" s="1" t="s">
        <v>25</v>
      </c>
    </row>
    <row r="43" spans="1:9" x14ac:dyDescent="0.25">
      <c r="H43" s="1" t="s">
        <v>26</v>
      </c>
      <c r="I43" s="1" t="s">
        <v>27</v>
      </c>
    </row>
    <row r="44" spans="1:9" x14ac:dyDescent="0.25">
      <c r="A44" s="1" t="s">
        <v>14</v>
      </c>
      <c r="B44" s="1">
        <f>0.4*6.29%</f>
        <v>2.5160000000000002E-2</v>
      </c>
      <c r="C44" s="10" t="s">
        <v>31</v>
      </c>
      <c r="D44" s="1">
        <f>0.1*8.37%</f>
        <v>8.3700000000000007E-3</v>
      </c>
      <c r="E44" s="1" t="s">
        <v>31</v>
      </c>
      <c r="F44" s="1">
        <f>0.5*14.5%</f>
        <v>7.2499999999999995E-2</v>
      </c>
    </row>
    <row r="46" spans="1:9" x14ac:dyDescent="0.25">
      <c r="A46" s="1" t="s">
        <v>14</v>
      </c>
      <c r="B46" s="1">
        <f>+B44+D44+F44</f>
        <v>0.10603</v>
      </c>
    </row>
    <row r="48" spans="1:9" ht="15.6" x14ac:dyDescent="0.3">
      <c r="A48" s="17" t="s">
        <v>14</v>
      </c>
      <c r="B48" s="141">
        <f>+B46+D46+F46</f>
        <v>0.10603</v>
      </c>
      <c r="C48" s="17" t="s">
        <v>35</v>
      </c>
      <c r="D48" s="16"/>
      <c r="E48" s="16"/>
      <c r="F48" s="16"/>
    </row>
  </sheetData>
  <mergeCells count="9">
    <mergeCell ref="A31:C31"/>
    <mergeCell ref="A32:C32"/>
    <mergeCell ref="A33:C33"/>
    <mergeCell ref="A3:J3"/>
    <mergeCell ref="A8:C8"/>
    <mergeCell ref="A23:C23"/>
    <mergeCell ref="A24:C24"/>
    <mergeCell ref="A25:C25"/>
    <mergeCell ref="A26:C26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2049" r:id="rId3">
          <objectPr defaultSize="0" autoPict="0" r:id="rId4">
            <anchor moveWithCells="1" sizeWithCells="1">
              <from>
                <xdr:col>4</xdr:col>
                <xdr:colOff>0</xdr:colOff>
                <xdr:row>9</xdr:row>
                <xdr:rowOff>0</xdr:rowOff>
              </from>
              <to>
                <xdr:col>7</xdr:col>
                <xdr:colOff>121920</xdr:colOff>
                <xdr:row>10</xdr:row>
                <xdr:rowOff>76200</xdr:rowOff>
              </to>
            </anchor>
          </objectPr>
        </oleObject>
      </mc:Choice>
      <mc:Fallback>
        <oleObject progId="Equation.3" shapeId="2049" r:id="rId3"/>
      </mc:Fallback>
    </mc:AlternateContent>
    <mc:AlternateContent xmlns:mc="http://schemas.openxmlformats.org/markup-compatibility/2006">
      <mc:Choice Requires="x14">
        <oleObject progId="Equation.3" shapeId="2050" r:id="rId5">
          <objectPr defaultSize="0" autoPict="0" r:id="rId4">
            <anchor moveWithCells="1" sizeWithCells="1">
              <from>
                <xdr:col>0</xdr:col>
                <xdr:colOff>0</xdr:colOff>
                <xdr:row>36</xdr:row>
                <xdr:rowOff>220980</xdr:rowOff>
              </from>
              <to>
                <xdr:col>3</xdr:col>
                <xdr:colOff>632460</xdr:colOff>
                <xdr:row>38</xdr:row>
                <xdr:rowOff>76200</xdr:rowOff>
              </to>
            </anchor>
          </objectPr>
        </oleObject>
      </mc:Choice>
      <mc:Fallback>
        <oleObject progId="Equation.3" shapeId="2050" r:id="rId5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BCFBA-4F98-4DB9-A4D4-216F3C8C03FD}">
  <sheetPr codeName="Hoja3"/>
  <dimension ref="A3:K27"/>
  <sheetViews>
    <sheetView tabSelected="1" topLeftCell="A15" zoomScale="110" zoomScaleNormal="110" workbookViewId="0">
      <selection activeCell="G21" sqref="G21"/>
    </sheetView>
  </sheetViews>
  <sheetFormatPr baseColWidth="10" defaultColWidth="11.44140625" defaultRowHeight="13.8" x14ac:dyDescent="0.25"/>
  <cols>
    <col min="1" max="2" width="11.44140625" style="11"/>
    <col min="3" max="3" width="17" style="11" customWidth="1"/>
    <col min="4" max="4" width="24" style="11" customWidth="1"/>
    <col min="5" max="5" width="11.44140625" style="11"/>
    <col min="6" max="6" width="17.88671875" style="11" customWidth="1"/>
    <col min="7" max="16384" width="11.44140625" style="11"/>
  </cols>
  <sheetData>
    <row r="3" spans="1:11" ht="22.8" x14ac:dyDescent="0.25">
      <c r="A3" s="80" t="s">
        <v>13</v>
      </c>
      <c r="B3" s="80"/>
      <c r="C3" s="80"/>
      <c r="D3" s="80"/>
      <c r="E3" s="80"/>
      <c r="F3" s="80"/>
      <c r="G3" s="80"/>
      <c r="H3" s="80"/>
      <c r="I3" s="80"/>
      <c r="J3" s="80"/>
      <c r="K3" s="80"/>
    </row>
    <row r="4" spans="1:11" ht="22.8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 ht="22.8" x14ac:dyDescent="0.25">
      <c r="A5" s="12"/>
      <c r="B5" s="13" t="s">
        <v>41</v>
      </c>
      <c r="C5" s="12"/>
      <c r="D5" s="12"/>
      <c r="E5" s="12"/>
      <c r="F5" s="12"/>
      <c r="G5" s="12"/>
      <c r="H5" s="12"/>
      <c r="I5" s="12"/>
      <c r="J5" s="12"/>
      <c r="K5" s="12"/>
    </row>
    <row r="7" spans="1:11" ht="18" x14ac:dyDescent="0.35">
      <c r="B7" s="11" t="s">
        <v>37</v>
      </c>
      <c r="E7" s="143">
        <v>5.6000000000000001E-2</v>
      </c>
      <c r="I7" s="7"/>
    </row>
    <row r="8" spans="1:11" x14ac:dyDescent="0.25">
      <c r="B8" s="11" t="s">
        <v>38</v>
      </c>
      <c r="E8" s="144">
        <v>0.106</v>
      </c>
    </row>
    <row r="9" spans="1:11" x14ac:dyDescent="0.25">
      <c r="B9" s="11" t="s">
        <v>39</v>
      </c>
      <c r="E9" s="145">
        <v>0.13</v>
      </c>
    </row>
    <row r="10" spans="1:11" x14ac:dyDescent="0.25">
      <c r="B10" s="11" t="s">
        <v>40</v>
      </c>
      <c r="E10" s="14">
        <v>0.14000000000000001</v>
      </c>
    </row>
    <row r="12" spans="1:11" x14ac:dyDescent="0.25">
      <c r="B12" s="11" t="s">
        <v>47</v>
      </c>
    </row>
    <row r="14" spans="1:11" ht="14.4" thickBot="1" x14ac:dyDescent="0.3"/>
    <row r="15" spans="1:11" ht="27.6" x14ac:dyDescent="0.25">
      <c r="B15" s="149" t="s">
        <v>36</v>
      </c>
      <c r="C15" s="150"/>
      <c r="D15" s="151" t="s">
        <v>43</v>
      </c>
      <c r="E15" s="152" t="s">
        <v>42</v>
      </c>
      <c r="F15" s="151" t="s">
        <v>45</v>
      </c>
      <c r="G15" s="153" t="s">
        <v>46</v>
      </c>
    </row>
    <row r="16" spans="1:11" x14ac:dyDescent="0.25">
      <c r="B16" s="154"/>
      <c r="C16" s="146"/>
      <c r="D16" s="147">
        <v>1</v>
      </c>
      <c r="E16" s="147">
        <v>2</v>
      </c>
      <c r="F16" s="155" t="s">
        <v>44</v>
      </c>
      <c r="G16" s="156"/>
    </row>
    <row r="17" spans="2:7" ht="14.4" thickBot="1" x14ac:dyDescent="0.3">
      <c r="B17" s="157"/>
      <c r="C17" s="82"/>
      <c r="D17" s="81"/>
      <c r="E17" s="81"/>
      <c r="F17" s="15">
        <v>3</v>
      </c>
      <c r="G17" s="158"/>
    </row>
    <row r="18" spans="2:7" ht="16.2" customHeight="1" thickTop="1" x14ac:dyDescent="0.25">
      <c r="B18" s="74" t="s">
        <v>10</v>
      </c>
      <c r="C18" s="142"/>
      <c r="D18" s="148">
        <f>+F24</f>
        <v>0.4</v>
      </c>
      <c r="E18" s="159">
        <f>+E7</f>
        <v>5.6000000000000001E-2</v>
      </c>
      <c r="F18" s="160">
        <f>+D18*E18</f>
        <v>2.2400000000000003E-2</v>
      </c>
      <c r="G18" s="161">
        <f>+F18</f>
        <v>2.2400000000000003E-2</v>
      </c>
    </row>
    <row r="19" spans="2:7" ht="15" x14ac:dyDescent="0.25">
      <c r="B19" s="74" t="s">
        <v>29</v>
      </c>
      <c r="C19" s="142"/>
      <c r="D19" s="148">
        <f>+F25</f>
        <v>0.1</v>
      </c>
      <c r="E19" s="159">
        <f>+E8</f>
        <v>0.106</v>
      </c>
      <c r="F19" s="160">
        <f t="shared" ref="F19:F20" si="0">+D19*E19</f>
        <v>1.06E-2</v>
      </c>
      <c r="G19" s="161">
        <f t="shared" ref="G19:G20" si="1">+F19</f>
        <v>1.06E-2</v>
      </c>
    </row>
    <row r="20" spans="2:7" ht="16.2" customHeight="1" x14ac:dyDescent="0.25">
      <c r="B20" s="74" t="s">
        <v>11</v>
      </c>
      <c r="C20" s="142"/>
      <c r="D20" s="148">
        <f>+F26</f>
        <v>0.5</v>
      </c>
      <c r="E20" s="159">
        <f>+E9</f>
        <v>0.13</v>
      </c>
      <c r="F20" s="160">
        <f t="shared" si="0"/>
        <v>6.5000000000000002E-2</v>
      </c>
      <c r="G20" s="167">
        <f t="shared" si="1"/>
        <v>6.5000000000000002E-2</v>
      </c>
    </row>
    <row r="21" spans="2:7" ht="14.4" thickBot="1" x14ac:dyDescent="0.3">
      <c r="B21" s="162"/>
      <c r="C21" s="163"/>
      <c r="D21" s="164" t="s">
        <v>123</v>
      </c>
      <c r="E21" s="165"/>
      <c r="F21" s="164"/>
      <c r="G21" s="166">
        <f>SUM(G18:G20)</f>
        <v>9.8000000000000004E-2</v>
      </c>
    </row>
    <row r="22" spans="2:7" x14ac:dyDescent="0.25">
      <c r="E22" s="14"/>
      <c r="G22" s="14"/>
    </row>
    <row r="23" spans="2:7" ht="14.4" thickBot="1" x14ac:dyDescent="0.3"/>
    <row r="24" spans="2:7" ht="15" x14ac:dyDescent="0.25">
      <c r="B24" s="72" t="s">
        <v>10</v>
      </c>
      <c r="C24" s="73"/>
      <c r="D24" s="73"/>
      <c r="E24" s="134">
        <v>0.4</v>
      </c>
      <c r="F24" s="133">
        <v>0.4</v>
      </c>
    </row>
    <row r="25" spans="2:7" ht="15" x14ac:dyDescent="0.25">
      <c r="B25" s="74" t="s">
        <v>29</v>
      </c>
      <c r="C25" s="75"/>
      <c r="D25" s="75"/>
      <c r="E25" s="135">
        <v>0.1</v>
      </c>
      <c r="F25" s="133">
        <v>0.1</v>
      </c>
    </row>
    <row r="26" spans="2:7" ht="15.6" thickBot="1" x14ac:dyDescent="0.3">
      <c r="B26" s="76" t="s">
        <v>11</v>
      </c>
      <c r="C26" s="77"/>
      <c r="D26" s="77"/>
      <c r="E26" s="136">
        <v>0.5</v>
      </c>
      <c r="F26" s="133">
        <v>0.5</v>
      </c>
    </row>
    <row r="27" spans="2:7" ht="15" x14ac:dyDescent="0.25">
      <c r="B27" s="8"/>
      <c r="C27" s="8"/>
      <c r="D27" s="8"/>
      <c r="E27" s="9">
        <f>SUM(E24:E26)</f>
        <v>1</v>
      </c>
      <c r="F27" s="133">
        <f>SUM(F24:F26)</f>
        <v>1</v>
      </c>
    </row>
  </sheetData>
  <mergeCells count="11">
    <mergeCell ref="B24:D24"/>
    <mergeCell ref="B25:D25"/>
    <mergeCell ref="B26:D26"/>
    <mergeCell ref="B18:C18"/>
    <mergeCell ref="B19:C19"/>
    <mergeCell ref="B20:C20"/>
    <mergeCell ref="A3:K3"/>
    <mergeCell ref="G15:G17"/>
    <mergeCell ref="D16:D17"/>
    <mergeCell ref="E16:E17"/>
    <mergeCell ref="B15:C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ROI</vt:lpstr>
      <vt:lpstr>APALANCAMIENTO FINANCIERO</vt:lpstr>
      <vt:lpstr>CPPC</vt:lpstr>
      <vt:lpstr>ESQUEMA DE PONDERACION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Morales</dc:creator>
  <cp:lastModifiedBy>MORALES ESPINOZA FERNANDA VALENTINA</cp:lastModifiedBy>
  <dcterms:created xsi:type="dcterms:W3CDTF">2023-06-01T01:35:23Z</dcterms:created>
  <dcterms:modified xsi:type="dcterms:W3CDTF">2026-03-18T17:53:47Z</dcterms:modified>
</cp:coreProperties>
</file>