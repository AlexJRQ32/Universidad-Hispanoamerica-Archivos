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oble\Downloads\"/>
    </mc:Choice>
  </mc:AlternateContent>
  <xr:revisionPtr revIDLastSave="0" documentId="13_ncr:1_{C4C8BE4B-D280-4BF0-98A8-4613C1960514}" xr6:coauthVersionLast="47" xr6:coauthVersionMax="47" xr10:uidLastSave="{00000000-0000-0000-0000-000000000000}"/>
  <bookViews>
    <workbookView xWindow="-108" yWindow="-108" windowWidth="23976" windowHeight="14016" xr2:uid="{11B5D776-84D6-4105-BB03-6452367DC973}"/>
  </bookViews>
  <sheets>
    <sheet name="CASO 3 parte 1"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6" i="6" l="1"/>
  <c r="K85" i="6"/>
  <c r="K84" i="6"/>
  <c r="K82" i="6"/>
  <c r="C85" i="6"/>
  <c r="F96" i="6" s="1"/>
  <c r="K61" i="6"/>
  <c r="K60" i="6"/>
  <c r="K58" i="6"/>
  <c r="M25" i="6"/>
  <c r="M24" i="6"/>
  <c r="F71" i="6"/>
  <c r="C61" i="6"/>
  <c r="H71" i="6" s="1"/>
  <c r="C60" i="6"/>
  <c r="H72" i="6" s="1"/>
  <c r="C59" i="6"/>
  <c r="M22" i="6"/>
  <c r="M20" i="6"/>
  <c r="H49" i="6"/>
  <c r="G51" i="6"/>
  <c r="K35" i="6"/>
  <c r="I36" i="6"/>
  <c r="I35" i="6"/>
  <c r="H30" i="6"/>
  <c r="H29" i="6"/>
  <c r="F29" i="6"/>
  <c r="C25" i="6"/>
  <c r="C24" i="6"/>
  <c r="C23" i="6"/>
  <c r="F15" i="6"/>
  <c r="H97" i="6"/>
  <c r="H91" i="6"/>
  <c r="F90" i="6"/>
  <c r="H90" i="6" s="1"/>
  <c r="G35" i="6"/>
  <c r="G9" i="6"/>
  <c r="G8" i="6"/>
  <c r="H96" i="6" l="1"/>
  <c r="I96" i="6" s="1"/>
  <c r="F65" i="6"/>
  <c r="H65" i="6" s="1"/>
  <c r="I65" i="6" s="1"/>
  <c r="H66" i="6"/>
  <c r="I90" i="6"/>
  <c r="I71" i="6"/>
  <c r="I29" i="6" l="1"/>
  <c r="K62" i="6" l="1"/>
</calcChain>
</file>

<file path=xl/sharedStrings.xml><?xml version="1.0" encoding="utf-8"?>
<sst xmlns="http://schemas.openxmlformats.org/spreadsheetml/2006/main" count="127" uniqueCount="65">
  <si>
    <t>=</t>
  </si>
  <si>
    <t>Utilidad bruta</t>
  </si>
  <si>
    <t>-</t>
  </si>
  <si>
    <t>+</t>
  </si>
  <si>
    <t>Costo variabiable unitario</t>
  </si>
  <si>
    <t>Precio de venta unitario</t>
  </si>
  <si>
    <t>Utilidad Neta</t>
  </si>
  <si>
    <t>Datos</t>
  </si>
  <si>
    <t>Produce y vende</t>
  </si>
  <si>
    <t>Deuda</t>
  </si>
  <si>
    <t>Acciones comunes en circulación</t>
  </si>
  <si>
    <t>Impuesto sobre ganancia de operación (Impuesto de renta)</t>
  </si>
  <si>
    <t>VARIABLES</t>
  </si>
  <si>
    <t>Planteamiento:</t>
  </si>
  <si>
    <t>Conversión totalizado</t>
  </si>
  <si>
    <t xml:space="preserve">Punto de equilibrio actual </t>
  </si>
  <si>
    <t>Costo variable unitario</t>
  </si>
  <si>
    <t xml:space="preserve">Costos fijos totales </t>
  </si>
  <si>
    <t>Punto de equilibrio en unidades, operativo</t>
  </si>
  <si>
    <t>Fórmula=</t>
  </si>
  <si>
    <t>Costos fijos totales</t>
  </si>
  <si>
    <t>unidades</t>
  </si>
  <si>
    <t xml:space="preserve">Precio de venta - Costo variable  </t>
  </si>
  <si>
    <t xml:space="preserve">       unitario                unitario</t>
  </si>
  <si>
    <t>Punto de equilibrio en colones, financiero</t>
  </si>
  <si>
    <t>Colones</t>
  </si>
  <si>
    <t>1-</t>
  </si>
  <si>
    <t xml:space="preserve">Precio de venta unitario </t>
  </si>
  <si>
    <t>Costo fijo total</t>
  </si>
  <si>
    <t>Estado de resultados</t>
  </si>
  <si>
    <t>Costos totales</t>
  </si>
  <si>
    <t>Costos Fijos</t>
  </si>
  <si>
    <t>Pérdidas</t>
  </si>
  <si>
    <t>X</t>
  </si>
  <si>
    <t>Unidades</t>
  </si>
  <si>
    <t>Volumen de producción y vendida</t>
  </si>
  <si>
    <t>Ganancia</t>
  </si>
  <si>
    <t>PE=</t>
  </si>
  <si>
    <t>Y</t>
  </si>
  <si>
    <t>La empresa APM produce postes, los cuales se venden a ¢20.00. los costos fijos son de ¢130.000.00 hasta un nivel de producción de 30.000 unidades. El costo variable es de ¢12.00 c/u.</t>
  </si>
  <si>
    <t>a)     Punto de equilibrio en Unidades y colones (gráfica punto de equilibrio).</t>
  </si>
  <si>
    <t>b)     Si el precio de venta disminuye a 15 ¿Qué le sucede al Punto de Equilibrio?</t>
  </si>
  <si>
    <t>Costos fijos</t>
  </si>
  <si>
    <t xml:space="preserve">c)     Si el precio de venta varia a ¢15 y costo variable a ¢10 ¿Qué le sucede  al punto de equilibrio?      </t>
  </si>
  <si>
    <t>Ventas 16.250 Unidades * ¢20 precio venta unitario</t>
  </si>
  <si>
    <t>Costo variable 16.250 unidades * ¢12 Costo variable unitario</t>
  </si>
  <si>
    <t>Utilidades= 0</t>
  </si>
  <si>
    <t>PE</t>
  </si>
  <si>
    <t>15-12</t>
  </si>
  <si>
    <t>1-(12/15)</t>
  </si>
  <si>
    <t xml:space="preserve">Respuesta: </t>
  </si>
  <si>
    <t xml:space="preserve">Al disminuir el precio de venta, la cantidad de unidades requeridas aumenta para llegar al nuevo punto de equilibrio, de igual forma se dará el efecto en el punto de equilibrio en colones </t>
  </si>
  <si>
    <t>Ventas 43.333,33 Unidades * ¢15 precio venta unitario</t>
  </si>
  <si>
    <t>Costo variable 43.333,33 unidades * ¢12 Costo variable unitario</t>
  </si>
  <si>
    <t>15-10</t>
  </si>
  <si>
    <t>Ventas 26.000 Unidades * ¢15 precio venta unitario</t>
  </si>
  <si>
    <t>Costo variable 26.000 unidades * ¢10 Costo variable unitario</t>
  </si>
  <si>
    <t>1-(10/15)</t>
  </si>
  <si>
    <t>Al disminuir el precio de venta, la cantidad de unidades requeridas disminuyen para llegar al nuevo punto de equilibrio, el efecto punto de equilibrio en colones es que dismunuye ya que disminuyó el precio unitario del costo variable, esto con relación al punto anterior, donde el precio de venta es de ¢15 y el precio de costo variable era de ¢12.</t>
  </si>
  <si>
    <t>Intereses 22% anual</t>
  </si>
  <si>
    <t>Parte 1</t>
  </si>
  <si>
    <t>Caso N° 2 Alex Roblero</t>
  </si>
  <si>
    <t>?</t>
  </si>
  <si>
    <t>(20-12)</t>
  </si>
  <si>
    <t>1-(12/20)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</si>
</sst>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quot;* #,##0.00_-;\-&quot;₡&quot;* #,##0.00_-;_-&quot;₡&quot;* &quot;-&quot;??_-;_-@_-"/>
    <numFmt numFmtId="165" formatCode="_-* #,##0_-;\-* #,##0_-;_-* &quot;-&quot;??_-;_-@_-"/>
    <numFmt numFmtId="166" formatCode="#,##0.00_ ;\-#,##0.00\ "/>
    <numFmt numFmtId="167" formatCode="0.0"/>
  </numFmts>
  <fonts count="21"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2"/>
      <color theme="1"/>
      <name val="Aptos Narrow"/>
      <family val="2"/>
      <scheme val="minor"/>
    </font>
    <font>
      <b/>
      <sz val="12"/>
      <color theme="1"/>
      <name val="Aptos Narrow"/>
      <family val="2"/>
      <scheme val="minor"/>
    </font>
    <font>
      <sz val="12"/>
      <color rgb="FF0000CC"/>
      <name val="Aptos Narrow"/>
      <family val="2"/>
      <scheme val="minor"/>
    </font>
    <font>
      <b/>
      <sz val="12"/>
      <color rgb="FF0000CC"/>
      <name val="Aptos Narrow"/>
      <family val="2"/>
      <scheme val="minor"/>
    </font>
    <font>
      <b/>
      <sz val="14"/>
      <color theme="1"/>
      <name val="Aptos Narrow"/>
      <family val="2"/>
      <scheme val="minor"/>
    </font>
    <font>
      <sz val="14"/>
      <color theme="1"/>
      <name val="Aptos Narrow"/>
      <family val="2"/>
      <scheme val="minor"/>
    </font>
    <font>
      <b/>
      <sz val="14"/>
      <color rgb="FF0000CC"/>
      <name val="Aptos Narrow"/>
      <family val="2"/>
      <scheme val="minor"/>
    </font>
    <font>
      <b/>
      <sz val="16"/>
      <color theme="1"/>
      <name val="Aptos Narrow"/>
      <family val="2"/>
      <scheme val="minor"/>
    </font>
    <font>
      <b/>
      <sz val="14"/>
      <color rgb="FF000000"/>
      <name val="Aptos Narrow"/>
      <family val="2"/>
      <scheme val="minor"/>
    </font>
    <font>
      <b/>
      <sz val="12"/>
      <color rgb="FF000000"/>
      <name val="Aptos Narrow"/>
      <family val="2"/>
      <scheme val="minor"/>
    </font>
    <font>
      <sz val="12"/>
      <color rgb="FF000000"/>
      <name val="Aptos Narrow"/>
      <family val="2"/>
      <scheme val="minor"/>
    </font>
    <font>
      <b/>
      <sz val="12"/>
      <name val="Aptos Narrow"/>
      <family val="2"/>
      <scheme val="minor"/>
    </font>
    <font>
      <b/>
      <sz val="20"/>
      <color rgb="FF0000CC"/>
      <name val="Aptos Narrow"/>
      <family val="2"/>
      <scheme val="minor"/>
    </font>
    <font>
      <sz val="12"/>
      <name val="Aptos Narrow"/>
      <family val="2"/>
      <scheme val="minor"/>
    </font>
    <font>
      <b/>
      <sz val="20"/>
      <color rgb="FFFF0000"/>
      <name val="Aptos Narrow"/>
      <family val="2"/>
      <scheme val="minor"/>
    </font>
    <font>
      <b/>
      <sz val="20"/>
      <color theme="1"/>
      <name val="Aptos Narrow"/>
      <family val="2"/>
      <scheme val="minor"/>
    </font>
    <font>
      <sz val="12"/>
      <color rgb="FF9C0006"/>
      <name val="Aptos Narrow"/>
      <family val="2"/>
      <scheme val="minor"/>
    </font>
  </fonts>
  <fills count="7">
    <fill>
      <patternFill patternType="none"/>
    </fill>
    <fill>
      <patternFill patternType="gray125"/>
    </fill>
    <fill>
      <patternFill patternType="solid">
        <fgColor rgb="FFC6EFCE"/>
      </patternFill>
    </fill>
    <fill>
      <patternFill patternType="solid">
        <fgColor rgb="FFFFFFCC"/>
      </patternFill>
    </fill>
    <fill>
      <patternFill patternType="solid">
        <fgColor rgb="FF99CCFF"/>
        <bgColor indexed="64"/>
      </patternFill>
    </fill>
    <fill>
      <patternFill patternType="solid">
        <fgColor rgb="FFFFC7CE"/>
      </patternFill>
    </fill>
    <fill>
      <patternFill patternType="solid">
        <fgColor rgb="FFB2FF65"/>
        <bgColor indexed="64"/>
      </patternFill>
    </fill>
  </fills>
  <borders count="26">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top/>
      <bottom style="thin">
        <color rgb="FFB2B2B2"/>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indexed="64"/>
      </bottom>
      <diagonal/>
    </border>
    <border>
      <left style="thin">
        <color rgb="FFB2B2B2"/>
      </left>
      <right style="thin">
        <color rgb="FFB2B2B2"/>
      </right>
      <top/>
      <bottom style="thin">
        <color rgb="FFB2B2B2"/>
      </bottom>
      <diagonal/>
    </border>
    <border>
      <left/>
      <right style="medium">
        <color rgb="FFFF0000"/>
      </right>
      <top/>
      <bottom/>
      <diagonal/>
    </border>
    <border>
      <left/>
      <right style="medium">
        <color rgb="FFFF0000"/>
      </right>
      <top style="medium">
        <color rgb="FFFF0000"/>
      </top>
      <bottom/>
      <diagonal/>
    </border>
    <border>
      <left style="medium">
        <color rgb="FFFF0000"/>
      </left>
      <right/>
      <top/>
      <bottom style="medium">
        <color indexed="64"/>
      </bottom>
      <diagonal/>
    </border>
    <border>
      <left style="medium">
        <color indexed="64"/>
      </left>
      <right/>
      <top/>
      <bottom style="medium">
        <color rgb="FF0000CC"/>
      </bottom>
      <diagonal/>
    </border>
    <border>
      <left/>
      <right/>
      <top/>
      <bottom style="medium">
        <color rgb="FF0000CC"/>
      </bottom>
      <diagonal/>
    </border>
  </borders>
  <cellStyleXfs count="6">
    <xf numFmtId="0" fontId="0" fillId="0" borderId="0"/>
    <xf numFmtId="164" fontId="1" fillId="0" borderId="0" applyFont="0" applyFill="0" applyBorder="0" applyAlignment="0" applyProtection="0"/>
    <xf numFmtId="43" fontId="1" fillId="0" borderId="0" applyFont="0" applyFill="0" applyBorder="0" applyAlignment="0" applyProtection="0"/>
    <xf numFmtId="0" fontId="2" fillId="2" borderId="0" applyNumberFormat="0" applyBorder="0" applyAlignment="0" applyProtection="0"/>
    <xf numFmtId="0" fontId="1" fillId="3" borderId="10" applyNumberFormat="0" applyFont="0" applyAlignment="0" applyProtection="0"/>
    <xf numFmtId="0" fontId="3" fillId="5" borderId="0" applyNumberFormat="0" applyBorder="0" applyAlignment="0" applyProtection="0"/>
  </cellStyleXfs>
  <cellXfs count="96">
    <xf numFmtId="0" fontId="0" fillId="0" borderId="0" xfId="0"/>
    <xf numFmtId="0" fontId="4" fillId="0" borderId="11" xfId="0" applyFont="1" applyBorder="1" applyAlignment="1">
      <alignment horizontal="center"/>
    </xf>
    <xf numFmtId="0" fontId="4" fillId="0" borderId="0" xfId="0" applyFont="1" applyAlignment="1">
      <alignment horizontal="center"/>
    </xf>
    <xf numFmtId="0" fontId="4" fillId="0" borderId="0" xfId="0" applyFont="1"/>
    <xf numFmtId="0" fontId="5"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3" fillId="3" borderId="10" xfId="4" applyFont="1" applyAlignment="1">
      <alignment horizontal="center" vertical="center" wrapText="1"/>
    </xf>
    <xf numFmtId="0" fontId="13" fillId="3" borderId="10" xfId="4" applyFont="1" applyAlignment="1">
      <alignment horizontal="left" vertical="center" wrapText="1"/>
    </xf>
    <xf numFmtId="164" fontId="14" fillId="3" borderId="10" xfId="4" applyNumberFormat="1" applyFont="1" applyAlignment="1">
      <alignment vertical="center" wrapText="1"/>
    </xf>
    <xf numFmtId="164" fontId="14" fillId="3" borderId="10" xfId="4" applyNumberFormat="1" applyFont="1" applyAlignment="1">
      <alignment horizontal="left" vertical="center" wrapText="1"/>
    </xf>
    <xf numFmtId="0" fontId="18" fillId="0" borderId="0" xfId="0" applyFont="1" applyAlignment="1">
      <alignment horizontal="right" vertical="center" wrapText="1"/>
    </xf>
    <xf numFmtId="0" fontId="6" fillId="0" borderId="5" xfId="0" applyFont="1" applyBorder="1" applyAlignment="1">
      <alignment wrapText="1"/>
    </xf>
    <xf numFmtId="164" fontId="6" fillId="0" borderId="6" xfId="1" applyFont="1" applyBorder="1"/>
    <xf numFmtId="0" fontId="18" fillId="0" borderId="0" xfId="0" applyFont="1" applyAlignment="1">
      <alignment horizontal="right"/>
    </xf>
    <xf numFmtId="165" fontId="17" fillId="2" borderId="19" xfId="3" applyNumberFormat="1" applyFont="1" applyBorder="1"/>
    <xf numFmtId="0" fontId="6" fillId="0" borderId="7" xfId="0" applyFont="1" applyBorder="1" applyAlignment="1">
      <alignment wrapText="1"/>
    </xf>
    <xf numFmtId="164" fontId="6" fillId="0" borderId="9" xfId="1" applyFont="1" applyBorder="1" applyAlignment="1">
      <alignment horizontal="right"/>
    </xf>
    <xf numFmtId="0" fontId="19" fillId="0" borderId="0" xfId="0" applyFont="1" applyAlignment="1">
      <alignment horizontal="right"/>
    </xf>
    <xf numFmtId="166" fontId="15" fillId="2" borderId="20" xfId="3" applyNumberFormat="1" applyFont="1" applyBorder="1"/>
    <xf numFmtId="164" fontId="4" fillId="0" borderId="1" xfId="1" applyFont="1" applyBorder="1"/>
    <xf numFmtId="164" fontId="4" fillId="0" borderId="0" xfId="1" applyFont="1"/>
    <xf numFmtId="43" fontId="7" fillId="0" borderId="0" xfId="0" applyNumberFormat="1" applyFont="1"/>
    <xf numFmtId="0" fontId="7" fillId="0" borderId="0" xfId="0" applyFont="1"/>
    <xf numFmtId="49" fontId="4" fillId="0" borderId="0" xfId="0" applyNumberFormat="1" applyFont="1" applyAlignment="1">
      <alignment horizontal="center"/>
    </xf>
    <xf numFmtId="164" fontId="4" fillId="0" borderId="11" xfId="1" applyFont="1" applyBorder="1"/>
    <xf numFmtId="0" fontId="4" fillId="0" borderId="0" xfId="0" applyFont="1" applyAlignment="1">
      <alignment horizontal="right"/>
    </xf>
    <xf numFmtId="43" fontId="4" fillId="0" borderId="1" xfId="0" applyNumberFormat="1" applyFont="1" applyBorder="1"/>
    <xf numFmtId="164" fontId="7" fillId="0" borderId="0" xfId="1" applyFont="1"/>
    <xf numFmtId="0" fontId="4" fillId="0" borderId="0" xfId="0" applyFont="1" applyAlignment="1">
      <alignment horizontal="left" vertical="center" wrapText="1"/>
    </xf>
    <xf numFmtId="43" fontId="4" fillId="0" borderId="17" xfId="0" applyNumberFormat="1" applyFont="1" applyBorder="1"/>
    <xf numFmtId="0" fontId="4" fillId="0" borderId="17" xfId="0" applyFont="1" applyBorder="1"/>
    <xf numFmtId="43" fontId="5" fillId="0" borderId="6" xfId="2" applyFont="1" applyFill="1" applyBorder="1" applyAlignment="1">
      <alignment horizontal="center"/>
    </xf>
    <xf numFmtId="0" fontId="4" fillId="6" borderId="0" xfId="0" applyFont="1" applyFill="1"/>
    <xf numFmtId="4" fontId="4" fillId="0" borderId="6" xfId="0" applyNumberFormat="1" applyFont="1" applyBorder="1"/>
    <xf numFmtId="0" fontId="15" fillId="6" borderId="0" xfId="0" applyFont="1" applyFill="1"/>
    <xf numFmtId="0" fontId="4" fillId="4" borderId="0" xfId="0" applyFont="1" applyFill="1"/>
    <xf numFmtId="0" fontId="6" fillId="4" borderId="0" xfId="0" applyFont="1" applyFill="1"/>
    <xf numFmtId="0" fontId="10" fillId="4" borderId="24" xfId="0" applyFont="1" applyFill="1" applyBorder="1"/>
    <xf numFmtId="0" fontId="4" fillId="4" borderId="25" xfId="0" applyFont="1" applyFill="1" applyBorder="1"/>
    <xf numFmtId="0" fontId="6" fillId="4" borderId="25" xfId="0" applyFont="1" applyFill="1" applyBorder="1"/>
    <xf numFmtId="4" fontId="7" fillId="0" borderId="6" xfId="0" applyNumberFormat="1" applyFont="1" applyBorder="1"/>
    <xf numFmtId="0" fontId="20" fillId="5" borderId="22" xfId="5" applyFont="1" applyBorder="1"/>
    <xf numFmtId="0" fontId="20" fillId="5" borderId="0" xfId="5" applyFont="1"/>
    <xf numFmtId="167" fontId="4" fillId="0" borderId="0" xfId="0" applyNumberFormat="1" applyFont="1"/>
    <xf numFmtId="0" fontId="20" fillId="5" borderId="21" xfId="5" applyFont="1" applyBorder="1"/>
    <xf numFmtId="0" fontId="20" fillId="5" borderId="23" xfId="5" applyFont="1" applyBorder="1"/>
    <xf numFmtId="0" fontId="20" fillId="5" borderId="8" xfId="5" applyFont="1" applyBorder="1"/>
    <xf numFmtId="0" fontId="4" fillId="0" borderId="8" xfId="0" applyFont="1" applyBorder="1"/>
    <xf numFmtId="0" fontId="4" fillId="0" borderId="3" xfId="0" applyFont="1" applyBorder="1" applyAlignment="1">
      <alignment horizontal="left"/>
    </xf>
    <xf numFmtId="0" fontId="5" fillId="0" borderId="0" xfId="0" applyFont="1" applyAlignment="1">
      <alignment horizontal="center"/>
    </xf>
    <xf numFmtId="0" fontId="5" fillId="0" borderId="0" xfId="0" applyFont="1" applyAlignment="1">
      <alignment horizontal="right"/>
    </xf>
    <xf numFmtId="165" fontId="17" fillId="2" borderId="10" xfId="3" applyNumberFormat="1" applyFont="1" applyBorder="1" applyAlignment="1">
      <alignment vertical="center" wrapText="1"/>
    </xf>
    <xf numFmtId="0" fontId="10" fillId="0" borderId="0" xfId="0" applyFont="1" applyAlignment="1">
      <alignment horizontal="left" wrapText="1"/>
    </xf>
    <xf numFmtId="0" fontId="7" fillId="0" borderId="2" xfId="0" applyFont="1" applyBorder="1" applyAlignment="1">
      <alignment horizontal="center" wrapText="1"/>
    </xf>
    <xf numFmtId="0" fontId="7" fillId="0" borderId="4" xfId="0" applyFont="1" applyBorder="1" applyAlignment="1">
      <alignment horizontal="center" wrapText="1"/>
    </xf>
    <xf numFmtId="0" fontId="7" fillId="0" borderId="5" xfId="0" applyFont="1" applyBorder="1" applyAlignment="1">
      <alignment horizontal="center" wrapText="1"/>
    </xf>
    <xf numFmtId="0" fontId="7" fillId="0" borderId="6" xfId="0" applyFont="1" applyBorder="1" applyAlignment="1">
      <alignment horizontal="center" wrapText="1"/>
    </xf>
    <xf numFmtId="0" fontId="15" fillId="2" borderId="10" xfId="3" applyFont="1" applyBorder="1" applyAlignment="1">
      <alignment horizontal="center"/>
    </xf>
    <xf numFmtId="0" fontId="16" fillId="0" borderId="0" xfId="0" applyFont="1" applyAlignment="1">
      <alignment horizontal="right"/>
    </xf>
    <xf numFmtId="0" fontId="17" fillId="2" borderId="10" xfId="3" applyFont="1" applyBorder="1" applyAlignment="1">
      <alignment horizontal="left" wrapText="1"/>
    </xf>
    <xf numFmtId="43" fontId="17" fillId="2" borderId="10" xfId="3" applyNumberFormat="1" applyFont="1" applyBorder="1" applyAlignment="1">
      <alignment horizontal="center" vertical="center"/>
    </xf>
    <xf numFmtId="0" fontId="17" fillId="2" borderId="12" xfId="3" applyFont="1" applyBorder="1" applyAlignment="1">
      <alignment horizontal="left" wrapText="1"/>
    </xf>
    <xf numFmtId="0" fontId="17" fillId="2" borderId="13" xfId="3" applyFont="1" applyBorder="1" applyAlignment="1">
      <alignment horizontal="left" wrapText="1"/>
    </xf>
    <xf numFmtId="0" fontId="17" fillId="2" borderId="14" xfId="3" applyFont="1" applyBorder="1" applyAlignment="1">
      <alignment horizontal="left" wrapText="1"/>
    </xf>
    <xf numFmtId="0" fontId="17" fillId="2" borderId="10" xfId="3" applyFont="1" applyBorder="1" applyAlignment="1">
      <alignment horizontal="left"/>
    </xf>
    <xf numFmtId="0" fontId="15" fillId="2" borderId="10" xfId="3" applyFont="1" applyBorder="1" applyAlignment="1">
      <alignment horizontal="left"/>
    </xf>
    <xf numFmtId="0" fontId="4" fillId="0" borderId="1" xfId="0" applyFont="1" applyBorder="1" applyAlignment="1">
      <alignment horizontal="center"/>
    </xf>
    <xf numFmtId="0" fontId="4" fillId="0" borderId="0" xfId="0" applyFont="1" applyAlignment="1">
      <alignment horizontal="left" vertical="center" wrapText="1"/>
    </xf>
    <xf numFmtId="0" fontId="18" fillId="0" borderId="0" xfId="0" applyFont="1" applyAlignment="1">
      <alignment horizontal="right" vertical="center" wrapText="1"/>
    </xf>
    <xf numFmtId="165" fontId="17" fillId="2" borderId="10" xfId="3" applyNumberFormat="1"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14" fillId="3" borderId="12" xfId="4" applyFont="1" applyBorder="1" applyAlignment="1">
      <alignment horizontal="left" vertical="center" wrapText="1"/>
    </xf>
    <xf numFmtId="0" fontId="14" fillId="3" borderId="13" xfId="4" applyFont="1" applyBorder="1" applyAlignment="1">
      <alignment horizontal="left" vertical="center" wrapText="1"/>
    </xf>
    <xf numFmtId="0" fontId="14" fillId="3" borderId="14" xfId="4" applyFont="1" applyBorder="1" applyAlignment="1">
      <alignment horizontal="left" vertical="center" wrapText="1"/>
    </xf>
    <xf numFmtId="164" fontId="14" fillId="3" borderId="10" xfId="4" applyNumberFormat="1" applyFont="1" applyAlignment="1">
      <alignment horizontal="center" vertical="center" wrapText="1"/>
    </xf>
    <xf numFmtId="0" fontId="14" fillId="3" borderId="10" xfId="4" applyFont="1" applyAlignment="1">
      <alignment horizontal="center" vertical="center" wrapText="1"/>
    </xf>
    <xf numFmtId="164" fontId="14" fillId="3" borderId="12" xfId="4" applyNumberFormat="1" applyFont="1" applyBorder="1" applyAlignment="1">
      <alignment horizontal="center" vertical="center" wrapText="1"/>
    </xf>
    <xf numFmtId="164" fontId="14" fillId="3" borderId="14" xfId="4" applyNumberFormat="1" applyFont="1" applyBorder="1" applyAlignment="1">
      <alignment horizontal="center" vertical="center" wrapText="1"/>
    </xf>
    <xf numFmtId="0" fontId="14" fillId="3" borderId="10" xfId="4" applyFont="1" applyAlignment="1">
      <alignment horizontal="left" vertical="center" wrapText="1"/>
    </xf>
    <xf numFmtId="9" fontId="14" fillId="3" borderId="10" xfId="4" applyNumberFormat="1" applyFont="1" applyAlignment="1">
      <alignment horizontal="center" vertical="center" wrapText="1"/>
    </xf>
    <xf numFmtId="0" fontId="12" fillId="0" borderId="15" xfId="0" applyFont="1" applyBorder="1" applyAlignment="1">
      <alignment horizontal="center" vertical="center" wrapText="1"/>
    </xf>
    <xf numFmtId="0" fontId="13" fillId="3" borderId="10" xfId="4" applyFont="1" applyAlignment="1">
      <alignment horizontal="center" vertical="center" wrapText="1"/>
    </xf>
    <xf numFmtId="0" fontId="14" fillId="3" borderId="10" xfId="4" applyFont="1" applyAlignment="1">
      <alignment horizontal="left" vertical="center"/>
    </xf>
    <xf numFmtId="0" fontId="14" fillId="3" borderId="10" xfId="1" applyNumberFormat="1" applyFont="1" applyFill="1" applyBorder="1" applyAlignment="1">
      <alignment horizontal="center" vertical="center" wrapText="1"/>
    </xf>
    <xf numFmtId="0" fontId="13" fillId="3" borderId="10" xfId="4" applyFont="1" applyAlignment="1">
      <alignment horizontal="left" vertical="center" wrapText="1"/>
    </xf>
    <xf numFmtId="164" fontId="13" fillId="3" borderId="10" xfId="4" applyNumberFormat="1" applyFont="1" applyAlignment="1">
      <alignment horizontal="center" vertical="center" wrapText="1"/>
    </xf>
    <xf numFmtId="164" fontId="4" fillId="0" borderId="0" xfId="1" applyFont="1" applyAlignment="1">
      <alignment horizontal="center"/>
    </xf>
    <xf numFmtId="164" fontId="4" fillId="0" borderId="1" xfId="1" applyFont="1" applyBorder="1" applyAlignment="1">
      <alignment horizontal="center"/>
    </xf>
    <xf numFmtId="43" fontId="5" fillId="0" borderId="0" xfId="0" applyNumberFormat="1" applyFont="1"/>
    <xf numFmtId="3" fontId="4" fillId="0" borderId="0" xfId="0" applyNumberFormat="1" applyFont="1" applyAlignment="1">
      <alignment horizontal="center"/>
    </xf>
    <xf numFmtId="165" fontId="17" fillId="2" borderId="10" xfId="3" applyNumberFormat="1" applyFont="1" applyBorder="1" applyAlignment="1">
      <alignment horizontal="center" vertical="center"/>
    </xf>
  </cellXfs>
  <cellStyles count="6">
    <cellStyle name="Bueno" xfId="3" builtinId="26"/>
    <cellStyle name="Incorrecto" xfId="5" builtinId="27"/>
    <cellStyle name="Millares" xfId="2" builtinId="3"/>
    <cellStyle name="Moneda" xfId="1" builtinId="4"/>
    <cellStyle name="Normal" xfId="0" builtinId="0"/>
    <cellStyle name="Notas" xfId="4" builtinId="10"/>
  </cellStyles>
  <dxfs count="0"/>
  <tableStyles count="0" defaultTableStyle="TableStyleMedium2" defaultPivotStyle="PivotStyleLight16"/>
  <colors>
    <mruColors>
      <color rgb="FFB2FF65"/>
      <color rgb="FF66FF99"/>
      <color rgb="FF99FFCC"/>
      <color rgb="FFCCFF33"/>
      <color rgb="FF66FF66"/>
      <color rgb="FF0000CC"/>
      <color rgb="FF99FF33"/>
      <color rgb="FF003300"/>
      <color rgb="FF00800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628650</xdr:colOff>
      <xdr:row>44</xdr:row>
      <xdr:rowOff>28575</xdr:rowOff>
    </xdr:from>
    <xdr:to>
      <xdr:col>7</xdr:col>
      <xdr:colOff>638175</xdr:colOff>
      <xdr:row>48</xdr:row>
      <xdr:rowOff>9525</xdr:rowOff>
    </xdr:to>
    <xdr:cxnSp macro="">
      <xdr:nvCxnSpPr>
        <xdr:cNvPr id="4" name="Conector recto 3">
          <a:extLst>
            <a:ext uri="{FF2B5EF4-FFF2-40B4-BE49-F238E27FC236}">
              <a16:creationId xmlns:a16="http://schemas.microsoft.com/office/drawing/2014/main" id="{6856D388-84C3-4B9D-9FF0-A9F7646A4C2C}"/>
            </a:ext>
          </a:extLst>
        </xdr:cNvPr>
        <xdr:cNvCxnSpPr/>
      </xdr:nvCxnSpPr>
      <xdr:spPr>
        <a:xfrm flipH="1" flipV="1">
          <a:off x="6877050" y="11372850"/>
          <a:ext cx="9525" cy="1409700"/>
        </a:xfrm>
        <a:prstGeom prst="line">
          <a:avLst/>
        </a:prstGeom>
        <a:ln w="28575">
          <a:solidFill>
            <a:srgbClr val="0000C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40</xdr:row>
      <xdr:rowOff>133350</xdr:rowOff>
    </xdr:from>
    <xdr:to>
      <xdr:col>11</xdr:col>
      <xdr:colOff>476250</xdr:colOff>
      <xdr:row>47</xdr:row>
      <xdr:rowOff>171450</xdr:rowOff>
    </xdr:to>
    <xdr:cxnSp macro="">
      <xdr:nvCxnSpPr>
        <xdr:cNvPr id="6" name="Conector recto 5">
          <a:extLst>
            <a:ext uri="{FF2B5EF4-FFF2-40B4-BE49-F238E27FC236}">
              <a16:creationId xmlns:a16="http://schemas.microsoft.com/office/drawing/2014/main" id="{2932C34B-35EE-467E-AAD6-06BAD0901A6D}"/>
            </a:ext>
          </a:extLst>
        </xdr:cNvPr>
        <xdr:cNvCxnSpPr/>
      </xdr:nvCxnSpPr>
      <xdr:spPr>
        <a:xfrm flipV="1">
          <a:off x="3457575" y="10668000"/>
          <a:ext cx="6657975" cy="14954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704850</xdr:colOff>
      <xdr:row>71</xdr:row>
      <xdr:rowOff>0</xdr:rowOff>
    </xdr:from>
    <xdr:to>
      <xdr:col>4</xdr:col>
      <xdr:colOff>750569</xdr:colOff>
      <xdr:row>73</xdr:row>
      <xdr:rowOff>47625</xdr:rowOff>
    </xdr:to>
    <xdr:sp macro="" textlink="">
      <xdr:nvSpPr>
        <xdr:cNvPr id="11" name="Cerrar corchete 10">
          <a:extLst>
            <a:ext uri="{FF2B5EF4-FFF2-40B4-BE49-F238E27FC236}">
              <a16:creationId xmlns:a16="http://schemas.microsoft.com/office/drawing/2014/main" id="{5B84FBED-6399-41C6-AFF6-DC61A690227F}"/>
            </a:ext>
          </a:extLst>
        </xdr:cNvPr>
        <xdr:cNvSpPr/>
      </xdr:nvSpPr>
      <xdr:spPr>
        <a:xfrm>
          <a:off x="4143375" y="10191750"/>
          <a:ext cx="45719" cy="447675"/>
        </a:xfrm>
        <a:prstGeom prst="righ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1114426</xdr:colOff>
      <xdr:row>70</xdr:row>
      <xdr:rowOff>152400</xdr:rowOff>
    </xdr:from>
    <xdr:to>
      <xdr:col>2</xdr:col>
      <xdr:colOff>1190626</xdr:colOff>
      <xdr:row>73</xdr:row>
      <xdr:rowOff>66675</xdr:rowOff>
    </xdr:to>
    <xdr:sp macro="" textlink="">
      <xdr:nvSpPr>
        <xdr:cNvPr id="12" name="Abrir corchete 11">
          <a:extLst>
            <a:ext uri="{FF2B5EF4-FFF2-40B4-BE49-F238E27FC236}">
              <a16:creationId xmlns:a16="http://schemas.microsoft.com/office/drawing/2014/main" id="{4D45C594-DA22-4116-8E77-6C42AA1D3747}"/>
            </a:ext>
          </a:extLst>
        </xdr:cNvPr>
        <xdr:cNvSpPr/>
      </xdr:nvSpPr>
      <xdr:spPr>
        <a:xfrm>
          <a:off x="2676526" y="10144125"/>
          <a:ext cx="0" cy="5143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4</xdr:col>
      <xdr:colOff>704850</xdr:colOff>
      <xdr:row>96</xdr:row>
      <xdr:rowOff>0</xdr:rowOff>
    </xdr:from>
    <xdr:to>
      <xdr:col>4</xdr:col>
      <xdr:colOff>750569</xdr:colOff>
      <xdr:row>98</xdr:row>
      <xdr:rowOff>47625</xdr:rowOff>
    </xdr:to>
    <xdr:sp macro="" textlink="">
      <xdr:nvSpPr>
        <xdr:cNvPr id="13" name="Cerrar corchete 12">
          <a:extLst>
            <a:ext uri="{FF2B5EF4-FFF2-40B4-BE49-F238E27FC236}">
              <a16:creationId xmlns:a16="http://schemas.microsoft.com/office/drawing/2014/main" id="{3B63C705-C7E9-413E-9FDD-B1C4F5148F70}"/>
            </a:ext>
          </a:extLst>
        </xdr:cNvPr>
        <xdr:cNvSpPr/>
      </xdr:nvSpPr>
      <xdr:spPr>
        <a:xfrm>
          <a:off x="4143375" y="17545050"/>
          <a:ext cx="45719" cy="447675"/>
        </a:xfrm>
        <a:prstGeom prst="righ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twoCellAnchor>
    <xdr:from>
      <xdr:col>2</xdr:col>
      <xdr:colOff>1114426</xdr:colOff>
      <xdr:row>95</xdr:row>
      <xdr:rowOff>152400</xdr:rowOff>
    </xdr:from>
    <xdr:to>
      <xdr:col>2</xdr:col>
      <xdr:colOff>1190626</xdr:colOff>
      <xdr:row>98</xdr:row>
      <xdr:rowOff>66675</xdr:rowOff>
    </xdr:to>
    <xdr:sp macro="" textlink="">
      <xdr:nvSpPr>
        <xdr:cNvPr id="14" name="Abrir corchete 13">
          <a:extLst>
            <a:ext uri="{FF2B5EF4-FFF2-40B4-BE49-F238E27FC236}">
              <a16:creationId xmlns:a16="http://schemas.microsoft.com/office/drawing/2014/main" id="{24F51E2D-B695-462B-AE52-8F97D4C12062}"/>
            </a:ext>
          </a:extLst>
        </xdr:cNvPr>
        <xdr:cNvSpPr/>
      </xdr:nvSpPr>
      <xdr:spPr>
        <a:xfrm>
          <a:off x="2676526" y="17497425"/>
          <a:ext cx="0" cy="51435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R"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5E528-F5AD-4042-AF26-D220FFF40B35}">
  <sheetPr>
    <pageSetUpPr fitToPage="1"/>
  </sheetPr>
  <dimension ref="B1:M103"/>
  <sheetViews>
    <sheetView tabSelected="1" topLeftCell="A56" workbookViewId="0">
      <selection activeCell="L86" sqref="L86"/>
    </sheetView>
  </sheetViews>
  <sheetFormatPr baseColWidth="10" defaultColWidth="11.44140625" defaultRowHeight="14.4" x14ac:dyDescent="0.3"/>
  <cols>
    <col min="2" max="2" width="14.6640625" customWidth="1"/>
    <col min="3" max="3" width="14" bestFit="1" customWidth="1"/>
    <col min="6" max="6" width="14" bestFit="1" customWidth="1"/>
    <col min="7" max="7" width="16.6640625" bestFit="1" customWidth="1"/>
    <col min="8" max="9" width="14" bestFit="1" customWidth="1"/>
    <col min="11" max="11" width="13.44140625" bestFit="1" customWidth="1"/>
    <col min="13" max="13" width="12.6640625" bestFit="1" customWidth="1"/>
  </cols>
  <sheetData>
    <row r="1" spans="2:7" ht="18" x14ac:dyDescent="0.35">
      <c r="B1" s="7" t="s">
        <v>61</v>
      </c>
    </row>
    <row r="2" spans="2:7" ht="18" x14ac:dyDescent="0.35">
      <c r="B2" s="7" t="s">
        <v>60</v>
      </c>
    </row>
    <row r="3" spans="2:7" x14ac:dyDescent="0.3">
      <c r="B3" t="s">
        <v>39</v>
      </c>
    </row>
    <row r="6" spans="2:7" ht="18" x14ac:dyDescent="0.3">
      <c r="C6" s="85" t="s">
        <v>13</v>
      </c>
      <c r="D6" s="85"/>
      <c r="E6" s="85"/>
      <c r="F6" s="85"/>
      <c r="G6" s="85"/>
    </row>
    <row r="7" spans="2:7" ht="31.2" x14ac:dyDescent="0.3">
      <c r="C7" s="86" t="s">
        <v>12</v>
      </c>
      <c r="D7" s="86"/>
      <c r="E7" s="86"/>
      <c r="F7" s="10" t="s">
        <v>7</v>
      </c>
      <c r="G7" s="9" t="s">
        <v>14</v>
      </c>
    </row>
    <row r="8" spans="2:7" ht="15.6" x14ac:dyDescent="0.3">
      <c r="C8" s="87" t="s">
        <v>4</v>
      </c>
      <c r="D8" s="87"/>
      <c r="E8" s="87"/>
      <c r="F8" s="11">
        <v>12</v>
      </c>
      <c r="G8" s="11">
        <f>12*30000</f>
        <v>360000</v>
      </c>
    </row>
    <row r="9" spans="2:7" ht="15.6" x14ac:dyDescent="0.3">
      <c r="C9" s="83" t="s">
        <v>5</v>
      </c>
      <c r="D9" s="83"/>
      <c r="E9" s="83"/>
      <c r="F9" s="11">
        <v>20</v>
      </c>
      <c r="G9" s="12">
        <f>+F9*30000</f>
        <v>600000</v>
      </c>
    </row>
    <row r="10" spans="2:7" ht="21" customHeight="1" x14ac:dyDescent="0.3">
      <c r="C10" s="76" t="s">
        <v>42</v>
      </c>
      <c r="D10" s="77"/>
      <c r="E10" s="78"/>
      <c r="F10" s="81">
        <v>130000</v>
      </c>
      <c r="G10" s="82"/>
    </row>
    <row r="11" spans="2:7" ht="15.6" x14ac:dyDescent="0.3">
      <c r="C11" s="89" t="s">
        <v>6</v>
      </c>
      <c r="D11" s="89"/>
      <c r="E11" s="89"/>
      <c r="F11" s="90" t="s">
        <v>62</v>
      </c>
      <c r="G11" s="90"/>
    </row>
    <row r="12" spans="2:7" ht="15.6" x14ac:dyDescent="0.3">
      <c r="C12" s="83" t="s">
        <v>11</v>
      </c>
      <c r="D12" s="83"/>
      <c r="E12" s="83"/>
      <c r="F12" s="84">
        <v>0.2</v>
      </c>
      <c r="G12" s="84"/>
    </row>
    <row r="13" spans="2:7" ht="15.6" x14ac:dyDescent="0.3">
      <c r="C13" s="76" t="s">
        <v>8</v>
      </c>
      <c r="D13" s="77"/>
      <c r="E13" s="78"/>
      <c r="F13" s="88">
        <v>30000</v>
      </c>
      <c r="G13" s="88"/>
    </row>
    <row r="14" spans="2:7" ht="15.6" x14ac:dyDescent="0.3">
      <c r="C14" s="76" t="s">
        <v>9</v>
      </c>
      <c r="D14" s="77"/>
      <c r="E14" s="78"/>
      <c r="F14" s="79">
        <v>500000</v>
      </c>
      <c r="G14" s="79"/>
    </row>
    <row r="15" spans="2:7" ht="15.6" x14ac:dyDescent="0.3">
      <c r="C15" s="76" t="s">
        <v>59</v>
      </c>
      <c r="D15" s="77"/>
      <c r="E15" s="78"/>
      <c r="F15" s="81">
        <f>+F14*22%</f>
        <v>110000</v>
      </c>
      <c r="G15" s="82"/>
    </row>
    <row r="16" spans="2:7" ht="15.6" x14ac:dyDescent="0.3">
      <c r="C16" s="76" t="s">
        <v>10</v>
      </c>
      <c r="D16" s="77"/>
      <c r="E16" s="78"/>
      <c r="F16" s="80">
        <v>100</v>
      </c>
      <c r="G16" s="80"/>
    </row>
    <row r="19" spans="2:13" ht="21" x14ac:dyDescent="0.4">
      <c r="B19" s="8" t="s">
        <v>40</v>
      </c>
      <c r="I19" s="3"/>
      <c r="J19" s="60" t="s">
        <v>29</v>
      </c>
      <c r="K19" s="60"/>
      <c r="L19" s="60"/>
      <c r="M19" s="60"/>
    </row>
    <row r="20" spans="2:13" ht="15" thickBot="1" x14ac:dyDescent="0.35">
      <c r="I20" s="61" t="s">
        <v>3</v>
      </c>
      <c r="J20" s="62" t="s">
        <v>44</v>
      </c>
      <c r="K20" s="62"/>
      <c r="L20" s="62"/>
      <c r="M20" s="63">
        <f>I29*C23</f>
        <v>325000</v>
      </c>
    </row>
    <row r="21" spans="2:13" ht="15.75" customHeight="1" x14ac:dyDescent="0.3">
      <c r="B21" s="56" t="s">
        <v>15</v>
      </c>
      <c r="C21" s="57"/>
      <c r="I21" s="61"/>
      <c r="J21" s="62"/>
      <c r="K21" s="62"/>
      <c r="L21" s="62"/>
      <c r="M21" s="63"/>
    </row>
    <row r="22" spans="2:13" ht="15.75" customHeight="1" x14ac:dyDescent="0.3">
      <c r="B22" s="58"/>
      <c r="C22" s="59"/>
      <c r="I22" s="71" t="s">
        <v>2</v>
      </c>
      <c r="J22" s="62" t="s">
        <v>45</v>
      </c>
      <c r="K22" s="62"/>
      <c r="L22" s="62"/>
      <c r="M22" s="72">
        <f>I29*C24</f>
        <v>195000</v>
      </c>
    </row>
    <row r="23" spans="2:13" ht="31.2" x14ac:dyDescent="0.3">
      <c r="B23" s="14" t="s">
        <v>5</v>
      </c>
      <c r="C23" s="15">
        <f>F9</f>
        <v>20</v>
      </c>
      <c r="I23" s="71"/>
      <c r="J23" s="62"/>
      <c r="K23" s="62"/>
      <c r="L23" s="62"/>
      <c r="M23" s="72"/>
    </row>
    <row r="24" spans="2:13" ht="33.6" x14ac:dyDescent="0.5">
      <c r="B24" s="14" t="s">
        <v>16</v>
      </c>
      <c r="C24" s="15">
        <f>F8</f>
        <v>12</v>
      </c>
      <c r="I24" s="16" t="s">
        <v>2</v>
      </c>
      <c r="J24" s="67" t="s">
        <v>28</v>
      </c>
      <c r="K24" s="67"/>
      <c r="L24" s="67"/>
      <c r="M24" s="17">
        <f>C25</f>
        <v>130000</v>
      </c>
    </row>
    <row r="25" spans="2:13" ht="34.200000000000003" thickBot="1" x14ac:dyDescent="0.55000000000000004">
      <c r="B25" s="18" t="s">
        <v>17</v>
      </c>
      <c r="C25" s="19">
        <f>F10</f>
        <v>130000</v>
      </c>
      <c r="I25" s="20" t="s">
        <v>0</v>
      </c>
      <c r="J25" s="68" t="s">
        <v>1</v>
      </c>
      <c r="K25" s="68"/>
      <c r="L25" s="68"/>
      <c r="M25" s="21">
        <f>M20-M22-M24</f>
        <v>0</v>
      </c>
    </row>
    <row r="27" spans="2:13" s="3" customFormat="1" ht="15.6" x14ac:dyDescent="0.3">
      <c r="B27" s="4" t="s">
        <v>18</v>
      </c>
    </row>
    <row r="28" spans="2:13" s="3" customFormat="1" ht="15.6" x14ac:dyDescent="0.3"/>
    <row r="29" spans="2:13" s="3" customFormat="1" ht="15.6" x14ac:dyDescent="0.3">
      <c r="B29" s="3" t="s">
        <v>19</v>
      </c>
      <c r="C29" s="69" t="s">
        <v>20</v>
      </c>
      <c r="D29" s="69"/>
      <c r="F29" s="22">
        <f>C25</f>
        <v>130000</v>
      </c>
      <c r="G29" s="2" t="s">
        <v>0</v>
      </c>
      <c r="H29" s="23">
        <f>F29</f>
        <v>130000</v>
      </c>
      <c r="I29" s="24">
        <f>+H29/H30</f>
        <v>16250</v>
      </c>
      <c r="J29" s="25" t="s">
        <v>21</v>
      </c>
    </row>
    <row r="30" spans="2:13" s="3" customFormat="1" ht="15.6" x14ac:dyDescent="0.3">
      <c r="C30" s="3" t="s">
        <v>22</v>
      </c>
      <c r="F30" s="26" t="s">
        <v>63</v>
      </c>
      <c r="G30" s="2"/>
      <c r="H30" s="27">
        <f>20-12</f>
        <v>8</v>
      </c>
    </row>
    <row r="31" spans="2:13" s="3" customFormat="1" ht="15.6" x14ac:dyDescent="0.3">
      <c r="C31" s="3" t="s">
        <v>23</v>
      </c>
      <c r="D31" s="28"/>
      <c r="G31" s="2"/>
    </row>
    <row r="32" spans="2:13" s="3" customFormat="1" ht="15.6" x14ac:dyDescent="0.3">
      <c r="G32" s="2"/>
    </row>
    <row r="33" spans="2:12" s="3" customFormat="1" ht="15.6" x14ac:dyDescent="0.3">
      <c r="B33" s="4" t="s">
        <v>24</v>
      </c>
      <c r="G33" s="2"/>
    </row>
    <row r="34" spans="2:12" s="3" customFormat="1" ht="15.6" x14ac:dyDescent="0.3">
      <c r="G34" s="2"/>
    </row>
    <row r="35" spans="2:12" s="3" customFormat="1" ht="15.6" x14ac:dyDescent="0.3">
      <c r="B35" s="3" t="s">
        <v>19</v>
      </c>
      <c r="C35" s="69" t="s">
        <v>20</v>
      </c>
      <c r="D35" s="69"/>
      <c r="E35" s="69"/>
      <c r="F35" s="2" t="s">
        <v>0</v>
      </c>
      <c r="G35" s="91">
        <f>+C25</f>
        <v>130000</v>
      </c>
      <c r="H35" s="2" t="s">
        <v>0</v>
      </c>
      <c r="I35" s="92">
        <f>G35</f>
        <v>130000</v>
      </c>
      <c r="J35" s="2" t="s">
        <v>0</v>
      </c>
      <c r="K35" s="30">
        <f>I35/I36</f>
        <v>325000</v>
      </c>
      <c r="L35" s="3" t="s">
        <v>25</v>
      </c>
    </row>
    <row r="36" spans="2:12" s="3" customFormat="1" ht="15.6" x14ac:dyDescent="0.3">
      <c r="C36" s="70" t="s">
        <v>26</v>
      </c>
      <c r="D36" s="32" t="s">
        <v>16</v>
      </c>
      <c r="E36" s="33"/>
      <c r="G36" s="1" t="s">
        <v>64</v>
      </c>
      <c r="H36" s="2"/>
      <c r="I36" s="2">
        <f>1-(12/20)</f>
        <v>0.4</v>
      </c>
    </row>
    <row r="37" spans="2:12" s="3" customFormat="1" ht="15.6" x14ac:dyDescent="0.3">
      <c r="C37" s="70"/>
      <c r="D37" s="3" t="s">
        <v>27</v>
      </c>
      <c r="G37" s="2"/>
    </row>
    <row r="38" spans="2:12" s="3" customFormat="1" ht="15.6" x14ac:dyDescent="0.3">
      <c r="C38" s="31"/>
      <c r="G38" s="2"/>
    </row>
    <row r="39" spans="2:12" s="3" customFormat="1" ht="15.6" x14ac:dyDescent="0.3">
      <c r="C39" s="31"/>
      <c r="G39" s="2"/>
    </row>
    <row r="40" spans="2:12" s="3" customFormat="1" ht="15.6" x14ac:dyDescent="0.3">
      <c r="C40" s="31"/>
      <c r="G40" s="2"/>
    </row>
    <row r="41" spans="2:12" s="3" customFormat="1" ht="15.6" x14ac:dyDescent="0.3">
      <c r="D41" s="34" t="s">
        <v>38</v>
      </c>
      <c r="E41" s="35"/>
      <c r="F41" s="35"/>
      <c r="G41" s="35"/>
      <c r="H41" s="35"/>
      <c r="I41" s="35"/>
      <c r="J41" s="35"/>
      <c r="K41" s="35"/>
    </row>
    <row r="42" spans="2:12" s="3" customFormat="1" ht="15.6" x14ac:dyDescent="0.3">
      <c r="D42" s="36"/>
      <c r="E42" s="37" t="s">
        <v>36</v>
      </c>
      <c r="F42" s="35"/>
      <c r="G42" s="35"/>
      <c r="H42" s="35"/>
      <c r="I42" s="35"/>
      <c r="J42" s="35"/>
      <c r="K42" s="35"/>
    </row>
    <row r="43" spans="2:12" s="3" customFormat="1" ht="15.6" x14ac:dyDescent="0.3">
      <c r="D43" s="36"/>
      <c r="E43" s="38"/>
      <c r="F43" s="38"/>
      <c r="G43" s="39"/>
      <c r="H43" s="39"/>
      <c r="I43" s="39"/>
      <c r="J43" s="38"/>
      <c r="K43" s="39"/>
    </row>
    <row r="44" spans="2:12" s="3" customFormat="1" ht="18.600000000000001" thickBot="1" x14ac:dyDescent="0.4">
      <c r="D44" s="36"/>
      <c r="E44" s="40" t="s">
        <v>47</v>
      </c>
      <c r="F44" s="41"/>
      <c r="G44" s="42" t="s">
        <v>46</v>
      </c>
      <c r="H44" s="42" t="s">
        <v>30</v>
      </c>
      <c r="I44" s="42"/>
      <c r="J44" s="41"/>
      <c r="K44" s="42"/>
    </row>
    <row r="45" spans="2:12" s="3" customFormat="1" ht="16.2" thickBot="1" x14ac:dyDescent="0.35">
      <c r="D45" s="43">
        <v>325000</v>
      </c>
      <c r="E45" s="38"/>
      <c r="F45" s="38"/>
      <c r="G45" s="38"/>
      <c r="H45" s="38"/>
      <c r="I45" s="38"/>
      <c r="J45" s="38"/>
      <c r="K45" s="38"/>
    </row>
    <row r="46" spans="2:12" s="3" customFormat="1" ht="15.6" x14ac:dyDescent="0.3">
      <c r="D46" s="36"/>
      <c r="E46" s="44" t="s">
        <v>32</v>
      </c>
      <c r="F46" s="45"/>
      <c r="G46" s="45"/>
      <c r="H46" s="45"/>
      <c r="I46" s="45"/>
      <c r="J46" s="45" t="s">
        <v>31</v>
      </c>
      <c r="K46" s="45"/>
    </row>
    <row r="47" spans="2:12" s="3" customFormat="1" ht="15.6" x14ac:dyDescent="0.3">
      <c r="C47" s="46"/>
      <c r="D47" s="36"/>
      <c r="E47" s="47"/>
      <c r="F47" s="45"/>
      <c r="G47" s="45"/>
      <c r="H47" s="45"/>
      <c r="I47" s="45"/>
      <c r="J47" s="45"/>
      <c r="K47" s="45"/>
    </row>
    <row r="48" spans="2:12" s="3" customFormat="1" ht="16.2" thickBot="1" x14ac:dyDescent="0.35">
      <c r="D48" s="36"/>
      <c r="E48" s="47"/>
      <c r="F48" s="48"/>
      <c r="G48" s="49"/>
      <c r="H48" s="49"/>
      <c r="I48" s="49"/>
      <c r="J48" s="49"/>
      <c r="K48" s="49"/>
      <c r="L48" s="50"/>
    </row>
    <row r="49" spans="2:12" s="3" customFormat="1" ht="15.6" x14ac:dyDescent="0.3">
      <c r="E49" s="51">
        <v>0</v>
      </c>
      <c r="F49" s="94">
        <v>14000</v>
      </c>
      <c r="G49" s="94"/>
      <c r="H49" s="94">
        <f>G51</f>
        <v>16250</v>
      </c>
      <c r="I49" s="94"/>
      <c r="J49" s="94"/>
      <c r="K49" s="94">
        <v>20000</v>
      </c>
      <c r="L49" s="52" t="s">
        <v>33</v>
      </c>
    </row>
    <row r="50" spans="2:12" s="3" customFormat="1" ht="15.6" x14ac:dyDescent="0.3">
      <c r="K50" s="4" t="s">
        <v>34</v>
      </c>
    </row>
    <row r="51" spans="2:12" s="3" customFormat="1" ht="15.6" x14ac:dyDescent="0.3">
      <c r="F51" s="53" t="s">
        <v>37</v>
      </c>
      <c r="G51" s="93">
        <f>I29</f>
        <v>16250</v>
      </c>
    </row>
    <row r="52" spans="2:12" ht="18" x14ac:dyDescent="0.35">
      <c r="E52" s="73" t="s">
        <v>35</v>
      </c>
      <c r="F52" s="74"/>
      <c r="G52" s="74"/>
      <c r="H52" s="74"/>
      <c r="I52" s="74"/>
      <c r="J52" s="74"/>
      <c r="K52" s="75"/>
    </row>
    <row r="55" spans="2:12" ht="21" x14ac:dyDescent="0.4">
      <c r="B55" s="8" t="s">
        <v>41</v>
      </c>
    </row>
    <row r="56" spans="2:12" ht="15" thickBot="1" x14ac:dyDescent="0.35"/>
    <row r="57" spans="2:12" ht="15.6" x14ac:dyDescent="0.3">
      <c r="B57" s="56" t="s">
        <v>15</v>
      </c>
      <c r="C57" s="57"/>
      <c r="G57" s="3"/>
      <c r="H57" s="60" t="s">
        <v>29</v>
      </c>
      <c r="I57" s="60"/>
      <c r="J57" s="60"/>
      <c r="K57" s="60"/>
    </row>
    <row r="58" spans="2:12" x14ac:dyDescent="0.3">
      <c r="B58" s="58"/>
      <c r="C58" s="59"/>
      <c r="G58" s="61" t="s">
        <v>3</v>
      </c>
      <c r="H58" s="62" t="s">
        <v>52</v>
      </c>
      <c r="I58" s="62"/>
      <c r="J58" s="62"/>
      <c r="K58" s="63">
        <f>I65*15</f>
        <v>650000</v>
      </c>
    </row>
    <row r="59" spans="2:12" ht="31.2" x14ac:dyDescent="0.3">
      <c r="B59" s="14" t="s">
        <v>5</v>
      </c>
      <c r="C59" s="15">
        <f>15</f>
        <v>15</v>
      </c>
      <c r="G59" s="61"/>
      <c r="H59" s="62"/>
      <c r="I59" s="62"/>
      <c r="J59" s="62"/>
      <c r="K59" s="63"/>
    </row>
    <row r="60" spans="2:12" ht="31.5" customHeight="1" x14ac:dyDescent="0.3">
      <c r="B60" s="14" t="s">
        <v>16</v>
      </c>
      <c r="C60" s="15">
        <f>C24</f>
        <v>12</v>
      </c>
      <c r="G60" s="13" t="s">
        <v>2</v>
      </c>
      <c r="H60" s="64" t="s">
        <v>53</v>
      </c>
      <c r="I60" s="65"/>
      <c r="J60" s="66"/>
      <c r="K60" s="54">
        <f>I65*12</f>
        <v>520000</v>
      </c>
    </row>
    <row r="61" spans="2:12" ht="34.200000000000003" thickBot="1" x14ac:dyDescent="0.55000000000000004">
      <c r="B61" s="18" t="s">
        <v>17</v>
      </c>
      <c r="C61" s="19">
        <f>C25</f>
        <v>130000</v>
      </c>
      <c r="G61" s="16" t="s">
        <v>2</v>
      </c>
      <c r="H61" s="67" t="s">
        <v>28</v>
      </c>
      <c r="I61" s="67"/>
      <c r="J61" s="67"/>
      <c r="K61" s="17">
        <f>C61</f>
        <v>130000</v>
      </c>
    </row>
    <row r="62" spans="2:12" ht="25.8" x14ac:dyDescent="0.5">
      <c r="G62" s="20" t="s">
        <v>0</v>
      </c>
      <c r="H62" s="68" t="s">
        <v>1</v>
      </c>
      <c r="I62" s="68"/>
      <c r="J62" s="68"/>
      <c r="K62" s="21">
        <f>+K58-K60-K61</f>
        <v>0</v>
      </c>
    </row>
    <row r="63" spans="2:12" s="3" customFormat="1" ht="15.6" x14ac:dyDescent="0.3">
      <c r="B63" s="4" t="s">
        <v>18</v>
      </c>
    </row>
    <row r="64" spans="2:12" s="3" customFormat="1" ht="15.6" x14ac:dyDescent="0.3"/>
    <row r="65" spans="2:12" s="3" customFormat="1" ht="15.6" x14ac:dyDescent="0.3">
      <c r="B65" s="3" t="s">
        <v>19</v>
      </c>
      <c r="C65" s="69" t="s">
        <v>20</v>
      </c>
      <c r="D65" s="69"/>
      <c r="F65" s="22">
        <f>+C61</f>
        <v>130000</v>
      </c>
      <c r="G65" s="2" t="s">
        <v>0</v>
      </c>
      <c r="H65" s="23">
        <f>+F65</f>
        <v>130000</v>
      </c>
      <c r="I65" s="24">
        <f>+H65/H66</f>
        <v>43333.333333333336</v>
      </c>
      <c r="J65" s="25" t="s">
        <v>21</v>
      </c>
    </row>
    <row r="66" spans="2:12" s="3" customFormat="1" ht="15.6" x14ac:dyDescent="0.3">
      <c r="C66" s="3" t="s">
        <v>22</v>
      </c>
      <c r="F66" s="26" t="s">
        <v>48</v>
      </c>
      <c r="G66" s="2"/>
      <c r="H66" s="27">
        <f>+C59-C60</f>
        <v>3</v>
      </c>
    </row>
    <row r="67" spans="2:12" s="3" customFormat="1" ht="15.6" x14ac:dyDescent="0.3">
      <c r="C67" s="3" t="s">
        <v>23</v>
      </c>
      <c r="D67" s="28"/>
      <c r="G67" s="2"/>
    </row>
    <row r="68" spans="2:12" s="3" customFormat="1" ht="15.6" x14ac:dyDescent="0.3">
      <c r="G68" s="2"/>
    </row>
    <row r="69" spans="2:12" s="3" customFormat="1" ht="15.6" x14ac:dyDescent="0.3">
      <c r="B69" s="4" t="s">
        <v>24</v>
      </c>
      <c r="G69" s="2"/>
    </row>
    <row r="70" spans="2:12" s="3" customFormat="1" ht="15.6" x14ac:dyDescent="0.3">
      <c r="G70" s="2"/>
    </row>
    <row r="71" spans="2:12" s="3" customFormat="1" ht="15.6" x14ac:dyDescent="0.3">
      <c r="B71" s="3" t="s">
        <v>19</v>
      </c>
      <c r="C71" s="69" t="s">
        <v>20</v>
      </c>
      <c r="D71" s="69"/>
      <c r="E71" s="69"/>
      <c r="F71" s="23">
        <f>C61</f>
        <v>130000</v>
      </c>
      <c r="G71" s="2" t="s">
        <v>0</v>
      </c>
      <c r="H71" s="29">
        <f>+C61</f>
        <v>130000</v>
      </c>
      <c r="I71" s="30">
        <f>+H71/H72</f>
        <v>650000.00000000012</v>
      </c>
      <c r="J71" s="3" t="s">
        <v>25</v>
      </c>
    </row>
    <row r="72" spans="2:12" s="3" customFormat="1" ht="15.6" x14ac:dyDescent="0.3">
      <c r="C72" s="70" t="s">
        <v>26</v>
      </c>
      <c r="D72" s="32" t="s">
        <v>16</v>
      </c>
      <c r="E72" s="33"/>
      <c r="F72" s="1" t="s">
        <v>49</v>
      </c>
      <c r="G72" s="2"/>
      <c r="H72" s="3">
        <f>1-(C60/C59)</f>
        <v>0.19999999999999996</v>
      </c>
    </row>
    <row r="73" spans="2:12" s="3" customFormat="1" ht="15.6" x14ac:dyDescent="0.3">
      <c r="C73" s="70"/>
      <c r="D73" s="3" t="s">
        <v>27</v>
      </c>
      <c r="G73" s="2"/>
    </row>
    <row r="74" spans="2:12" s="3" customFormat="1" ht="15.6" x14ac:dyDescent="0.3">
      <c r="C74" s="31"/>
      <c r="G74" s="2"/>
    </row>
    <row r="75" spans="2:12" s="6" customFormat="1" ht="18" x14ac:dyDescent="0.35">
      <c r="B75" s="5" t="s">
        <v>50</v>
      </c>
    </row>
    <row r="76" spans="2:12" s="6" customFormat="1" ht="18" x14ac:dyDescent="0.35">
      <c r="B76" s="55" t="s">
        <v>51</v>
      </c>
      <c r="C76" s="55"/>
      <c r="D76" s="55"/>
      <c r="E76" s="55"/>
      <c r="F76" s="55"/>
      <c r="G76" s="55"/>
      <c r="H76" s="55"/>
      <c r="I76" s="55"/>
      <c r="J76" s="55"/>
      <c r="K76" s="55"/>
      <c r="L76" s="55"/>
    </row>
    <row r="77" spans="2:12" s="6" customFormat="1" ht="18" x14ac:dyDescent="0.35">
      <c r="B77" s="55"/>
      <c r="C77" s="55"/>
      <c r="D77" s="55"/>
      <c r="E77" s="55"/>
      <c r="F77" s="55"/>
      <c r="G77" s="55"/>
      <c r="H77" s="55"/>
      <c r="I77" s="55"/>
      <c r="J77" s="55"/>
      <c r="K77" s="55"/>
      <c r="L77" s="55"/>
    </row>
    <row r="79" spans="2:12" ht="21" x14ac:dyDescent="0.4">
      <c r="B79" s="8" t="s">
        <v>43</v>
      </c>
    </row>
    <row r="80" spans="2:12" ht="15" thickBot="1" x14ac:dyDescent="0.35"/>
    <row r="81" spans="2:11" ht="15.6" x14ac:dyDescent="0.3">
      <c r="B81" s="56" t="s">
        <v>15</v>
      </c>
      <c r="C81" s="57"/>
      <c r="G81" s="3"/>
      <c r="H81" s="60" t="s">
        <v>29</v>
      </c>
      <c r="I81" s="60"/>
      <c r="J81" s="60"/>
      <c r="K81" s="60"/>
    </row>
    <row r="82" spans="2:11" x14ac:dyDescent="0.3">
      <c r="B82" s="58"/>
      <c r="C82" s="59"/>
      <c r="G82" s="61" t="s">
        <v>3</v>
      </c>
      <c r="H82" s="62" t="s">
        <v>55</v>
      </c>
      <c r="I82" s="62"/>
      <c r="J82" s="62"/>
      <c r="K82" s="95">
        <f>I90*C83</f>
        <v>390000</v>
      </c>
    </row>
    <row r="83" spans="2:11" ht="31.2" x14ac:dyDescent="0.3">
      <c r="B83" s="14" t="s">
        <v>5</v>
      </c>
      <c r="C83" s="15">
        <v>15</v>
      </c>
      <c r="G83" s="61"/>
      <c r="H83" s="62"/>
      <c r="I83" s="62"/>
      <c r="J83" s="62"/>
      <c r="K83" s="95"/>
    </row>
    <row r="84" spans="2:11" ht="31.5" customHeight="1" x14ac:dyDescent="0.3">
      <c r="B84" s="14" t="s">
        <v>16</v>
      </c>
      <c r="C84" s="15">
        <v>10</v>
      </c>
      <c r="G84" s="13" t="s">
        <v>2</v>
      </c>
      <c r="H84" s="64" t="s">
        <v>56</v>
      </c>
      <c r="I84" s="65"/>
      <c r="J84" s="66"/>
      <c r="K84" s="54">
        <f>I90*C84</f>
        <v>260000</v>
      </c>
    </row>
    <row r="85" spans="2:11" ht="34.200000000000003" thickBot="1" x14ac:dyDescent="0.55000000000000004">
      <c r="B85" s="18" t="s">
        <v>17</v>
      </c>
      <c r="C85" s="19">
        <f>C61</f>
        <v>130000</v>
      </c>
      <c r="G85" s="16" t="s">
        <v>2</v>
      </c>
      <c r="H85" s="67" t="s">
        <v>28</v>
      </c>
      <c r="I85" s="67"/>
      <c r="J85" s="67"/>
      <c r="K85" s="17">
        <f>C85</f>
        <v>130000</v>
      </c>
    </row>
    <row r="86" spans="2:11" ht="25.8" x14ac:dyDescent="0.5">
      <c r="G86" s="20" t="s">
        <v>0</v>
      </c>
      <c r="H86" s="68" t="s">
        <v>1</v>
      </c>
      <c r="I86" s="68"/>
      <c r="J86" s="68"/>
      <c r="K86" s="21">
        <f>K82-K84-K85</f>
        <v>0</v>
      </c>
    </row>
    <row r="87" spans="2:11" s="3" customFormat="1" ht="15.6" x14ac:dyDescent="0.3">
      <c r="B87" s="4"/>
    </row>
    <row r="88" spans="2:11" s="3" customFormat="1" ht="15.6" x14ac:dyDescent="0.3">
      <c r="B88" s="4" t="s">
        <v>18</v>
      </c>
    </row>
    <row r="89" spans="2:11" s="3" customFormat="1" ht="15.6" x14ac:dyDescent="0.3"/>
    <row r="90" spans="2:11" s="3" customFormat="1" ht="15.6" x14ac:dyDescent="0.3">
      <c r="B90" s="3" t="s">
        <v>19</v>
      </c>
      <c r="C90" s="69" t="s">
        <v>20</v>
      </c>
      <c r="D90" s="69"/>
      <c r="F90" s="22">
        <f>+C85</f>
        <v>130000</v>
      </c>
      <c r="G90" s="2" t="s">
        <v>0</v>
      </c>
      <c r="H90" s="23">
        <f>+F90</f>
        <v>130000</v>
      </c>
      <c r="I90" s="24">
        <f>+H90/H91</f>
        <v>26000</v>
      </c>
      <c r="J90" s="25" t="s">
        <v>21</v>
      </c>
    </row>
    <row r="91" spans="2:11" s="3" customFormat="1" ht="15.6" x14ac:dyDescent="0.3">
      <c r="C91" s="3" t="s">
        <v>22</v>
      </c>
      <c r="F91" s="26" t="s">
        <v>54</v>
      </c>
      <c r="G91" s="2"/>
      <c r="H91" s="27">
        <f>+C83-C84</f>
        <v>5</v>
      </c>
    </row>
    <row r="92" spans="2:11" s="3" customFormat="1" ht="15.6" x14ac:dyDescent="0.3">
      <c r="C92" s="3" t="s">
        <v>23</v>
      </c>
      <c r="D92" s="28"/>
      <c r="G92" s="2"/>
    </row>
    <row r="93" spans="2:11" s="3" customFormat="1" ht="15.6" x14ac:dyDescent="0.3">
      <c r="G93" s="2"/>
    </row>
    <row r="94" spans="2:11" s="3" customFormat="1" ht="15.6" x14ac:dyDescent="0.3">
      <c r="B94" s="4" t="s">
        <v>24</v>
      </c>
      <c r="G94" s="2"/>
    </row>
    <row r="95" spans="2:11" s="3" customFormat="1" ht="15.6" x14ac:dyDescent="0.3">
      <c r="G95" s="2"/>
    </row>
    <row r="96" spans="2:11" s="3" customFormat="1" ht="15.6" x14ac:dyDescent="0.3">
      <c r="B96" s="3" t="s">
        <v>19</v>
      </c>
      <c r="C96" s="69" t="s">
        <v>20</v>
      </c>
      <c r="D96" s="69"/>
      <c r="E96" s="69"/>
      <c r="F96" s="23">
        <f>+C85</f>
        <v>130000</v>
      </c>
      <c r="G96" s="2" t="s">
        <v>0</v>
      </c>
      <c r="H96" s="29">
        <f>+C85</f>
        <v>130000</v>
      </c>
      <c r="I96" s="30">
        <f>+H96/H97</f>
        <v>389999.99999999994</v>
      </c>
      <c r="J96" s="3" t="s">
        <v>25</v>
      </c>
    </row>
    <row r="97" spans="2:12" s="3" customFormat="1" ht="15.6" x14ac:dyDescent="0.3">
      <c r="C97" s="70" t="s">
        <v>26</v>
      </c>
      <c r="D97" s="32" t="s">
        <v>16</v>
      </c>
      <c r="E97" s="33"/>
      <c r="F97" s="1" t="s">
        <v>57</v>
      </c>
      <c r="G97" s="2"/>
      <c r="H97" s="3">
        <f>1-(C84/C83)</f>
        <v>0.33333333333333337</v>
      </c>
    </row>
    <row r="98" spans="2:12" s="3" customFormat="1" ht="15.6" x14ac:dyDescent="0.3">
      <c r="C98" s="70"/>
      <c r="D98" s="3" t="s">
        <v>27</v>
      </c>
      <c r="G98" s="2"/>
    </row>
    <row r="99" spans="2:12" s="3" customFormat="1" ht="15.6" x14ac:dyDescent="0.3">
      <c r="C99" s="31"/>
      <c r="G99" s="2"/>
    </row>
    <row r="100" spans="2:12" s="6" customFormat="1" ht="18" x14ac:dyDescent="0.35">
      <c r="B100" s="5" t="s">
        <v>50</v>
      </c>
    </row>
    <row r="101" spans="2:12" s="6" customFormat="1" ht="18.75" customHeight="1" x14ac:dyDescent="0.35">
      <c r="B101" s="55" t="s">
        <v>58</v>
      </c>
      <c r="C101" s="55"/>
      <c r="D101" s="55"/>
      <c r="E101" s="55"/>
      <c r="F101" s="55"/>
      <c r="G101" s="55"/>
      <c r="H101" s="55"/>
      <c r="I101" s="55"/>
      <c r="J101" s="55"/>
      <c r="K101" s="55"/>
      <c r="L101" s="55"/>
    </row>
    <row r="102" spans="2:12" s="6" customFormat="1" ht="18" x14ac:dyDescent="0.35">
      <c r="B102" s="55"/>
      <c r="C102" s="55"/>
      <c r="D102" s="55"/>
      <c r="E102" s="55"/>
      <c r="F102" s="55"/>
      <c r="G102" s="55"/>
      <c r="H102" s="55"/>
      <c r="I102" s="55"/>
      <c r="J102" s="55"/>
      <c r="K102" s="55"/>
      <c r="L102" s="55"/>
    </row>
    <row r="103" spans="2:12" x14ac:dyDescent="0.3">
      <c r="B103" s="55"/>
      <c r="C103" s="55"/>
      <c r="D103" s="55"/>
      <c r="E103" s="55"/>
      <c r="F103" s="55"/>
      <c r="G103" s="55"/>
      <c r="H103" s="55"/>
      <c r="I103" s="55"/>
      <c r="J103" s="55"/>
      <c r="K103" s="55"/>
      <c r="L103" s="55"/>
    </row>
  </sheetData>
  <mergeCells count="56">
    <mergeCell ref="C6:G6"/>
    <mergeCell ref="C7:E7"/>
    <mergeCell ref="C8:E8"/>
    <mergeCell ref="C9:E9"/>
    <mergeCell ref="C11:E11"/>
    <mergeCell ref="F11:G11"/>
    <mergeCell ref="F10:G10"/>
    <mergeCell ref="C14:E14"/>
    <mergeCell ref="F14:G14"/>
    <mergeCell ref="C16:E16"/>
    <mergeCell ref="F16:G16"/>
    <mergeCell ref="C10:E10"/>
    <mergeCell ref="C15:E15"/>
    <mergeCell ref="F15:G15"/>
    <mergeCell ref="C12:E12"/>
    <mergeCell ref="F12:G12"/>
    <mergeCell ref="C13:E13"/>
    <mergeCell ref="F13:G13"/>
    <mergeCell ref="B21:C22"/>
    <mergeCell ref="C29:D29"/>
    <mergeCell ref="C35:E35"/>
    <mergeCell ref="C36:C37"/>
    <mergeCell ref="E52:K52"/>
    <mergeCell ref="J24:L24"/>
    <mergeCell ref="J25:L25"/>
    <mergeCell ref="J19:M19"/>
    <mergeCell ref="I20:I21"/>
    <mergeCell ref="J20:L21"/>
    <mergeCell ref="M20:M21"/>
    <mergeCell ref="I22:I23"/>
    <mergeCell ref="J22:L23"/>
    <mergeCell ref="M22:M23"/>
    <mergeCell ref="B76:L77"/>
    <mergeCell ref="G58:G59"/>
    <mergeCell ref="H58:J59"/>
    <mergeCell ref="K58:K59"/>
    <mergeCell ref="H60:J60"/>
    <mergeCell ref="B57:C58"/>
    <mergeCell ref="H57:K57"/>
    <mergeCell ref="H61:J61"/>
    <mergeCell ref="H62:J62"/>
    <mergeCell ref="C65:D65"/>
    <mergeCell ref="C71:E71"/>
    <mergeCell ref="C72:C73"/>
    <mergeCell ref="B101:L103"/>
    <mergeCell ref="B81:C82"/>
    <mergeCell ref="H81:K81"/>
    <mergeCell ref="G82:G83"/>
    <mergeCell ref="H82:J83"/>
    <mergeCell ref="K82:K83"/>
    <mergeCell ref="H84:J84"/>
    <mergeCell ref="H85:J85"/>
    <mergeCell ref="H86:J86"/>
    <mergeCell ref="C90:D90"/>
    <mergeCell ref="C96:E96"/>
    <mergeCell ref="C97:C98"/>
  </mergeCells>
  <printOptions horizontalCentered="1"/>
  <pageMargins left="0.70866141732283472" right="0.70866141732283472" top="0.74803149606299213" bottom="0.74803149606299213" header="0.31496062992125984" footer="0.31496062992125984"/>
  <pageSetup scale="7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 3 parte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Valent Morales Espinoza</dc:creator>
  <cp:lastModifiedBy>Alex Roblero</cp:lastModifiedBy>
  <cp:lastPrinted>2024-04-15T12:25:15Z</cp:lastPrinted>
  <dcterms:created xsi:type="dcterms:W3CDTF">2024-03-28T03:58:31Z</dcterms:created>
  <dcterms:modified xsi:type="dcterms:W3CDTF">2026-04-15T18:03:33Z</dcterms:modified>
</cp:coreProperties>
</file>