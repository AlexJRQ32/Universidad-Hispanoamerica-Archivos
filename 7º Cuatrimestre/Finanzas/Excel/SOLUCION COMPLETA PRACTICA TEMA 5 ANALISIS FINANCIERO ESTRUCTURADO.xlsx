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Inspiron\Documents\UHISPANOAMERICANA\FINANZAS 1\FINANZAS IQ 2026\SEMANA 8\"/>
    </mc:Choice>
  </mc:AlternateContent>
  <xr:revisionPtr revIDLastSave="0" documentId="13_ncr:1_{B5BBD0C9-3340-47C1-8342-8E76EC08085A}" xr6:coauthVersionLast="47" xr6:coauthVersionMax="47" xr10:uidLastSave="{00000000-0000-0000-0000-000000000000}"/>
  <bookViews>
    <workbookView xWindow="-108" yWindow="-108" windowWidth="23256" windowHeight="12456" activeTab="3" xr2:uid="{68188465-9D19-4A53-9FCA-15E81584F01B}"/>
  </bookViews>
  <sheets>
    <sheet name="Fórmula DuPont" sheetId="1" r:id="rId1"/>
    <sheet name="Práctica" sheetId="3" r:id="rId2"/>
    <sheet name="Fórmula DuPont modificada" sheetId="2" r:id="rId3"/>
    <sheet name="Fórmula DuPont modificada 2"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4" l="1"/>
  <c r="D43" i="4"/>
  <c r="H25" i="4"/>
  <c r="D43" i="2"/>
  <c r="H25" i="2"/>
  <c r="F25" i="2"/>
  <c r="F27" i="4" l="1"/>
  <c r="F27" i="2"/>
  <c r="F54" i="2" s="1"/>
  <c r="F56" i="2" s="1"/>
  <c r="F54" i="4" l="1"/>
  <c r="F56" i="4" s="1"/>
  <c r="F41" i="4"/>
  <c r="F43" i="4" s="1"/>
  <c r="D45" i="4" s="1"/>
  <c r="F41" i="2"/>
  <c r="F43" i="2" s="1"/>
  <c r="D45" i="2" s="1"/>
  <c r="J17" i="3" l="1"/>
  <c r="H17" i="3"/>
  <c r="E17" i="3"/>
  <c r="C17" i="3"/>
  <c r="AE57" i="3"/>
  <c r="AE49" i="3"/>
  <c r="AE45" i="3"/>
  <c r="AE50" i="3" s="1"/>
  <c r="AE52" i="3" s="1"/>
  <c r="F37" i="1"/>
  <c r="D37" i="1"/>
  <c r="F20" i="1"/>
  <c r="D20" i="1"/>
  <c r="D22" i="1" s="1"/>
  <c r="H19" i="3" l="1"/>
  <c r="C19" i="3"/>
  <c r="AE53" i="3"/>
  <c r="AE54" i="3" s="1"/>
  <c r="AE56" i="3" s="1"/>
  <c r="D39" i="1"/>
  <c r="U57" i="3" l="1"/>
  <c r="U49" i="3"/>
  <c r="U45" i="3"/>
  <c r="U50" i="3" s="1"/>
  <c r="U52" i="3" s="1"/>
  <c r="V34" i="3"/>
  <c r="T34" i="3"/>
  <c r="V24" i="3"/>
  <c r="V26" i="3" s="1"/>
  <c r="T24" i="3"/>
  <c r="T26" i="3" s="1"/>
  <c r="V15" i="3"/>
  <c r="V17" i="3" s="1"/>
  <c r="T15" i="3"/>
  <c r="T17" i="3" s="1"/>
  <c r="V11" i="3"/>
  <c r="T11" i="3"/>
  <c r="T18" i="3" l="1"/>
  <c r="V18" i="3"/>
  <c r="V36" i="3"/>
  <c r="U53" i="3"/>
  <c r="U54" i="3" s="1"/>
  <c r="U56" i="3" s="1"/>
  <c r="T3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tc={AB8774A3-88E7-4603-9D57-78F286A60FF1}</author>
    <author>tc={A8C29AC8-E6D9-43D9-BE8D-FECA7B598B0E}</author>
  </authors>
  <commentList>
    <comment ref="D10" authorId="0" shapeId="0" xr:uid="{AB8774A3-88E7-4603-9D57-78F286A60FF1}">
      <text>
        <t>[Comentario encadenado]
Su versión de Excel le permite leer este comentario encadenado; sin embargo, las ediciones que se apliquen se quitarán si el archivo se abre en una versión más reciente de Excel. Más información: https://go.microsoft.com/fwlink/?linkid=870924
Comentario:
    Este dato se toma del Estado de Resultados</t>
      </text>
    </comment>
    <comment ref="H12" authorId="1" shapeId="0" xr:uid="{A8C29AC8-E6D9-43D9-BE8D-FECA7B598B0E}">
      <text>
        <t>[Comentario encadenado]
Su versión de Excel le permite leer este comentario encadenado; sin embargo, las ediciones que se apliquen se quitarán si el archivo se abre en una versión más reciente de Excel. Más información: https://go.microsoft.com/fwlink/?linkid=870924
Comentario:
    Información del Balance General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tc={CC619BFB-3481-4879-8027-B9D7676C708C}</author>
    <author>tc={6AAD5FFB-E276-47D7-9B48-6DD4AB001865}</author>
  </authors>
  <commentList>
    <comment ref="C7" authorId="0" shapeId="0" xr:uid="{CC619BFB-3481-4879-8027-B9D7676C708C}">
      <text>
        <t>[Comentario encadenado]
Su versión de Excel le permite leer este comentario encadenado; sin embargo, las ediciones que se apliquen se quitarán si el archivo se abre en una versión más reciente de Excel. Más información: https://go.microsoft.com/fwlink/?linkid=870924
Comentario:
    Este dato se toma del Estado de Resultados</t>
      </text>
    </comment>
    <comment ref="G9" authorId="1" shapeId="0" xr:uid="{6AAD5FFB-E276-47D7-9B48-6DD4AB001865}">
      <text>
        <t>[Comentario encadenado]
Su versión de Excel le permite leer este comentario encadenado; sin embargo, las ediciones que se apliquen se quitarán si el archivo se abre en una versión más reciente de Excel. Más información: https://go.microsoft.com/fwlink/?linkid=870924
Comentario:
    Información del Balance General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tc={2A53A3A4-FCA4-4F83-8D73-B544B12470B1}</author>
  </authors>
  <commentList>
    <comment ref="C22" authorId="0" shapeId="0" xr:uid="{2A53A3A4-FCA4-4F83-8D73-B544B12470B1}">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datos salen del Balance General</t>
      </text>
    </comment>
  </commentList>
</comments>
</file>

<file path=xl/sharedStrings.xml><?xml version="1.0" encoding="utf-8"?>
<sst xmlns="http://schemas.openxmlformats.org/spreadsheetml/2006/main" count="208" uniqueCount="85">
  <si>
    <t>Fórmula DuPont</t>
  </si>
  <si>
    <t>RSA=</t>
  </si>
  <si>
    <t>Ganancia disponible para los accionistas comunes</t>
  </si>
  <si>
    <t>Ventas</t>
  </si>
  <si>
    <t>x</t>
  </si>
  <si>
    <t>Activos totales</t>
  </si>
  <si>
    <t>=</t>
  </si>
  <si>
    <t>Ganancia disponibles para los accionistas comunes</t>
  </si>
  <si>
    <t xml:space="preserve">Rendimiento sobre activos: </t>
  </si>
  <si>
    <t>Calculando año 2015</t>
  </si>
  <si>
    <t>Calcule el año 2014</t>
  </si>
  <si>
    <t>La fórmula DuPont permite que la empresa divida su rendimiento en los componentes utilidad sobre las ventas y eficiencia del uso de los activos. Por lo general, una empresa con un bajo margen de utilidad neta tiene una elevada rotación de los activos totales, lo cual deriva en un rendimiento razonablemente bueno sobre los activos totales. Es frecuente que también se presente la situación contraria.</t>
  </si>
  <si>
    <t>Fórmula DuPont modificada</t>
  </si>
  <si>
    <t>Activos</t>
  </si>
  <si>
    <t>Cuentas por cobrar</t>
  </si>
  <si>
    <t>Inventarios</t>
  </si>
  <si>
    <t>Cuentas por pagar</t>
  </si>
  <si>
    <t>Balance General ( en miles de dólares) Galletas Ricas S.A de 2022 al 31 de diciembre</t>
  </si>
  <si>
    <t>31 de diciembre</t>
  </si>
  <si>
    <t>Efectivo y valores negociables</t>
  </si>
  <si>
    <t>Total de activos corrientes</t>
  </si>
  <si>
    <t>Terrenos y edificaciones</t>
  </si>
  <si>
    <t>Maquinaria y equipo, mobiliario y accesorios, vehículos y otros</t>
  </si>
  <si>
    <t>Total de activos fijos brutos (al costo)</t>
  </si>
  <si>
    <t xml:space="preserve">Menos: depreciación acumulada </t>
  </si>
  <si>
    <t>Activos fijos netos</t>
  </si>
  <si>
    <t>Total de Activos</t>
  </si>
  <si>
    <t>Pasivos y captial patrimonial de las accionistas</t>
  </si>
  <si>
    <t>Documentos por pagar</t>
  </si>
  <si>
    <t>Cargos por pagar</t>
  </si>
  <si>
    <t>Total de pasivos corrientes</t>
  </si>
  <si>
    <t>Deuda a largo plazo</t>
  </si>
  <si>
    <t>Total Pasivos</t>
  </si>
  <si>
    <t>Acciones preferentes</t>
  </si>
  <si>
    <t>Acciones comunes $1,70 a la par, 100,000 acciones en circulación en  2022 y 2021</t>
  </si>
  <si>
    <t>Capital pagado en exceso del valor a la par de las acciones comunes</t>
  </si>
  <si>
    <t>Ganacias retenidas</t>
  </si>
  <si>
    <t>Total de capital patrimonial de los accionistas</t>
  </si>
  <si>
    <t>Total de pasivos y capital patrimonial de los accionistas</t>
  </si>
  <si>
    <t>Realice el cálculo de los años 2021 y 2022</t>
  </si>
  <si>
    <t>Estado de pérdidas y ganancias ( en miles de dólares) Galletas Ricas S.A  de 2022 que finaliza el 31 de diciembre</t>
  </si>
  <si>
    <t>Ingreso por ventas</t>
  </si>
  <si>
    <t>Menos: costo de los bienes vendidos</t>
  </si>
  <si>
    <t>Utilidades brutas</t>
  </si>
  <si>
    <t>Menos gastos operativos</t>
  </si>
  <si>
    <t>Gastos de venta, administrativos y generales</t>
  </si>
  <si>
    <t>Gasto por depreciación</t>
  </si>
  <si>
    <t>Total de gastos operativos</t>
  </si>
  <si>
    <t>Utilidades antes de intereses en impuestos (UAII)</t>
  </si>
  <si>
    <t>Menos: gastos por intereses</t>
  </si>
  <si>
    <t>Ganancia netas antes de impuestos</t>
  </si>
  <si>
    <t>Menos: impuestos (tasa= 40%)</t>
  </si>
  <si>
    <t>Ganancia neta después de impuestos</t>
  </si>
  <si>
    <t>Menos: dividendos de acciones preferentes</t>
  </si>
  <si>
    <t>Ganancias por acción (GPA)*</t>
  </si>
  <si>
    <t>*Se cálcula:   ganancia disponible entre acciones en circulación, el resultado precio unitario por acción. $170,000/100,000= $1,70</t>
  </si>
  <si>
    <t>Capital en acciones comunes</t>
  </si>
  <si>
    <t xml:space="preserve">Rendimiento sobre el patrimonio: </t>
  </si>
  <si>
    <t>RAZON DEUDA-CAPITAL PATRIMONIAL=</t>
  </si>
  <si>
    <t>PASIVOS TOTALES</t>
  </si>
  <si>
    <t>CAPITAL ACCIONES COMUNES</t>
  </si>
  <si>
    <t xml:space="preserve">Para hacer el cálculo de esta fórmula se debe calcular el Capital Acciones Comunes </t>
  </si>
  <si>
    <t>Cómo calcular el Capital en Acciones Comunes</t>
  </si>
  <si>
    <t>Capital Acciones comunes=</t>
  </si>
  <si>
    <t>Total acciones preferentes Q</t>
  </si>
  <si>
    <t>precio a la par/ valor nominal</t>
  </si>
  <si>
    <t>-</t>
  </si>
  <si>
    <t>Total Capital patrimonial de los accionistas</t>
  </si>
  <si>
    <t xml:space="preserve">Interpretación: </t>
  </si>
  <si>
    <t>Por cada dólar invertido por los accionistas comunes en Bartlett Company, la empresa debe a sus acreedores más o menos $0.94 centavos</t>
  </si>
  <si>
    <t>RSP=</t>
  </si>
  <si>
    <t>Cálcular el año 2015/ CAPITAL ACCIONES COMUNES</t>
  </si>
  <si>
    <t>Calculando año 2015/ RSP</t>
  </si>
  <si>
    <t>Ventas 2021=</t>
  </si>
  <si>
    <t>Estado de pérdidas y ganancias ( en miles de dólares) Galletas Ricas S.A  de 2021 que finaliza el 31 de diciembre</t>
  </si>
  <si>
    <t>Calculando año 2021</t>
  </si>
  <si>
    <t>Calculando año 2022</t>
  </si>
  <si>
    <t>MARGEN UTILIDAD DE UTILIDAD NETA</t>
  </si>
  <si>
    <t>ROTACION ACTIVOS TOTALES</t>
  </si>
  <si>
    <t>X</t>
  </si>
  <si>
    <r>
      <t xml:space="preserve">Ganancia </t>
    </r>
    <r>
      <rPr>
        <b/>
        <sz val="12"/>
        <color rgb="FF0000CC"/>
        <rFont val="Arial Nova"/>
        <family val="2"/>
      </rPr>
      <t>(Utilidades)</t>
    </r>
    <r>
      <rPr>
        <sz val="12"/>
        <color theme="1"/>
        <rFont val="Arial Nova"/>
        <family val="2"/>
      </rPr>
      <t xml:space="preserve"> disponible para los accionistas comunes</t>
    </r>
  </si>
  <si>
    <t>FÓRMULA FINANCIERA:</t>
  </si>
  <si>
    <t>Cálcular el año 2014/ CAPITAL ACCIONES COMUNES</t>
  </si>
  <si>
    <t>Calculando año 2014/ RSP</t>
  </si>
  <si>
    <t>Por cada dólar invertido por los accionistas comunes en Bartlett Company, la empresa debe a sus acreedores más o menos $0.90 centavos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</si>
</sst>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540A]#,##0.00"/>
    <numFmt numFmtId="165" formatCode="0.0%"/>
    <numFmt numFmtId="166" formatCode="_-[$$-409]* #,##0_ ;_-[$$-409]* \-#,##0\ ;_-[$$-409]* &quot;-&quot;??_ ;_-@_ "/>
    <numFmt numFmtId="167" formatCode="_-[$$-409]* #,##0.00_ ;_-[$$-409]* \-#,##0.00\ ;_-[$$-409]* &quot;-&quot;??_ ;_-@_ "/>
    <numFmt numFmtId="168" formatCode="_-[$$-540A]* #,##0.00_ ;_-[$$-540A]* \-#,##0.00\ ;_-[$$-540A]* &quot;-&quot;??_ ;_-@_ "/>
  </numFmts>
  <fonts count="20" x14ac:knownFonts="1">
    <font>
      <sz val="11"/>
      <color theme="1"/>
      <name val="Aptos Narrow"/>
      <family val="2"/>
      <scheme val="minor"/>
    </font>
    <font>
      <sz val="11"/>
      <color theme="1"/>
      <name val="Aptos Narrow"/>
      <family val="2"/>
      <scheme val="minor"/>
    </font>
    <font>
      <sz val="12"/>
      <color theme="1"/>
      <name val="Arial Nova"/>
      <family val="2"/>
    </font>
    <font>
      <b/>
      <sz val="18"/>
      <color theme="1"/>
      <name val="Arial Nova"/>
      <family val="2"/>
    </font>
    <font>
      <b/>
      <sz val="12"/>
      <color theme="1"/>
      <name val="Arial Nova"/>
      <family val="2"/>
    </font>
    <font>
      <b/>
      <sz val="12"/>
      <color rgb="FF0000CC"/>
      <name val="Arial Nova"/>
      <family val="2"/>
    </font>
    <font>
      <b/>
      <sz val="12"/>
      <color theme="0"/>
      <name val="Arial Nova"/>
      <family val="2"/>
    </font>
    <font>
      <sz val="12"/>
      <color rgb="FF000000"/>
      <name val="Arial Nova"/>
      <family val="2"/>
    </font>
    <font>
      <sz val="12"/>
      <color rgb="FFFF0000"/>
      <name val="Arial Nova"/>
      <family val="2"/>
    </font>
    <font>
      <b/>
      <sz val="12"/>
      <color theme="4"/>
      <name val="Arial Nova"/>
      <family val="2"/>
    </font>
    <font>
      <sz val="12"/>
      <name val="Arial Nova"/>
      <family val="2"/>
    </font>
    <font>
      <b/>
      <sz val="12"/>
      <name val="Arial Nova"/>
      <family val="2"/>
    </font>
    <font>
      <sz val="12"/>
      <color rgb="FF0000CC"/>
      <name val="Arial Nova"/>
      <family val="2"/>
    </font>
    <font>
      <sz val="9"/>
      <color indexed="81"/>
      <name val="Tahoma"/>
      <charset val="1"/>
    </font>
    <font>
      <sz val="9"/>
      <color indexed="81"/>
      <name val="Tahoma"/>
      <family val="2"/>
    </font>
    <font>
      <b/>
      <sz val="12"/>
      <color rgb="FFFF0000"/>
      <name val="Arial Nova"/>
      <family val="2"/>
    </font>
    <font>
      <b/>
      <sz val="14"/>
      <color rgb="FFFF0000"/>
      <name val="Arial Nova"/>
      <family val="2"/>
    </font>
    <font>
      <b/>
      <sz val="16"/>
      <color rgb="FFFF0000"/>
      <name val="Arial Nova"/>
      <family val="2"/>
    </font>
    <font>
      <b/>
      <sz val="22"/>
      <color rgb="FFFF0000"/>
      <name val="Arial Nova"/>
      <family val="2"/>
    </font>
    <font>
      <b/>
      <sz val="16"/>
      <color theme="1"/>
      <name val="Arial Nova"/>
      <family val="2"/>
    </font>
  </fonts>
  <fills count="9">
    <fill>
      <patternFill patternType="none"/>
    </fill>
    <fill>
      <patternFill patternType="gray125"/>
    </fill>
    <fill>
      <patternFill patternType="solid">
        <fgColor rgb="FFFFFFCC"/>
      </patternFill>
    </fill>
    <fill>
      <patternFill patternType="solid">
        <fgColor rgb="FFCCCCFF"/>
        <bgColor indexed="64"/>
      </patternFill>
    </fill>
    <fill>
      <patternFill patternType="solid">
        <fgColor rgb="FFCCFFCC"/>
        <bgColor indexed="64"/>
      </patternFill>
    </fill>
    <fill>
      <patternFill patternType="solid">
        <fgColor rgb="FF0000CC"/>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1"/>
        <bgColor indexed="64"/>
      </patternFill>
    </fill>
  </fills>
  <borders count="36">
    <border>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right/>
      <top/>
      <bottom style="thin">
        <color indexed="64"/>
      </bottom>
      <diagonal/>
    </border>
    <border>
      <left/>
      <right/>
      <top style="thin">
        <color indexed="64"/>
      </top>
      <bottom/>
      <diagonal/>
    </border>
    <border>
      <left style="medium">
        <color indexed="64"/>
      </left>
      <right style="thin">
        <color rgb="FFB2B2B2"/>
      </right>
      <top style="medium">
        <color indexed="64"/>
      </top>
      <bottom style="thin">
        <color rgb="FFB2B2B2"/>
      </bottom>
      <diagonal/>
    </border>
    <border>
      <left style="thin">
        <color rgb="FFB2B2B2"/>
      </left>
      <right style="thin">
        <color rgb="FFB2B2B2"/>
      </right>
      <top style="medium">
        <color indexed="64"/>
      </top>
      <bottom style="thin">
        <color rgb="FFB2B2B2"/>
      </bottom>
      <diagonal/>
    </border>
    <border>
      <left style="thin">
        <color rgb="FFB2B2B2"/>
      </left>
      <right style="medium">
        <color indexed="64"/>
      </right>
      <top style="medium">
        <color indexed="64"/>
      </top>
      <bottom style="thin">
        <color rgb="FFB2B2B2"/>
      </bottom>
      <diagonal/>
    </border>
    <border>
      <left style="medium">
        <color indexed="64"/>
      </left>
      <right style="thin">
        <color rgb="FFB2B2B2"/>
      </right>
      <top style="thin">
        <color rgb="FFB2B2B2"/>
      </top>
      <bottom style="thin">
        <color rgb="FFB2B2B2"/>
      </bottom>
      <diagonal/>
    </border>
    <border>
      <left style="thin">
        <color rgb="FFB2B2B2"/>
      </left>
      <right style="medium">
        <color indexed="64"/>
      </right>
      <top style="thin">
        <color rgb="FFB2B2B2"/>
      </top>
      <bottom style="thin">
        <color rgb="FFB2B2B2"/>
      </bottom>
      <diagonal/>
    </border>
    <border>
      <left style="medium">
        <color indexed="64"/>
      </left>
      <right style="thin">
        <color rgb="FFB2B2B2"/>
      </right>
      <top style="thin">
        <color rgb="FFB2B2B2"/>
      </top>
      <bottom style="medium">
        <color indexed="64"/>
      </bottom>
      <diagonal/>
    </border>
    <border>
      <left style="thin">
        <color rgb="FFB2B2B2"/>
      </left>
      <right style="thin">
        <color rgb="FFB2B2B2"/>
      </right>
      <top style="thin">
        <color rgb="FFB2B2B2"/>
      </top>
      <bottom style="medium">
        <color indexed="64"/>
      </bottom>
      <diagonal/>
    </border>
    <border>
      <left style="thin">
        <color rgb="FFB2B2B2"/>
      </left>
      <right style="medium">
        <color indexed="64"/>
      </right>
      <top style="thin">
        <color rgb="FFB2B2B2"/>
      </top>
      <bottom style="medium">
        <color indexed="64"/>
      </bottom>
      <diagonal/>
    </border>
    <border>
      <left/>
      <right/>
      <top/>
      <bottom style="medium">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top/>
      <bottom style="medium">
        <color rgb="FF000000"/>
      </bottom>
      <diagonal/>
    </border>
    <border>
      <left/>
      <right/>
      <top style="thin">
        <color rgb="FF000000"/>
      </top>
      <bottom style="double">
        <color rgb="FF000000"/>
      </bottom>
      <diagonal/>
    </border>
    <border>
      <left/>
      <right/>
      <top style="medium">
        <color rgb="FF000000"/>
      </top>
      <bottom style="medium">
        <color rgb="FF000000"/>
      </bottom>
      <diagonal/>
    </border>
    <border>
      <left/>
      <right/>
      <top style="thin">
        <color rgb="FF000000"/>
      </top>
      <bottom/>
      <diagonal/>
    </border>
    <border>
      <left/>
      <right/>
      <top/>
      <bottom style="double">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style="thin">
        <color indexed="64"/>
      </bottom>
      <diagonal/>
    </border>
    <border>
      <left/>
      <right style="medium">
        <color indexed="64"/>
      </right>
      <top style="thin">
        <color indexed="64"/>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2" borderId="1" applyNumberFormat="0" applyFont="0" applyAlignment="0" applyProtection="0"/>
    <xf numFmtId="44" fontId="1" fillId="0" borderId="0" applyFont="0" applyFill="0" applyBorder="0" applyAlignment="0" applyProtection="0"/>
  </cellStyleXfs>
  <cellXfs count="146">
    <xf numFmtId="0" fontId="0" fillId="0" borderId="0" xfId="0"/>
    <xf numFmtId="0" fontId="2" fillId="0" borderId="0" xfId="0" applyFont="1"/>
    <xf numFmtId="0" fontId="2" fillId="0" borderId="0" xfId="0" applyFont="1" applyAlignment="1">
      <alignment horizontal="center"/>
    </xf>
    <xf numFmtId="0" fontId="2" fillId="0" borderId="0" xfId="0" applyFont="1" applyAlignment="1">
      <alignment horizontal="center" wrapText="1"/>
    </xf>
    <xf numFmtId="0" fontId="2" fillId="0" borderId="0" xfId="0" applyFont="1" applyAlignment="1">
      <alignment horizontal="center" vertical="center" wrapText="1"/>
    </xf>
    <xf numFmtId="0" fontId="4" fillId="0" borderId="0" xfId="0" applyFont="1"/>
    <xf numFmtId="164" fontId="2" fillId="0" borderId="0" xfId="0" applyNumberFormat="1" applyFont="1"/>
    <xf numFmtId="164" fontId="2" fillId="0" borderId="3" xfId="0" applyNumberFormat="1" applyFont="1" applyBorder="1"/>
    <xf numFmtId="165" fontId="2" fillId="0" borderId="0" xfId="2" applyNumberFormat="1" applyFont="1"/>
    <xf numFmtId="0" fontId="2" fillId="0" borderId="17" xfId="0" applyFont="1" applyBorder="1"/>
    <xf numFmtId="0" fontId="2" fillId="0" borderId="18" xfId="0" applyFont="1" applyBorder="1"/>
    <xf numFmtId="0" fontId="4" fillId="0" borderId="20" xfId="0" applyFont="1" applyBorder="1"/>
    <xf numFmtId="166" fontId="2" fillId="0" borderId="0" xfId="0" applyNumberFormat="1" applyFont="1"/>
    <xf numFmtId="166" fontId="2" fillId="0" borderId="19" xfId="0" applyNumberFormat="1" applyFont="1" applyBorder="1"/>
    <xf numFmtId="166" fontId="2" fillId="0" borderId="21" xfId="0" applyNumberFormat="1" applyFont="1" applyBorder="1"/>
    <xf numFmtId="0" fontId="2" fillId="0" borderId="25" xfId="0" applyFont="1" applyBorder="1"/>
    <xf numFmtId="0" fontId="2" fillId="0" borderId="20" xfId="0" applyFont="1" applyBorder="1" applyAlignment="1">
      <alignment wrapText="1"/>
    </xf>
    <xf numFmtId="166" fontId="2" fillId="0" borderId="20" xfId="0" applyNumberFormat="1" applyFont="1" applyBorder="1"/>
    <xf numFmtId="0" fontId="2" fillId="0" borderId="26" xfId="0" applyFont="1" applyBorder="1"/>
    <xf numFmtId="167" fontId="2" fillId="0" borderId="0" xfId="0" applyNumberFormat="1" applyFont="1"/>
    <xf numFmtId="167" fontId="8" fillId="0" borderId="19" xfId="0" applyNumberFormat="1" applyFont="1" applyBorder="1"/>
    <xf numFmtId="167" fontId="8" fillId="0" borderId="0" xfId="0" applyNumberFormat="1" applyFont="1"/>
    <xf numFmtId="167" fontId="2" fillId="0" borderId="19" xfId="0" applyNumberFormat="1" applyFont="1" applyBorder="1"/>
    <xf numFmtId="0" fontId="12" fillId="0" borderId="0" xfId="0" applyFont="1"/>
    <xf numFmtId="168" fontId="2" fillId="0" borderId="0" xfId="0" applyNumberFormat="1" applyFont="1" applyAlignment="1">
      <alignment horizontal="center"/>
    </xf>
    <xf numFmtId="168" fontId="2" fillId="0" borderId="3" xfId="0" applyNumberFormat="1" applyFont="1" applyBorder="1"/>
    <xf numFmtId="168" fontId="2" fillId="0" borderId="0" xfId="0" applyNumberFormat="1" applyFont="1"/>
    <xf numFmtId="0" fontId="2" fillId="0" borderId="28" xfId="0" applyFont="1" applyBorder="1"/>
    <xf numFmtId="0" fontId="2" fillId="0" borderId="13" xfId="0" applyFont="1" applyBorder="1"/>
    <xf numFmtId="168" fontId="10" fillId="3" borderId="0" xfId="0" applyNumberFormat="1" applyFont="1" applyFill="1"/>
    <xf numFmtId="0" fontId="2" fillId="0" borderId="0" xfId="0" applyFont="1" applyAlignment="1">
      <alignment vertical="center" wrapText="1"/>
    </xf>
    <xf numFmtId="43" fontId="2" fillId="0" borderId="0" xfId="1" applyFont="1" applyAlignment="1">
      <alignment horizontal="center"/>
    </xf>
    <xf numFmtId="164" fontId="2" fillId="3" borderId="0" xfId="0" applyNumberFormat="1" applyFont="1" applyFill="1"/>
    <xf numFmtId="0" fontId="5" fillId="0" borderId="0" xfId="0" applyFont="1" applyAlignment="1">
      <alignment horizontal="center" wrapText="1"/>
    </xf>
    <xf numFmtId="0" fontId="2" fillId="0" borderId="0" xfId="0" applyFont="1" applyAlignment="1">
      <alignment horizontal="center"/>
    </xf>
    <xf numFmtId="0" fontId="2" fillId="0" borderId="0" xfId="0" applyFont="1" applyAlignment="1">
      <alignment horizontal="center" vertical="center" wrapText="1"/>
    </xf>
    <xf numFmtId="0" fontId="2" fillId="3" borderId="4" xfId="0" applyFont="1" applyFill="1" applyBorder="1" applyAlignment="1">
      <alignment horizontal="center" wrapText="1"/>
    </xf>
    <xf numFmtId="0" fontId="2" fillId="3" borderId="13" xfId="0" applyFont="1" applyFill="1" applyBorder="1" applyAlignment="1">
      <alignment horizontal="center" wrapText="1"/>
    </xf>
    <xf numFmtId="0" fontId="2" fillId="3" borderId="4" xfId="0" applyFont="1" applyFill="1" applyBorder="1" applyAlignment="1">
      <alignment horizontal="center" vertical="center" wrapText="1"/>
    </xf>
    <xf numFmtId="0" fontId="2" fillId="3" borderId="35"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3" borderId="31" xfId="0" applyFont="1" applyFill="1" applyBorder="1" applyAlignment="1">
      <alignment horizontal="center" vertical="center" wrapText="1"/>
    </xf>
    <xf numFmtId="0" fontId="4" fillId="0" borderId="0" xfId="0" applyFont="1" applyAlignment="1">
      <alignment horizontal="center" wrapText="1"/>
    </xf>
    <xf numFmtId="0" fontId="2" fillId="0" borderId="3" xfId="0" applyFont="1" applyBorder="1" applyAlignment="1">
      <alignment horizontal="center"/>
    </xf>
    <xf numFmtId="0" fontId="2" fillId="0" borderId="28"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31" xfId="0" applyFont="1" applyBorder="1" applyAlignment="1">
      <alignment horizontal="center" vertical="center" wrapText="1"/>
    </xf>
    <xf numFmtId="168" fontId="2" fillId="0" borderId="0" xfId="0" applyNumberFormat="1" applyFont="1" applyAlignment="1">
      <alignment horizontal="center"/>
    </xf>
    <xf numFmtId="0" fontId="4" fillId="0" borderId="27" xfId="0" applyFont="1" applyBorder="1" applyAlignment="1">
      <alignment horizontal="center" vertical="center" wrapText="1"/>
    </xf>
    <xf numFmtId="0" fontId="4" fillId="0" borderId="33" xfId="0" applyFont="1" applyBorder="1" applyAlignment="1">
      <alignment horizontal="center" vertical="center" wrapText="1"/>
    </xf>
    <xf numFmtId="0" fontId="2" fillId="0" borderId="28" xfId="0" applyFont="1" applyBorder="1" applyAlignment="1">
      <alignment horizontal="center" wrapText="1"/>
    </xf>
    <xf numFmtId="0" fontId="2" fillId="0" borderId="3" xfId="0" applyFont="1" applyBorder="1" applyAlignment="1">
      <alignment horizontal="center" wrapText="1"/>
    </xf>
    <xf numFmtId="0" fontId="2" fillId="0" borderId="28" xfId="0" applyFont="1" applyBorder="1" applyAlignment="1">
      <alignment horizontal="center" vertical="center"/>
    </xf>
    <xf numFmtId="0" fontId="2" fillId="0" borderId="0" xfId="0" applyFont="1" applyAlignment="1">
      <alignment horizontal="center" vertical="center"/>
    </xf>
    <xf numFmtId="0" fontId="2" fillId="0" borderId="29" xfId="0" applyFont="1" applyBorder="1" applyAlignment="1">
      <alignment horizontal="center" vertical="center"/>
    </xf>
    <xf numFmtId="0" fontId="2" fillId="0" borderId="3" xfId="0" applyFont="1" applyBorder="1" applyAlignment="1">
      <alignment horizontal="center" vertical="center"/>
    </xf>
    <xf numFmtId="0" fontId="2" fillId="0" borderId="32" xfId="0" applyFont="1" applyBorder="1" applyAlignment="1">
      <alignment horizontal="center" wrapText="1"/>
    </xf>
    <xf numFmtId="0" fontId="2" fillId="0" borderId="34" xfId="0" applyFont="1" applyBorder="1" applyAlignment="1">
      <alignment horizontal="center" wrapText="1"/>
    </xf>
    <xf numFmtId="0" fontId="2" fillId="0" borderId="4" xfId="0" applyFont="1" applyBorder="1" applyAlignment="1">
      <alignment horizontal="center" vertical="center" wrapText="1"/>
    </xf>
    <xf numFmtId="43" fontId="2" fillId="0" borderId="0" xfId="1" applyFont="1" applyAlignment="1">
      <alignment horizontal="center"/>
    </xf>
    <xf numFmtId="0" fontId="12" fillId="0" borderId="0" xfId="0" applyFont="1" applyAlignment="1">
      <alignment horizontal="center" vertical="center" wrapText="1"/>
    </xf>
    <xf numFmtId="0" fontId="10" fillId="3" borderId="0" xfId="0" applyFont="1" applyFill="1" applyAlignment="1">
      <alignment horizontal="center" vertical="center" wrapText="1"/>
    </xf>
    <xf numFmtId="0" fontId="2" fillId="0" borderId="35" xfId="0" applyFont="1" applyBorder="1" applyAlignment="1">
      <alignment horizontal="center" vertical="center" wrapText="1"/>
    </xf>
    <xf numFmtId="0" fontId="5" fillId="0" borderId="0" xfId="0" applyFont="1" applyAlignment="1">
      <alignment horizontal="left"/>
    </xf>
    <xf numFmtId="0" fontId="11" fillId="3" borderId="27" xfId="0" applyFont="1" applyFill="1" applyBorder="1" applyAlignment="1">
      <alignment horizontal="center" vertical="center" wrapText="1"/>
    </xf>
    <xf numFmtId="0" fontId="11" fillId="3" borderId="28" xfId="0" applyFont="1" applyFill="1" applyBorder="1" applyAlignment="1">
      <alignment horizontal="center" vertical="center" wrapText="1"/>
    </xf>
    <xf numFmtId="0" fontId="11" fillId="3" borderId="30" xfId="0" applyFont="1" applyFill="1" applyBorder="1" applyAlignment="1">
      <alignment horizontal="center" vertical="center" wrapText="1"/>
    </xf>
    <xf numFmtId="0" fontId="11" fillId="3" borderId="13" xfId="0" applyFont="1" applyFill="1" applyBorder="1" applyAlignment="1">
      <alignment horizontal="center" vertical="center" wrapText="1"/>
    </xf>
    <xf numFmtId="0" fontId="3" fillId="0" borderId="2" xfId="0" applyFont="1" applyBorder="1" applyAlignment="1">
      <alignment horizontal="center"/>
    </xf>
    <xf numFmtId="0" fontId="2" fillId="0" borderId="4" xfId="0" applyFont="1" applyBorder="1" applyAlignment="1">
      <alignment horizontal="center"/>
    </xf>
    <xf numFmtId="0" fontId="4" fillId="0" borderId="0" xfId="0" applyFont="1" applyAlignment="1">
      <alignment horizontal="center" vertical="center" wrapText="1"/>
    </xf>
    <xf numFmtId="0" fontId="5" fillId="0" borderId="0" xfId="0" applyFont="1" applyAlignment="1">
      <alignment horizontal="center"/>
    </xf>
    <xf numFmtId="0" fontId="2" fillId="2" borderId="5" xfId="3" applyFont="1" applyBorder="1" applyAlignment="1">
      <alignment horizontal="left" wrapText="1"/>
    </xf>
    <xf numFmtId="0" fontId="2" fillId="2" borderId="6" xfId="3" applyFont="1" applyBorder="1" applyAlignment="1">
      <alignment horizontal="left" wrapText="1"/>
    </xf>
    <xf numFmtId="0" fontId="2" fillId="2" borderId="7" xfId="3" applyFont="1" applyBorder="1" applyAlignment="1">
      <alignment horizontal="left" wrapText="1"/>
    </xf>
    <xf numFmtId="0" fontId="2" fillId="2" borderId="8" xfId="3" applyFont="1" applyBorder="1" applyAlignment="1">
      <alignment horizontal="left" wrapText="1"/>
    </xf>
    <xf numFmtId="0" fontId="2" fillId="2" borderId="1" xfId="3" applyFont="1" applyAlignment="1">
      <alignment horizontal="left" wrapText="1"/>
    </xf>
    <xf numFmtId="0" fontId="2" fillId="2" borderId="9" xfId="3" applyFont="1" applyBorder="1" applyAlignment="1">
      <alignment horizontal="left" wrapText="1"/>
    </xf>
    <xf numFmtId="0" fontId="2" fillId="2" borderId="10" xfId="3" applyFont="1" applyBorder="1" applyAlignment="1">
      <alignment horizontal="left" wrapText="1"/>
    </xf>
    <xf numFmtId="0" fontId="2" fillId="2" borderId="11" xfId="3" applyFont="1" applyBorder="1" applyAlignment="1">
      <alignment horizontal="left" wrapText="1"/>
    </xf>
    <xf numFmtId="0" fontId="2" fillId="2" borderId="12" xfId="3" applyFont="1" applyBorder="1" applyAlignment="1">
      <alignment horizontal="left" wrapText="1"/>
    </xf>
    <xf numFmtId="0" fontId="2" fillId="0" borderId="0" xfId="0" applyFont="1" applyAlignment="1">
      <alignment horizontal="center" wrapText="1"/>
    </xf>
    <xf numFmtId="0" fontId="2" fillId="0" borderId="0" xfId="0" applyFont="1" applyAlignment="1">
      <alignment horizontal="left"/>
    </xf>
    <xf numFmtId="0" fontId="9" fillId="0" borderId="0" xfId="0" applyFont="1" applyAlignment="1">
      <alignment horizontal="left"/>
    </xf>
    <xf numFmtId="0" fontId="2" fillId="0" borderId="0" xfId="0" applyFont="1" applyAlignment="1">
      <alignment horizontal="left" vertical="center" wrapText="1"/>
    </xf>
    <xf numFmtId="0" fontId="2" fillId="0" borderId="20" xfId="0" applyFont="1" applyBorder="1" applyAlignment="1">
      <alignment horizontal="left" vertical="center" wrapText="1"/>
    </xf>
    <xf numFmtId="0" fontId="4" fillId="0" borderId="0" xfId="0" applyFont="1" applyAlignment="1">
      <alignment horizontal="left"/>
    </xf>
    <xf numFmtId="0" fontId="7" fillId="4" borderId="14" xfId="0" applyFont="1" applyFill="1" applyBorder="1" applyAlignment="1">
      <alignment horizontal="center" wrapText="1"/>
    </xf>
    <xf numFmtId="0" fontId="7" fillId="4" borderId="15" xfId="0" applyFont="1" applyFill="1" applyBorder="1" applyAlignment="1">
      <alignment horizontal="center" wrapText="1"/>
    </xf>
    <xf numFmtId="0" fontId="7" fillId="4" borderId="16" xfId="0" applyFont="1" applyFill="1" applyBorder="1" applyAlignment="1">
      <alignment horizontal="center" wrapText="1"/>
    </xf>
    <xf numFmtId="0" fontId="7" fillId="4" borderId="17" xfId="0" applyFont="1" applyFill="1" applyBorder="1" applyAlignment="1">
      <alignment horizontal="center" wrapText="1"/>
    </xf>
    <xf numFmtId="0" fontId="7" fillId="4" borderId="0" xfId="0" applyFont="1" applyFill="1" applyAlignment="1">
      <alignment horizontal="center" wrapText="1"/>
    </xf>
    <xf numFmtId="0" fontId="7" fillId="4" borderId="18" xfId="0" applyFont="1" applyFill="1" applyBorder="1" applyAlignment="1">
      <alignment horizontal="center" wrapText="1"/>
    </xf>
    <xf numFmtId="166" fontId="2" fillId="0" borderId="0" xfId="0" applyNumberFormat="1" applyFont="1" applyAlignment="1">
      <alignment horizontal="center"/>
    </xf>
    <xf numFmtId="166" fontId="2" fillId="0" borderId="23" xfId="0" applyNumberFormat="1" applyFont="1" applyBorder="1" applyAlignment="1">
      <alignment horizontal="center"/>
    </xf>
    <xf numFmtId="166" fontId="2" fillId="0" borderId="24" xfId="0" applyNumberFormat="1" applyFont="1" applyBorder="1" applyAlignment="1">
      <alignment horizontal="center"/>
    </xf>
    <xf numFmtId="0" fontId="2" fillId="0" borderId="0" xfId="0" applyFont="1" applyAlignment="1">
      <alignment horizontal="left" wrapText="1"/>
    </xf>
    <xf numFmtId="0" fontId="2" fillId="0" borderId="20" xfId="0" applyFont="1" applyBorder="1" applyAlignment="1">
      <alignment horizontal="center"/>
    </xf>
    <xf numFmtId="0" fontId="4" fillId="0" borderId="22" xfId="0" applyFont="1" applyBorder="1" applyAlignment="1">
      <alignment horizontal="left"/>
    </xf>
    <xf numFmtId="0" fontId="2" fillId="0" borderId="15" xfId="0" applyFont="1" applyBorder="1" applyAlignment="1">
      <alignment horizontal="left"/>
    </xf>
    <xf numFmtId="166" fontId="2" fillId="0" borderId="19" xfId="0" applyNumberFormat="1" applyFont="1" applyBorder="1" applyAlignment="1">
      <alignment horizontal="center"/>
    </xf>
    <xf numFmtId="0" fontId="6" fillId="5" borderId="14" xfId="0" applyFont="1" applyFill="1" applyBorder="1" applyAlignment="1">
      <alignment horizontal="center" vertical="center" wrapText="1"/>
    </xf>
    <xf numFmtId="0" fontId="6" fillId="5" borderId="15" xfId="0" applyFont="1" applyFill="1" applyBorder="1" applyAlignment="1">
      <alignment horizontal="center" vertical="center" wrapText="1"/>
    </xf>
    <xf numFmtId="0" fontId="6" fillId="5" borderId="16" xfId="0" applyFont="1" applyFill="1" applyBorder="1" applyAlignment="1">
      <alignment horizontal="center" vertical="center" wrapText="1"/>
    </xf>
    <xf numFmtId="0" fontId="6" fillId="5" borderId="17" xfId="0" applyFont="1" applyFill="1" applyBorder="1" applyAlignment="1">
      <alignment horizontal="center" vertical="center" wrapText="1"/>
    </xf>
    <xf numFmtId="0" fontId="6" fillId="5" borderId="0" xfId="0" applyFont="1" applyFill="1" applyAlignment="1">
      <alignment horizontal="center" vertical="center" wrapText="1"/>
    </xf>
    <xf numFmtId="0" fontId="6" fillId="5" borderId="18" xfId="0" applyFont="1" applyFill="1" applyBorder="1" applyAlignment="1">
      <alignment horizontal="center" vertical="center" wrapText="1"/>
    </xf>
    <xf numFmtId="0" fontId="4" fillId="0" borderId="20" xfId="0" applyFont="1" applyBorder="1" applyAlignment="1">
      <alignment horizontal="left"/>
    </xf>
    <xf numFmtId="0" fontId="4" fillId="0" borderId="19" xfId="0" applyFont="1" applyBorder="1" applyAlignment="1">
      <alignment horizontal="center"/>
    </xf>
    <xf numFmtId="164" fontId="2" fillId="0" borderId="0" xfId="4" applyNumberFormat="1" applyFont="1"/>
    <xf numFmtId="0" fontId="2" fillId="0" borderId="0" xfId="0" applyFont="1" applyBorder="1" applyAlignment="1">
      <alignment horizontal="center" wrapText="1"/>
    </xf>
    <xf numFmtId="0" fontId="2" fillId="0" borderId="0" xfId="0" applyFont="1" applyBorder="1" applyAlignment="1">
      <alignment horizontal="center"/>
    </xf>
    <xf numFmtId="167" fontId="2" fillId="3" borderId="21" xfId="0" applyNumberFormat="1" applyFont="1" applyFill="1" applyBorder="1"/>
    <xf numFmtId="167" fontId="2" fillId="6" borderId="0" xfId="0" applyNumberFormat="1" applyFont="1" applyFill="1"/>
    <xf numFmtId="0" fontId="4" fillId="0" borderId="0" xfId="0" applyFont="1" applyAlignment="1">
      <alignment horizontal="center"/>
    </xf>
    <xf numFmtId="165" fontId="4" fillId="0" borderId="0" xfId="2" applyNumberFormat="1" applyFont="1"/>
    <xf numFmtId="167" fontId="2" fillId="7" borderId="0" xfId="0" applyNumberFormat="1" applyFont="1" applyFill="1"/>
    <xf numFmtId="0" fontId="4" fillId="0" borderId="0" xfId="0" applyFont="1" applyAlignment="1">
      <alignment horizontal="center"/>
    </xf>
    <xf numFmtId="0" fontId="4" fillId="7" borderId="0" xfId="0" applyFont="1" applyFill="1" applyAlignment="1">
      <alignment horizontal="center"/>
    </xf>
    <xf numFmtId="0" fontId="2" fillId="7" borderId="0" xfId="0" applyFont="1" applyFill="1"/>
    <xf numFmtId="0" fontId="2" fillId="7" borderId="0" xfId="0" applyFont="1" applyFill="1" applyAlignment="1">
      <alignment horizontal="center" wrapText="1"/>
    </xf>
    <xf numFmtId="0" fontId="2" fillId="7" borderId="3" xfId="0" applyFont="1" applyFill="1" applyBorder="1" applyAlignment="1">
      <alignment horizontal="center" wrapText="1"/>
    </xf>
    <xf numFmtId="0" fontId="2" fillId="7" borderId="0" xfId="0" applyFont="1" applyFill="1" applyAlignment="1">
      <alignment horizontal="center"/>
    </xf>
    <xf numFmtId="0" fontId="4" fillId="0" borderId="0" xfId="0" applyFont="1" applyFill="1" applyAlignment="1"/>
    <xf numFmtId="0" fontId="4" fillId="3" borderId="0" xfId="0" applyFont="1" applyFill="1" applyAlignment="1">
      <alignment horizontal="center" wrapText="1"/>
    </xf>
    <xf numFmtId="0" fontId="2" fillId="3" borderId="3" xfId="0" applyFont="1" applyFill="1" applyBorder="1" applyAlignment="1">
      <alignment horizontal="center" vertical="center"/>
    </xf>
    <xf numFmtId="0" fontId="2" fillId="3" borderId="4" xfId="0" applyFont="1" applyFill="1" applyBorder="1" applyAlignment="1">
      <alignment horizontal="center"/>
    </xf>
    <xf numFmtId="0" fontId="4" fillId="0" borderId="30" xfId="0" applyFont="1" applyBorder="1" applyAlignment="1">
      <alignment horizontal="center" vertical="center" wrapText="1"/>
    </xf>
    <xf numFmtId="0" fontId="18" fillId="0" borderId="28" xfId="0" applyFont="1" applyBorder="1" applyAlignment="1">
      <alignment horizontal="center" vertical="center" wrapText="1"/>
    </xf>
    <xf numFmtId="0" fontId="18" fillId="0" borderId="13" xfId="0" applyFont="1" applyBorder="1" applyAlignment="1">
      <alignment horizontal="center" vertical="center" wrapText="1"/>
    </xf>
    <xf numFmtId="0" fontId="19" fillId="0" borderId="28" xfId="0" applyFont="1" applyBorder="1" applyAlignment="1">
      <alignment horizontal="center" vertical="center" wrapText="1"/>
    </xf>
    <xf numFmtId="0" fontId="19" fillId="0" borderId="13" xfId="0" applyFont="1" applyBorder="1" applyAlignment="1">
      <alignment horizontal="center" vertical="center" wrapText="1"/>
    </xf>
    <xf numFmtId="0" fontId="17" fillId="0" borderId="0" xfId="0" applyFont="1" applyAlignment="1">
      <alignment horizontal="center"/>
    </xf>
    <xf numFmtId="0" fontId="15" fillId="0" borderId="0" xfId="0" applyFont="1" applyAlignment="1">
      <alignment horizontal="center"/>
    </xf>
    <xf numFmtId="168" fontId="2" fillId="3" borderId="0" xfId="0" applyNumberFormat="1" applyFont="1" applyFill="1"/>
    <xf numFmtId="0" fontId="6" fillId="8" borderId="0" xfId="0" applyFont="1" applyFill="1" applyAlignment="1">
      <alignment horizontal="center"/>
    </xf>
    <xf numFmtId="168" fontId="12" fillId="0" borderId="0" xfId="0" applyNumberFormat="1" applyFont="1" applyAlignment="1">
      <alignment horizontal="center" wrapText="1"/>
    </xf>
    <xf numFmtId="0" fontId="3" fillId="0" borderId="0" xfId="0" applyFont="1" applyAlignment="1">
      <alignment horizontal="center"/>
    </xf>
    <xf numFmtId="0" fontId="5" fillId="0" borderId="0" xfId="0" applyFont="1" applyAlignment="1">
      <alignment horizontal="left" vertical="center"/>
    </xf>
    <xf numFmtId="0" fontId="4" fillId="3" borderId="4" xfId="0" applyFont="1" applyFill="1" applyBorder="1" applyAlignment="1">
      <alignment horizontal="center" wrapText="1"/>
    </xf>
    <xf numFmtId="0" fontId="4" fillId="3" borderId="13" xfId="0" applyFont="1" applyFill="1" applyBorder="1" applyAlignment="1">
      <alignment horizontal="center" wrapText="1"/>
    </xf>
    <xf numFmtId="168" fontId="2" fillId="0" borderId="0" xfId="0" applyNumberFormat="1" applyFont="1" applyAlignment="1">
      <alignment vertical="center"/>
    </xf>
    <xf numFmtId="0" fontId="16" fillId="0" borderId="0" xfId="0" applyFont="1" applyAlignment="1">
      <alignment horizontal="center"/>
    </xf>
    <xf numFmtId="0" fontId="5" fillId="0" borderId="28" xfId="0" applyFont="1" applyBorder="1" applyAlignment="1">
      <alignment horizontal="center" vertical="center" wrapText="1"/>
    </xf>
    <xf numFmtId="0" fontId="5" fillId="0" borderId="13" xfId="0" applyFont="1" applyBorder="1" applyAlignment="1">
      <alignment horizontal="center" vertical="center" wrapText="1"/>
    </xf>
  </cellXfs>
  <cellStyles count="5">
    <cellStyle name="Millares" xfId="1" builtinId="3"/>
    <cellStyle name="Moneda" xfId="4" builtinId="4"/>
    <cellStyle name="Normal" xfId="0" builtinId="0"/>
    <cellStyle name="Notas" xfId="3" builtinId="10"/>
    <cellStyle name="Porcentaje" xfId="2" builtinId="5"/>
  </cellStyles>
  <dxfs count="0"/>
  <tableStyles count="0" defaultTableStyle="TableStyleMedium2" defaultPivotStyle="PivotStyleLight16"/>
  <colors>
    <mruColors>
      <color rgb="FF0000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13</xdr:col>
      <xdr:colOff>701040</xdr:colOff>
      <xdr:row>4</xdr:row>
      <xdr:rowOff>38100</xdr:rowOff>
    </xdr:from>
    <xdr:to>
      <xdr:col>23</xdr:col>
      <xdr:colOff>595038</xdr:colOff>
      <xdr:row>19</xdr:row>
      <xdr:rowOff>15496</xdr:rowOff>
    </xdr:to>
    <xdr:pic>
      <xdr:nvPicPr>
        <xdr:cNvPr id="2" name="Imagen 1">
          <a:extLst>
            <a:ext uri="{FF2B5EF4-FFF2-40B4-BE49-F238E27FC236}">
              <a16:creationId xmlns:a16="http://schemas.microsoft.com/office/drawing/2014/main" id="{E503B3CF-6CC0-7447-A048-63D8ACAAF03B}"/>
            </a:ext>
          </a:extLst>
        </xdr:cNvPr>
        <xdr:cNvPicPr>
          <a:picLocks noChangeAspect="1"/>
        </xdr:cNvPicPr>
      </xdr:nvPicPr>
      <xdr:blipFill>
        <a:blip xmlns:r="http://schemas.openxmlformats.org/officeDocument/2006/relationships" r:embed="rId1"/>
        <a:stretch>
          <a:fillRect/>
        </a:stretch>
      </xdr:blipFill>
      <xdr:spPr>
        <a:xfrm>
          <a:off x="11003280" y="937260"/>
          <a:ext cx="7818798" cy="2949196"/>
        </a:xfrm>
        <a:prstGeom prst="rect">
          <a:avLst/>
        </a:prstGeom>
      </xdr:spPr>
    </xdr:pic>
    <xdr:clientData/>
  </xdr:twoCellAnchor>
  <xdr:twoCellAnchor editAs="oneCell">
    <xdr:from>
      <xdr:col>14</xdr:col>
      <xdr:colOff>68580</xdr:colOff>
      <xdr:row>22</xdr:row>
      <xdr:rowOff>45720</xdr:rowOff>
    </xdr:from>
    <xdr:to>
      <xdr:col>21</xdr:col>
      <xdr:colOff>404370</xdr:colOff>
      <xdr:row>51</xdr:row>
      <xdr:rowOff>152908</xdr:rowOff>
    </xdr:to>
    <xdr:pic>
      <xdr:nvPicPr>
        <xdr:cNvPr id="3" name="Imagen 2">
          <a:extLst>
            <a:ext uri="{FF2B5EF4-FFF2-40B4-BE49-F238E27FC236}">
              <a16:creationId xmlns:a16="http://schemas.microsoft.com/office/drawing/2014/main" id="{1871B95E-4F99-6F71-25DF-BE02A0339030}"/>
            </a:ext>
          </a:extLst>
        </xdr:cNvPr>
        <xdr:cNvPicPr>
          <a:picLocks noChangeAspect="1"/>
        </xdr:cNvPicPr>
      </xdr:nvPicPr>
      <xdr:blipFill>
        <a:blip xmlns:r="http://schemas.openxmlformats.org/officeDocument/2006/relationships" r:embed="rId2"/>
        <a:stretch>
          <a:fillRect/>
        </a:stretch>
      </xdr:blipFill>
      <xdr:spPr>
        <a:xfrm>
          <a:off x="11620500" y="3916680"/>
          <a:ext cx="5883150" cy="5867908"/>
        </a:xfrm>
        <a:prstGeom prst="rect">
          <a:avLst/>
        </a:prstGeom>
      </xdr:spPr>
    </xdr:pic>
    <xdr:clientData/>
  </xdr:twoCellAnchor>
  <xdr:twoCellAnchor editAs="oneCell">
    <xdr:from>
      <xdr:col>8</xdr:col>
      <xdr:colOff>45720</xdr:colOff>
      <xdr:row>44</xdr:row>
      <xdr:rowOff>60960</xdr:rowOff>
    </xdr:from>
    <xdr:to>
      <xdr:col>14</xdr:col>
      <xdr:colOff>91856</xdr:colOff>
      <xdr:row>77</xdr:row>
      <xdr:rowOff>53906</xdr:rowOff>
    </xdr:to>
    <xdr:pic>
      <xdr:nvPicPr>
        <xdr:cNvPr id="4" name="Imagen 3">
          <a:extLst>
            <a:ext uri="{FF2B5EF4-FFF2-40B4-BE49-F238E27FC236}">
              <a16:creationId xmlns:a16="http://schemas.microsoft.com/office/drawing/2014/main" id="{A7C132E6-6017-23E4-5CEE-97279DCD85F0}"/>
            </a:ext>
          </a:extLst>
        </xdr:cNvPr>
        <xdr:cNvPicPr>
          <a:picLocks noChangeAspect="1"/>
        </xdr:cNvPicPr>
      </xdr:nvPicPr>
      <xdr:blipFill>
        <a:blip xmlns:r="http://schemas.openxmlformats.org/officeDocument/2006/relationships" r:embed="rId3"/>
        <a:stretch>
          <a:fillRect/>
        </a:stretch>
      </xdr:blipFill>
      <xdr:spPr>
        <a:xfrm>
          <a:off x="6842760" y="7101840"/>
          <a:ext cx="4801016" cy="6530906"/>
        </a:xfrm>
        <a:prstGeom prst="rect">
          <a:avLst/>
        </a:prstGeom>
      </xdr:spPr>
    </xdr:pic>
    <xdr:clientData/>
  </xdr:twoCellAnchor>
  <xdr:twoCellAnchor>
    <xdr:from>
      <xdr:col>5</xdr:col>
      <xdr:colOff>335280</xdr:colOff>
      <xdr:row>7</xdr:row>
      <xdr:rowOff>38100</xdr:rowOff>
    </xdr:from>
    <xdr:to>
      <xdr:col>10</xdr:col>
      <xdr:colOff>609600</xdr:colOff>
      <xdr:row>9</xdr:row>
      <xdr:rowOff>22860</xdr:rowOff>
    </xdr:to>
    <xdr:sp macro="" textlink="">
      <xdr:nvSpPr>
        <xdr:cNvPr id="5" name="Flecha: curvada hacia abajo 4">
          <a:extLst>
            <a:ext uri="{FF2B5EF4-FFF2-40B4-BE49-F238E27FC236}">
              <a16:creationId xmlns:a16="http://schemas.microsoft.com/office/drawing/2014/main" id="{4B396B04-636A-E289-8CDD-837B02E19CCC}"/>
            </a:ext>
          </a:extLst>
        </xdr:cNvPr>
        <xdr:cNvSpPr/>
      </xdr:nvSpPr>
      <xdr:spPr>
        <a:xfrm>
          <a:off x="4526280" y="1531620"/>
          <a:ext cx="4465320" cy="381000"/>
        </a:xfrm>
        <a:prstGeom prst="curvedDownArrow">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CR" sz="1100">
            <a:solidFill>
              <a:schemeClr val="tx1"/>
            </a:solidFill>
          </a:endParaRPr>
        </a:p>
      </xdr:txBody>
    </xdr:sp>
    <xdr:clientData/>
  </xdr:twoCellAnchor>
  <xdr:twoCellAnchor editAs="oneCell">
    <xdr:from>
      <xdr:col>1</xdr:col>
      <xdr:colOff>30480</xdr:colOff>
      <xdr:row>43</xdr:row>
      <xdr:rowOff>53340</xdr:rowOff>
    </xdr:from>
    <xdr:to>
      <xdr:col>6</xdr:col>
      <xdr:colOff>407936</xdr:colOff>
      <xdr:row>70</xdr:row>
      <xdr:rowOff>94050</xdr:rowOff>
    </xdr:to>
    <xdr:pic>
      <xdr:nvPicPr>
        <xdr:cNvPr id="6" name="Imagen 5" descr="Diagrama&#10;&#10;El contenido generado por IA puede ser incorrecto.">
          <a:extLst>
            <a:ext uri="{FF2B5EF4-FFF2-40B4-BE49-F238E27FC236}">
              <a16:creationId xmlns:a16="http://schemas.microsoft.com/office/drawing/2014/main" id="{4E16E9DC-F1E9-3E8C-12F2-AA1F24E74508}"/>
            </a:ext>
          </a:extLst>
        </xdr:cNvPr>
        <xdr:cNvPicPr>
          <a:picLocks noChangeAspect="1"/>
        </xdr:cNvPicPr>
      </xdr:nvPicPr>
      <xdr:blipFill>
        <a:blip xmlns:r="http://schemas.openxmlformats.org/officeDocument/2006/relationships" r:embed="rId4"/>
        <a:stretch>
          <a:fillRect/>
        </a:stretch>
      </xdr:blipFill>
      <xdr:spPr>
        <a:xfrm>
          <a:off x="822960" y="8694420"/>
          <a:ext cx="4797056" cy="5389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769620</xdr:colOff>
      <xdr:row>3</xdr:row>
      <xdr:rowOff>83820</xdr:rowOff>
    </xdr:from>
    <xdr:to>
      <xdr:col>22</xdr:col>
      <xdr:colOff>297620</xdr:colOff>
      <xdr:row>16</xdr:row>
      <xdr:rowOff>122149</xdr:rowOff>
    </xdr:to>
    <xdr:pic>
      <xdr:nvPicPr>
        <xdr:cNvPr id="2" name="Imagen 1">
          <a:extLst>
            <a:ext uri="{FF2B5EF4-FFF2-40B4-BE49-F238E27FC236}">
              <a16:creationId xmlns:a16="http://schemas.microsoft.com/office/drawing/2014/main" id="{BC4FF4FF-D37C-26F9-B78A-61CC3A5235E8}"/>
            </a:ext>
          </a:extLst>
        </xdr:cNvPr>
        <xdr:cNvPicPr>
          <a:picLocks noChangeAspect="1"/>
        </xdr:cNvPicPr>
      </xdr:nvPicPr>
      <xdr:blipFill>
        <a:blip xmlns:r="http://schemas.openxmlformats.org/officeDocument/2006/relationships" r:embed="rId1"/>
        <a:stretch>
          <a:fillRect/>
        </a:stretch>
      </xdr:blipFill>
      <xdr:spPr>
        <a:xfrm>
          <a:off x="13266420" y="777240"/>
          <a:ext cx="5075360" cy="2644369"/>
        </a:xfrm>
        <a:prstGeom prst="rect">
          <a:avLst/>
        </a:prstGeom>
      </xdr:spPr>
    </xdr:pic>
    <xdr:clientData/>
  </xdr:twoCellAnchor>
  <xdr:twoCellAnchor editAs="oneCell">
    <xdr:from>
      <xdr:col>11</xdr:col>
      <xdr:colOff>410210</xdr:colOff>
      <xdr:row>39</xdr:row>
      <xdr:rowOff>88900</xdr:rowOff>
    </xdr:from>
    <xdr:to>
      <xdr:col>18</xdr:col>
      <xdr:colOff>747270</xdr:colOff>
      <xdr:row>68</xdr:row>
      <xdr:rowOff>116078</xdr:rowOff>
    </xdr:to>
    <xdr:pic>
      <xdr:nvPicPr>
        <xdr:cNvPr id="3" name="Imagen 2">
          <a:extLst>
            <a:ext uri="{FF2B5EF4-FFF2-40B4-BE49-F238E27FC236}">
              <a16:creationId xmlns:a16="http://schemas.microsoft.com/office/drawing/2014/main" id="{BC98E987-E14E-4BE6-9EDE-4B646F5C380F}"/>
            </a:ext>
          </a:extLst>
        </xdr:cNvPr>
        <xdr:cNvPicPr>
          <a:picLocks noChangeAspect="1"/>
        </xdr:cNvPicPr>
      </xdr:nvPicPr>
      <xdr:blipFill>
        <a:blip xmlns:r="http://schemas.openxmlformats.org/officeDocument/2006/relationships" r:embed="rId2"/>
        <a:stretch>
          <a:fillRect/>
        </a:stretch>
      </xdr:blipFill>
      <xdr:spPr>
        <a:xfrm>
          <a:off x="9947910" y="7905750"/>
          <a:ext cx="5893310" cy="5831078"/>
        </a:xfrm>
        <a:prstGeom prst="rect">
          <a:avLst/>
        </a:prstGeom>
      </xdr:spPr>
    </xdr:pic>
    <xdr:clientData/>
  </xdr:twoCellAnchor>
  <xdr:twoCellAnchor editAs="oneCell">
    <xdr:from>
      <xdr:col>17</xdr:col>
      <xdr:colOff>676910</xdr:colOff>
      <xdr:row>17</xdr:row>
      <xdr:rowOff>20320</xdr:rowOff>
    </xdr:from>
    <xdr:to>
      <xdr:col>23</xdr:col>
      <xdr:colOff>723046</xdr:colOff>
      <xdr:row>48</xdr:row>
      <xdr:rowOff>107246</xdr:rowOff>
    </xdr:to>
    <xdr:pic>
      <xdr:nvPicPr>
        <xdr:cNvPr id="4" name="Imagen 3">
          <a:extLst>
            <a:ext uri="{FF2B5EF4-FFF2-40B4-BE49-F238E27FC236}">
              <a16:creationId xmlns:a16="http://schemas.microsoft.com/office/drawing/2014/main" id="{4EF0DAC6-2A4C-4799-8B60-C1D379F8A80E}"/>
            </a:ext>
          </a:extLst>
        </xdr:cNvPr>
        <xdr:cNvPicPr>
          <a:picLocks noChangeAspect="1"/>
        </xdr:cNvPicPr>
      </xdr:nvPicPr>
      <xdr:blipFill>
        <a:blip xmlns:r="http://schemas.openxmlformats.org/officeDocument/2006/relationships" r:embed="rId3"/>
        <a:stretch>
          <a:fillRect/>
        </a:stretch>
      </xdr:blipFill>
      <xdr:spPr>
        <a:xfrm>
          <a:off x="14977110" y="3493770"/>
          <a:ext cx="4808636" cy="6487726"/>
        </a:xfrm>
        <a:prstGeom prst="rect">
          <a:avLst/>
        </a:prstGeom>
      </xdr:spPr>
    </xdr:pic>
    <xdr:clientData/>
  </xdr:twoCellAnchor>
  <xdr:twoCellAnchor>
    <xdr:from>
      <xdr:col>5</xdr:col>
      <xdr:colOff>186244</xdr:colOff>
      <xdr:row>13</xdr:row>
      <xdr:rowOff>26820</xdr:rowOff>
    </xdr:from>
    <xdr:to>
      <xdr:col>7</xdr:col>
      <xdr:colOff>740284</xdr:colOff>
      <xdr:row>13</xdr:row>
      <xdr:rowOff>26820</xdr:rowOff>
    </xdr:to>
    <xdr:cxnSp macro="">
      <xdr:nvCxnSpPr>
        <xdr:cNvPr id="8" name="Conector recto 7">
          <a:extLst>
            <a:ext uri="{FF2B5EF4-FFF2-40B4-BE49-F238E27FC236}">
              <a16:creationId xmlns:a16="http://schemas.microsoft.com/office/drawing/2014/main" id="{10E0F56E-2872-403F-FDDA-49AB5E233E8B}"/>
            </a:ext>
          </a:extLst>
        </xdr:cNvPr>
        <xdr:cNvCxnSpPr/>
      </xdr:nvCxnSpPr>
      <xdr:spPr>
        <a:xfrm rot="9802957">
          <a:off x="4377244" y="2724300"/>
          <a:ext cx="2520000" cy="0"/>
        </a:xfrm>
        <a:prstGeom prst="line">
          <a:avLst/>
        </a:prstGeom>
        <a:gradFill>
          <a:gsLst>
            <a:gs pos="1000">
              <a:srgbClr val="7FC83F">
                <a:alpha val="5000"/>
              </a:srgbClr>
            </a:gs>
            <a:gs pos="18000">
              <a:srgbClr val="489CD1">
                <a:alpha val="5000"/>
              </a:srgbClr>
            </a:gs>
            <a:gs pos="36000">
              <a:srgbClr val="9B2486">
                <a:alpha val="5000"/>
              </a:srgbClr>
            </a:gs>
            <a:gs pos="52000">
              <a:srgbClr val="D33634">
                <a:alpha val="5000"/>
              </a:srgbClr>
            </a:gs>
            <a:gs pos="68000">
              <a:srgbClr val="E93668">
                <a:alpha val="5000"/>
              </a:srgbClr>
            </a:gs>
            <a:gs pos="83000">
              <a:srgbClr val="E46C33">
                <a:alpha val="5000"/>
              </a:srgbClr>
            </a:gs>
            <a:gs pos="95000">
              <a:srgbClr val="F5C248">
                <a:alpha val="5000"/>
              </a:srgbClr>
            </a:gs>
          </a:gsLst>
        </a:gradFill>
        <a:ln w="36000">
          <a:gradFill>
            <a:gsLst>
              <a:gs pos="1000">
                <a:srgbClr val="7FC83F"/>
              </a:gs>
              <a:gs pos="18000">
                <a:srgbClr val="489CD1"/>
              </a:gs>
              <a:gs pos="36000">
                <a:srgbClr val="9B2486"/>
              </a:gs>
              <a:gs pos="52000">
                <a:srgbClr val="D33634"/>
              </a:gs>
              <a:gs pos="68000">
                <a:srgbClr val="E93668"/>
              </a:gs>
              <a:gs pos="83000">
                <a:srgbClr val="E46C33"/>
              </a:gs>
              <a:gs pos="95000">
                <a:srgbClr val="F5C248"/>
              </a:gs>
            </a:gsLst>
          </a:gradFill>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527050</xdr:colOff>
      <xdr:row>22</xdr:row>
      <xdr:rowOff>45050</xdr:rowOff>
    </xdr:from>
    <xdr:to>
      <xdr:col>8</xdr:col>
      <xdr:colOff>347309</xdr:colOff>
      <xdr:row>24</xdr:row>
      <xdr:rowOff>0</xdr:rowOff>
    </xdr:to>
    <xdr:cxnSp macro="">
      <xdr:nvCxnSpPr>
        <xdr:cNvPr id="12" name="Conector recto 11">
          <a:extLst>
            <a:ext uri="{FF2B5EF4-FFF2-40B4-BE49-F238E27FC236}">
              <a16:creationId xmlns:a16="http://schemas.microsoft.com/office/drawing/2014/main" id="{C6113ED9-9F69-22D4-4693-5C50FDDF39B2}"/>
            </a:ext>
          </a:extLst>
        </xdr:cNvPr>
        <xdr:cNvCxnSpPr/>
      </xdr:nvCxnSpPr>
      <xdr:spPr>
        <a:xfrm flipH="1">
          <a:off x="5899150" y="4509100"/>
          <a:ext cx="1604609" cy="355000"/>
        </a:xfrm>
        <a:prstGeom prst="line">
          <a:avLst/>
        </a:prstGeom>
        <a:solidFill>
          <a:srgbClr val="CC0066">
            <a:alpha val="5000"/>
          </a:srgbClr>
        </a:solidFill>
        <a:ln w="36000">
          <a:solidFill>
            <a:srgbClr val="CC0066"/>
          </a:solidFill>
          <a:tailEnd type="arrow"/>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769620</xdr:colOff>
      <xdr:row>3</xdr:row>
      <xdr:rowOff>83820</xdr:rowOff>
    </xdr:from>
    <xdr:to>
      <xdr:col>22</xdr:col>
      <xdr:colOff>297620</xdr:colOff>
      <xdr:row>16</xdr:row>
      <xdr:rowOff>122149</xdr:rowOff>
    </xdr:to>
    <xdr:pic>
      <xdr:nvPicPr>
        <xdr:cNvPr id="2" name="Imagen 1">
          <a:extLst>
            <a:ext uri="{FF2B5EF4-FFF2-40B4-BE49-F238E27FC236}">
              <a16:creationId xmlns:a16="http://schemas.microsoft.com/office/drawing/2014/main" id="{A9D62F5F-0825-4EBC-B56D-F8AC185E9DCD}"/>
            </a:ext>
          </a:extLst>
        </xdr:cNvPr>
        <xdr:cNvPicPr>
          <a:picLocks noChangeAspect="1"/>
        </xdr:cNvPicPr>
      </xdr:nvPicPr>
      <xdr:blipFill>
        <a:blip xmlns:r="http://schemas.openxmlformats.org/officeDocument/2006/relationships" r:embed="rId1"/>
        <a:stretch>
          <a:fillRect/>
        </a:stretch>
      </xdr:blipFill>
      <xdr:spPr>
        <a:xfrm>
          <a:off x="13464540" y="777240"/>
          <a:ext cx="5075360" cy="2644369"/>
        </a:xfrm>
        <a:prstGeom prst="rect">
          <a:avLst/>
        </a:prstGeom>
      </xdr:spPr>
    </xdr:pic>
    <xdr:clientData/>
  </xdr:twoCellAnchor>
  <xdr:twoCellAnchor editAs="oneCell">
    <xdr:from>
      <xdr:col>11</xdr:col>
      <xdr:colOff>410210</xdr:colOff>
      <xdr:row>39</xdr:row>
      <xdr:rowOff>88900</xdr:rowOff>
    </xdr:from>
    <xdr:to>
      <xdr:col>18</xdr:col>
      <xdr:colOff>747270</xdr:colOff>
      <xdr:row>68</xdr:row>
      <xdr:rowOff>116078</xdr:rowOff>
    </xdr:to>
    <xdr:pic>
      <xdr:nvPicPr>
        <xdr:cNvPr id="3" name="Imagen 2">
          <a:extLst>
            <a:ext uri="{FF2B5EF4-FFF2-40B4-BE49-F238E27FC236}">
              <a16:creationId xmlns:a16="http://schemas.microsoft.com/office/drawing/2014/main" id="{1D3BF270-3434-4CF6-A272-D6BDAB5FA0BE}"/>
            </a:ext>
          </a:extLst>
        </xdr:cNvPr>
        <xdr:cNvPicPr>
          <a:picLocks noChangeAspect="1"/>
        </xdr:cNvPicPr>
      </xdr:nvPicPr>
      <xdr:blipFill>
        <a:blip xmlns:r="http://schemas.openxmlformats.org/officeDocument/2006/relationships" r:embed="rId2"/>
        <a:stretch>
          <a:fillRect/>
        </a:stretch>
      </xdr:blipFill>
      <xdr:spPr>
        <a:xfrm>
          <a:off x="9935210" y="8143240"/>
          <a:ext cx="5884420" cy="5864098"/>
        </a:xfrm>
        <a:prstGeom prst="rect">
          <a:avLst/>
        </a:prstGeom>
      </xdr:spPr>
    </xdr:pic>
    <xdr:clientData/>
  </xdr:twoCellAnchor>
  <xdr:twoCellAnchor editAs="oneCell">
    <xdr:from>
      <xdr:col>14</xdr:col>
      <xdr:colOff>613904</xdr:colOff>
      <xdr:row>9</xdr:row>
      <xdr:rowOff>57760</xdr:rowOff>
    </xdr:from>
    <xdr:to>
      <xdr:col>20</xdr:col>
      <xdr:colOff>660040</xdr:colOff>
      <xdr:row>41</xdr:row>
      <xdr:rowOff>10512</xdr:rowOff>
    </xdr:to>
    <xdr:pic>
      <xdr:nvPicPr>
        <xdr:cNvPr id="4" name="Imagen 3">
          <a:extLst>
            <a:ext uri="{FF2B5EF4-FFF2-40B4-BE49-F238E27FC236}">
              <a16:creationId xmlns:a16="http://schemas.microsoft.com/office/drawing/2014/main" id="{EE4F435C-35BB-4675-B4F7-501D5968EF8F}"/>
            </a:ext>
          </a:extLst>
        </xdr:cNvPr>
        <xdr:cNvPicPr>
          <a:picLocks noChangeAspect="1"/>
        </xdr:cNvPicPr>
      </xdr:nvPicPr>
      <xdr:blipFill>
        <a:blip xmlns:r="http://schemas.openxmlformats.org/officeDocument/2006/relationships" r:embed="rId3"/>
        <a:stretch>
          <a:fillRect/>
        </a:stretch>
      </xdr:blipFill>
      <xdr:spPr>
        <a:xfrm>
          <a:off x="12480322" y="1976615"/>
          <a:ext cx="4784391" cy="6609861"/>
        </a:xfrm>
        <a:prstGeom prst="rect">
          <a:avLst/>
        </a:prstGeom>
      </xdr:spPr>
    </xdr:pic>
    <xdr:clientData/>
  </xdr:twoCellAnchor>
  <xdr:twoCellAnchor>
    <xdr:from>
      <xdr:col>5</xdr:col>
      <xdr:colOff>186244</xdr:colOff>
      <xdr:row>13</xdr:row>
      <xdr:rowOff>26820</xdr:rowOff>
    </xdr:from>
    <xdr:to>
      <xdr:col>7</xdr:col>
      <xdr:colOff>740284</xdr:colOff>
      <xdr:row>13</xdr:row>
      <xdr:rowOff>26820</xdr:rowOff>
    </xdr:to>
    <xdr:cxnSp macro="">
      <xdr:nvCxnSpPr>
        <xdr:cNvPr id="5" name="Conector recto 4">
          <a:extLst>
            <a:ext uri="{FF2B5EF4-FFF2-40B4-BE49-F238E27FC236}">
              <a16:creationId xmlns:a16="http://schemas.microsoft.com/office/drawing/2014/main" id="{CA5754C9-E6F7-4F4C-B9DC-6E623CB0B21D}"/>
            </a:ext>
          </a:extLst>
        </xdr:cNvPr>
        <xdr:cNvCxnSpPr/>
      </xdr:nvCxnSpPr>
      <xdr:spPr>
        <a:xfrm rot="9802957">
          <a:off x="4377244" y="2724300"/>
          <a:ext cx="2520000" cy="0"/>
        </a:xfrm>
        <a:prstGeom prst="line">
          <a:avLst/>
        </a:prstGeom>
        <a:gradFill>
          <a:gsLst>
            <a:gs pos="1000">
              <a:srgbClr val="7FC83F">
                <a:alpha val="5000"/>
              </a:srgbClr>
            </a:gs>
            <a:gs pos="18000">
              <a:srgbClr val="489CD1">
                <a:alpha val="5000"/>
              </a:srgbClr>
            </a:gs>
            <a:gs pos="36000">
              <a:srgbClr val="9B2486">
                <a:alpha val="5000"/>
              </a:srgbClr>
            </a:gs>
            <a:gs pos="52000">
              <a:srgbClr val="D33634">
                <a:alpha val="5000"/>
              </a:srgbClr>
            </a:gs>
            <a:gs pos="68000">
              <a:srgbClr val="E93668">
                <a:alpha val="5000"/>
              </a:srgbClr>
            </a:gs>
            <a:gs pos="83000">
              <a:srgbClr val="E46C33">
                <a:alpha val="5000"/>
              </a:srgbClr>
            </a:gs>
            <a:gs pos="95000">
              <a:srgbClr val="F5C248">
                <a:alpha val="5000"/>
              </a:srgbClr>
            </a:gs>
          </a:gsLst>
        </a:gradFill>
        <a:ln w="36000">
          <a:gradFill>
            <a:gsLst>
              <a:gs pos="1000">
                <a:srgbClr val="7FC83F"/>
              </a:gs>
              <a:gs pos="18000">
                <a:srgbClr val="489CD1"/>
              </a:gs>
              <a:gs pos="36000">
                <a:srgbClr val="9B2486"/>
              </a:gs>
              <a:gs pos="52000">
                <a:srgbClr val="D33634"/>
              </a:gs>
              <a:gs pos="68000">
                <a:srgbClr val="E93668"/>
              </a:gs>
              <a:gs pos="83000">
                <a:srgbClr val="E46C33"/>
              </a:gs>
              <a:gs pos="95000">
                <a:srgbClr val="F5C248"/>
              </a:gs>
            </a:gsLst>
          </a:gradFill>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346363</xdr:colOff>
      <xdr:row>22</xdr:row>
      <xdr:rowOff>6927</xdr:rowOff>
    </xdr:from>
    <xdr:to>
      <xdr:col>8</xdr:col>
      <xdr:colOff>166254</xdr:colOff>
      <xdr:row>23</xdr:row>
      <xdr:rowOff>166254</xdr:rowOff>
    </xdr:to>
    <xdr:cxnSp macro="">
      <xdr:nvCxnSpPr>
        <xdr:cNvPr id="6" name="Conector recto 5">
          <a:extLst>
            <a:ext uri="{FF2B5EF4-FFF2-40B4-BE49-F238E27FC236}">
              <a16:creationId xmlns:a16="http://schemas.microsoft.com/office/drawing/2014/main" id="{51487075-1AE8-498D-817C-3F4422C5A1BF}"/>
            </a:ext>
          </a:extLst>
        </xdr:cNvPr>
        <xdr:cNvCxnSpPr/>
      </xdr:nvCxnSpPr>
      <xdr:spPr>
        <a:xfrm flipH="1">
          <a:off x="6483927" y="4648200"/>
          <a:ext cx="810491" cy="367145"/>
        </a:xfrm>
        <a:prstGeom prst="line">
          <a:avLst/>
        </a:prstGeom>
        <a:solidFill>
          <a:srgbClr val="CC0066">
            <a:alpha val="5000"/>
          </a:srgbClr>
        </a:solidFill>
        <a:ln w="36000">
          <a:solidFill>
            <a:srgbClr val="CC0066"/>
          </a:solidFill>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41563</xdr:colOff>
      <xdr:row>16</xdr:row>
      <xdr:rowOff>55419</xdr:rowOff>
    </xdr:from>
    <xdr:to>
      <xdr:col>13</xdr:col>
      <xdr:colOff>741218</xdr:colOff>
      <xdr:row>17</xdr:row>
      <xdr:rowOff>159328</xdr:rowOff>
    </xdr:to>
    <xdr:sp macro="" textlink="">
      <xdr:nvSpPr>
        <xdr:cNvPr id="7" name="Corchetes 6">
          <a:extLst>
            <a:ext uri="{FF2B5EF4-FFF2-40B4-BE49-F238E27FC236}">
              <a16:creationId xmlns:a16="http://schemas.microsoft.com/office/drawing/2014/main" id="{883C3AB8-8AF7-D455-EF14-8D7959691EB4}"/>
            </a:ext>
          </a:extLst>
        </xdr:cNvPr>
        <xdr:cNvSpPr/>
      </xdr:nvSpPr>
      <xdr:spPr>
        <a:xfrm>
          <a:off x="7959436" y="3394364"/>
          <a:ext cx="3858491" cy="304800"/>
        </a:xfrm>
        <a:prstGeom prst="bracketPair">
          <a:avLst/>
        </a:prstGeom>
        <a:ln w="28575">
          <a:solidFill>
            <a:srgbClr val="0000CC"/>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6</xdr:col>
      <xdr:colOff>595745</xdr:colOff>
      <xdr:row>20</xdr:row>
      <xdr:rowOff>145472</xdr:rowOff>
    </xdr:from>
    <xdr:to>
      <xdr:col>10</xdr:col>
      <xdr:colOff>62345</xdr:colOff>
      <xdr:row>22</xdr:row>
      <xdr:rowOff>48490</xdr:rowOff>
    </xdr:to>
    <xdr:sp macro="" textlink="">
      <xdr:nvSpPr>
        <xdr:cNvPr id="8" name="Corchetes 7">
          <a:extLst>
            <a:ext uri="{FF2B5EF4-FFF2-40B4-BE49-F238E27FC236}">
              <a16:creationId xmlns:a16="http://schemas.microsoft.com/office/drawing/2014/main" id="{F2B1031B-B478-428A-83A0-2EFC05A08507}"/>
            </a:ext>
          </a:extLst>
        </xdr:cNvPr>
        <xdr:cNvSpPr/>
      </xdr:nvSpPr>
      <xdr:spPr>
        <a:xfrm>
          <a:off x="5943600" y="4384963"/>
          <a:ext cx="2826327" cy="304800"/>
        </a:xfrm>
        <a:prstGeom prst="bracketPair">
          <a:avLst/>
        </a:prstGeom>
        <a:ln w="28575">
          <a:solidFill>
            <a:srgbClr val="0000CC"/>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s-CR" sz="1100"/>
        </a:p>
      </xdr:txBody>
    </xdr:sp>
    <xdr:clientData/>
  </xdr:twoCellAnchor>
</xdr:wsDr>
</file>

<file path=xl/persons/person.xml><?xml version="1.0" encoding="utf-8"?>
<personList xmlns="http://schemas.microsoft.com/office/spreadsheetml/2018/threadedcomments" xmlns:x="http://schemas.openxmlformats.org/spreadsheetml/2006/main">
  <person displayName="MORALES ESPINOZA FERNANDA VALENTINA" id="{14A11EBF-08FC-4E27-8677-9FE32E4CBD4E}" userId="S::fernanda.morales0100@uhispano.ac.cr::ec3cedbd-9f1f-46f5-aaa3-8609e9c4c948"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0" dT="2026-03-11T15:36:57.67" personId="{14A11EBF-08FC-4E27-8677-9FE32E4CBD4E}" id="{AB8774A3-88E7-4603-9D57-78F286A60FF1}">
    <text>Este dato se toma del Estado de Resultados</text>
  </threadedComment>
  <threadedComment ref="H12" dT="2026-03-11T15:37:45.55" personId="{14A11EBF-08FC-4E27-8677-9FE32E4CBD4E}" id="{A8C29AC8-E6D9-43D9-BE8D-FECA7B598B0E}">
    <text>Información del Balance General</text>
  </threadedComment>
</ThreadedComments>
</file>

<file path=xl/threadedComments/threadedComment2.xml><?xml version="1.0" encoding="utf-8"?>
<ThreadedComments xmlns="http://schemas.microsoft.com/office/spreadsheetml/2018/threadedcomments" xmlns:x="http://schemas.openxmlformats.org/spreadsheetml/2006/main">
  <threadedComment ref="C7" dT="2026-03-11T15:36:57.67" personId="{14A11EBF-08FC-4E27-8677-9FE32E4CBD4E}" id="{CC619BFB-3481-4879-8027-B9D7676C708C}">
    <text>Este dato se toma del Estado de Resultados</text>
  </threadedComment>
  <threadedComment ref="G9" dT="2026-03-11T15:37:45.55" personId="{14A11EBF-08FC-4E27-8677-9FE32E4CBD4E}" id="{6AAD5FFB-E276-47D7-9B48-6DD4AB001865}">
    <text>Información del Balance General</text>
  </threadedComment>
</ThreadedComments>
</file>

<file path=xl/threadedComments/threadedComment3.xml><?xml version="1.0" encoding="utf-8"?>
<ThreadedComments xmlns="http://schemas.microsoft.com/office/spreadsheetml/2018/threadedcomments" xmlns:x="http://schemas.openxmlformats.org/spreadsheetml/2006/main">
  <threadedComment ref="C22" dT="2026-03-11T17:00:34.17" personId="{14A11EBF-08FC-4E27-8677-9FE32E4CBD4E}" id="{2A53A3A4-FCA4-4F83-8D73-B544B12470B1}">
    <text>Los datos salen del Balance General</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E7D03-65AD-4C1C-9CE9-4F1EEFE78202}">
  <dimension ref="C3:N39"/>
  <sheetViews>
    <sheetView topLeftCell="A9" workbookViewId="0">
      <selection activeCell="H16" sqref="H16"/>
    </sheetView>
  </sheetViews>
  <sheetFormatPr baseColWidth="10" defaultRowHeight="15.6" x14ac:dyDescent="0.3"/>
  <cols>
    <col min="1" max="3" width="11.5546875" style="1"/>
    <col min="4" max="4" width="14.88671875" style="1" bestFit="1" customWidth="1"/>
    <col min="5" max="5" width="11.5546875" style="1"/>
    <col min="6" max="6" width="14.88671875" style="1" bestFit="1" customWidth="1"/>
    <col min="7" max="16384" width="11.5546875" style="1"/>
  </cols>
  <sheetData>
    <row r="3" spans="3:14" ht="23.4" thickBot="1" x14ac:dyDescent="0.45">
      <c r="C3" s="69" t="s">
        <v>0</v>
      </c>
      <c r="D3" s="69"/>
      <c r="E3" s="69"/>
      <c r="F3" s="69"/>
      <c r="G3" s="69"/>
      <c r="H3" s="69"/>
      <c r="I3" s="69"/>
      <c r="J3" s="69"/>
      <c r="K3" s="69"/>
      <c r="L3" s="69"/>
      <c r="M3" s="69"/>
      <c r="N3" s="69"/>
    </row>
    <row r="4" spans="3:14" ht="16.2" thickTop="1" x14ac:dyDescent="0.3"/>
    <row r="5" spans="3:14" x14ac:dyDescent="0.3">
      <c r="C5" s="5" t="s">
        <v>8</v>
      </c>
    </row>
    <row r="6" spans="3:14" x14ac:dyDescent="0.3">
      <c r="C6" s="5"/>
    </row>
    <row r="7" spans="3:14" x14ac:dyDescent="0.3">
      <c r="C7" s="5"/>
    </row>
    <row r="8" spans="3:14" x14ac:dyDescent="0.3">
      <c r="C8" s="5"/>
      <c r="D8" s="119" t="s">
        <v>77</v>
      </c>
      <c r="E8" s="119"/>
      <c r="F8" s="119"/>
      <c r="H8" s="125" t="s">
        <v>78</v>
      </c>
      <c r="I8" s="125"/>
      <c r="J8" s="124"/>
    </row>
    <row r="9" spans="3:14" x14ac:dyDescent="0.3">
      <c r="D9" s="120"/>
      <c r="E9" s="120"/>
      <c r="F9" s="120"/>
      <c r="H9" s="125"/>
      <c r="I9" s="125"/>
    </row>
    <row r="10" spans="3:14" ht="15.6" customHeight="1" x14ac:dyDescent="0.3">
      <c r="C10" s="71" t="s">
        <v>1</v>
      </c>
      <c r="D10" s="121" t="s">
        <v>2</v>
      </c>
      <c r="E10" s="121"/>
      <c r="F10" s="121"/>
      <c r="G10" s="54" t="s">
        <v>4</v>
      </c>
      <c r="H10" s="126" t="s">
        <v>3</v>
      </c>
      <c r="I10" s="126"/>
      <c r="K10" s="82" t="s">
        <v>2</v>
      </c>
      <c r="L10" s="82"/>
      <c r="M10" s="82"/>
    </row>
    <row r="11" spans="3:14" ht="15.6" customHeight="1" x14ac:dyDescent="0.3">
      <c r="C11" s="71"/>
      <c r="D11" s="122"/>
      <c r="E11" s="122"/>
      <c r="F11" s="122"/>
      <c r="G11" s="54"/>
      <c r="H11" s="126"/>
      <c r="I11" s="126"/>
      <c r="J11" s="1" t="s">
        <v>6</v>
      </c>
      <c r="K11" s="52"/>
      <c r="L11" s="52"/>
      <c r="M11" s="52"/>
    </row>
    <row r="12" spans="3:14" ht="15.6" customHeight="1" x14ac:dyDescent="0.3">
      <c r="C12" s="71"/>
      <c r="D12" s="123" t="s">
        <v>3</v>
      </c>
      <c r="E12" s="123"/>
      <c r="F12" s="123"/>
      <c r="H12" s="127" t="s">
        <v>5</v>
      </c>
      <c r="I12" s="127"/>
      <c r="K12" s="70" t="s">
        <v>5</v>
      </c>
      <c r="L12" s="70"/>
      <c r="M12" s="70"/>
    </row>
    <row r="15" spans="3:14" x14ac:dyDescent="0.3">
      <c r="C15" s="72" t="s">
        <v>9</v>
      </c>
      <c r="D15" s="72"/>
      <c r="E15" s="72"/>
      <c r="F15" s="72"/>
    </row>
    <row r="17" spans="3:11" x14ac:dyDescent="0.3">
      <c r="C17" s="2" t="s">
        <v>1</v>
      </c>
      <c r="D17" s="7">
        <v>221000</v>
      </c>
      <c r="E17" s="2" t="s">
        <v>4</v>
      </c>
      <c r="F17" s="7">
        <v>3074000</v>
      </c>
    </row>
    <row r="18" spans="3:11" x14ac:dyDescent="0.3">
      <c r="D18" s="6">
        <v>3074000</v>
      </c>
      <c r="F18" s="6">
        <v>3597000</v>
      </c>
    </row>
    <row r="20" spans="3:11" x14ac:dyDescent="0.3">
      <c r="C20" s="2" t="s">
        <v>1</v>
      </c>
      <c r="D20" s="8">
        <f>+D17/D18</f>
        <v>7.1893298633702016E-2</v>
      </c>
      <c r="E20" s="1" t="s">
        <v>4</v>
      </c>
      <c r="F20" s="6">
        <f>+F17/F18</f>
        <v>0.85460105643591877</v>
      </c>
    </row>
    <row r="22" spans="3:11" x14ac:dyDescent="0.3">
      <c r="C22" s="2" t="s">
        <v>1</v>
      </c>
      <c r="D22" s="8">
        <f>+D20*F20</f>
        <v>6.144008896302474E-2</v>
      </c>
    </row>
    <row r="24" spans="3:11" ht="16.2" thickBot="1" x14ac:dyDescent="0.35"/>
    <row r="25" spans="3:11" ht="15.6" customHeight="1" x14ac:dyDescent="0.3">
      <c r="C25" s="73" t="s">
        <v>11</v>
      </c>
      <c r="D25" s="74"/>
      <c r="E25" s="74"/>
      <c r="F25" s="74"/>
      <c r="G25" s="74"/>
      <c r="H25" s="74"/>
      <c r="I25" s="74"/>
      <c r="J25" s="74"/>
      <c r="K25" s="75"/>
    </row>
    <row r="26" spans="3:11" x14ac:dyDescent="0.3">
      <c r="C26" s="76"/>
      <c r="D26" s="77"/>
      <c r="E26" s="77"/>
      <c r="F26" s="77"/>
      <c r="G26" s="77"/>
      <c r="H26" s="77"/>
      <c r="I26" s="77"/>
      <c r="J26" s="77"/>
      <c r="K26" s="78"/>
    </row>
    <row r="27" spans="3:11" x14ac:dyDescent="0.3">
      <c r="C27" s="76"/>
      <c r="D27" s="77"/>
      <c r="E27" s="77"/>
      <c r="F27" s="77"/>
      <c r="G27" s="77"/>
      <c r="H27" s="77"/>
      <c r="I27" s="77"/>
      <c r="J27" s="77"/>
      <c r="K27" s="78"/>
    </row>
    <row r="28" spans="3:11" ht="16.2" thickBot="1" x14ac:dyDescent="0.35">
      <c r="C28" s="79"/>
      <c r="D28" s="80"/>
      <c r="E28" s="80"/>
      <c r="F28" s="80"/>
      <c r="G28" s="80"/>
      <c r="H28" s="80"/>
      <c r="I28" s="80"/>
      <c r="J28" s="80"/>
      <c r="K28" s="81"/>
    </row>
    <row r="32" spans="3:11" x14ac:dyDescent="0.3">
      <c r="C32" s="72" t="s">
        <v>10</v>
      </c>
      <c r="D32" s="72"/>
      <c r="E32" s="72"/>
      <c r="F32" s="72"/>
    </row>
    <row r="34" spans="3:6" x14ac:dyDescent="0.3">
      <c r="C34" s="2" t="s">
        <v>1</v>
      </c>
      <c r="D34" s="7">
        <v>138000</v>
      </c>
      <c r="E34" s="2" t="s">
        <v>4</v>
      </c>
      <c r="F34" s="7">
        <v>2567000</v>
      </c>
    </row>
    <row r="35" spans="3:6" x14ac:dyDescent="0.3">
      <c r="D35" s="6">
        <v>2567000</v>
      </c>
      <c r="F35" s="6">
        <v>3270000</v>
      </c>
    </row>
    <row r="37" spans="3:6" x14ac:dyDescent="0.3">
      <c r="C37" s="2" t="s">
        <v>1</v>
      </c>
      <c r="D37" s="8">
        <f>+D34/D35</f>
        <v>5.3759252045188936E-2</v>
      </c>
      <c r="E37" s="1" t="s">
        <v>4</v>
      </c>
      <c r="F37" s="6">
        <f>+F34/F35</f>
        <v>0.78501529051987773</v>
      </c>
    </row>
    <row r="39" spans="3:6" x14ac:dyDescent="0.3">
      <c r="C39" s="2" t="s">
        <v>1</v>
      </c>
      <c r="D39" s="8">
        <f>+D37*F37</f>
        <v>4.2201834862385323E-2</v>
      </c>
    </row>
  </sheetData>
  <mergeCells count="14">
    <mergeCell ref="D8:F8"/>
    <mergeCell ref="H8:I9"/>
    <mergeCell ref="C3:N3"/>
    <mergeCell ref="D10:F11"/>
    <mergeCell ref="D12:F12"/>
    <mergeCell ref="H10:I11"/>
    <mergeCell ref="H12:I12"/>
    <mergeCell ref="G10:G11"/>
    <mergeCell ref="K10:M11"/>
    <mergeCell ref="K12:M12"/>
    <mergeCell ref="C10:C12"/>
    <mergeCell ref="C15:F15"/>
    <mergeCell ref="C32:F32"/>
    <mergeCell ref="C25:K28"/>
  </mergeCell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1D463-59C8-4124-A522-9DC3566EED30}">
  <dimension ref="B2:AF60"/>
  <sheetViews>
    <sheetView zoomScaleNormal="100" workbookViewId="0">
      <selection activeCell="G9" sqref="G9:H9"/>
    </sheetView>
  </sheetViews>
  <sheetFormatPr baseColWidth="10" defaultRowHeight="15.6" x14ac:dyDescent="0.3"/>
  <cols>
    <col min="1" max="2" width="11.5546875" style="1"/>
    <col min="3" max="3" width="14.88671875" style="1" bestFit="1" customWidth="1"/>
    <col min="4" max="4" width="11.5546875" style="1"/>
    <col min="5" max="5" width="14.88671875" style="1" bestFit="1" customWidth="1"/>
    <col min="6" max="7" width="11.5546875" style="1"/>
    <col min="8" max="8" width="14.88671875" style="1" bestFit="1" customWidth="1"/>
    <col min="9" max="9" width="12.21875" style="1" bestFit="1" customWidth="1"/>
    <col min="10" max="10" width="14.88671875" style="1" bestFit="1" customWidth="1"/>
    <col min="11" max="11" width="12.21875" style="1" customWidth="1"/>
    <col min="12" max="20" width="11.5546875" style="1"/>
    <col min="21" max="21" width="12" style="1" bestFit="1" customWidth="1"/>
    <col min="22" max="30" width="11.5546875" style="1"/>
    <col min="31" max="31" width="12" style="1" bestFit="1" customWidth="1"/>
    <col min="32" max="16384" width="11.5546875" style="1"/>
  </cols>
  <sheetData>
    <row r="2" spans="2:23" ht="23.4" thickBot="1" x14ac:dyDescent="0.45">
      <c r="B2" s="69" t="s">
        <v>0</v>
      </c>
      <c r="C2" s="69"/>
      <c r="D2" s="69"/>
      <c r="E2" s="69"/>
      <c r="F2" s="69"/>
      <c r="G2" s="69"/>
      <c r="H2" s="69"/>
      <c r="I2" s="69"/>
      <c r="J2" s="69"/>
      <c r="K2" s="69"/>
      <c r="L2" s="69"/>
      <c r="M2" s="69"/>
      <c r="N2" s="69"/>
      <c r="O2" s="69"/>
      <c r="P2" s="69"/>
    </row>
    <row r="3" spans="2:23" ht="16.8" thickTop="1" thickBot="1" x14ac:dyDescent="0.35"/>
    <row r="4" spans="2:23" x14ac:dyDescent="0.3">
      <c r="N4" s="102" t="s">
        <v>17</v>
      </c>
      <c r="O4" s="103"/>
      <c r="P4" s="103"/>
      <c r="Q4" s="103"/>
      <c r="R4" s="103"/>
      <c r="S4" s="103"/>
      <c r="T4" s="103"/>
      <c r="U4" s="103"/>
      <c r="V4" s="103"/>
      <c r="W4" s="104"/>
    </row>
    <row r="5" spans="2:23" x14ac:dyDescent="0.3">
      <c r="B5" s="5" t="s">
        <v>39</v>
      </c>
      <c r="G5" s="1" t="s">
        <v>73</v>
      </c>
      <c r="I5" s="110">
        <v>1800</v>
      </c>
      <c r="J5" s="110"/>
      <c r="K5" s="110"/>
      <c r="N5" s="105"/>
      <c r="O5" s="106"/>
      <c r="P5" s="106"/>
      <c r="Q5" s="106"/>
      <c r="R5" s="106"/>
      <c r="S5" s="106"/>
      <c r="T5" s="106"/>
      <c r="U5" s="106"/>
      <c r="V5" s="106"/>
      <c r="W5" s="107"/>
    </row>
    <row r="6" spans="2:23" x14ac:dyDescent="0.3">
      <c r="N6" s="9"/>
      <c r="O6" s="87" t="s">
        <v>13</v>
      </c>
      <c r="P6" s="87"/>
      <c r="Q6" s="87"/>
      <c r="R6" s="87"/>
      <c r="S6" s="87"/>
      <c r="T6" s="109" t="s">
        <v>18</v>
      </c>
      <c r="U6" s="109"/>
      <c r="V6" s="109"/>
      <c r="W6" s="10"/>
    </row>
    <row r="7" spans="2:23" ht="16.2" customHeight="1" thickBot="1" x14ac:dyDescent="0.35">
      <c r="B7" s="71" t="s">
        <v>1</v>
      </c>
      <c r="C7" s="82" t="s">
        <v>2</v>
      </c>
      <c r="D7" s="82"/>
      <c r="E7" s="82"/>
      <c r="F7" s="54" t="s">
        <v>4</v>
      </c>
      <c r="G7" s="56" t="s">
        <v>3</v>
      </c>
      <c r="H7" s="56"/>
      <c r="J7" s="82" t="s">
        <v>2</v>
      </c>
      <c r="K7" s="82"/>
      <c r="L7" s="82"/>
      <c r="M7" s="3"/>
      <c r="N7" s="9"/>
      <c r="O7" s="108"/>
      <c r="P7" s="108"/>
      <c r="Q7" s="108"/>
      <c r="R7" s="108"/>
      <c r="S7" s="108"/>
      <c r="T7" s="11">
        <v>2022</v>
      </c>
      <c r="U7" s="11"/>
      <c r="V7" s="11">
        <v>2021</v>
      </c>
      <c r="W7" s="10"/>
    </row>
    <row r="8" spans="2:23" x14ac:dyDescent="0.3">
      <c r="B8" s="71"/>
      <c r="C8" s="52"/>
      <c r="D8" s="52"/>
      <c r="E8" s="52"/>
      <c r="F8" s="54"/>
      <c r="G8" s="56"/>
      <c r="H8" s="56"/>
      <c r="I8" s="1" t="s">
        <v>6</v>
      </c>
      <c r="J8" s="52"/>
      <c r="K8" s="52"/>
      <c r="L8" s="52"/>
      <c r="M8" s="111"/>
      <c r="N8" s="9"/>
      <c r="O8" s="83" t="s">
        <v>19</v>
      </c>
      <c r="P8" s="83"/>
      <c r="Q8" s="83"/>
      <c r="R8" s="83"/>
      <c r="S8" s="83"/>
      <c r="T8" s="12">
        <v>1200</v>
      </c>
      <c r="U8" s="12"/>
      <c r="V8" s="12">
        <v>1000</v>
      </c>
      <c r="W8" s="10"/>
    </row>
    <row r="9" spans="2:23" x14ac:dyDescent="0.3">
      <c r="B9" s="71"/>
      <c r="C9" s="34" t="s">
        <v>3</v>
      </c>
      <c r="D9" s="34"/>
      <c r="E9" s="34"/>
      <c r="G9" s="70" t="s">
        <v>5</v>
      </c>
      <c r="H9" s="70"/>
      <c r="J9" s="70" t="s">
        <v>5</v>
      </c>
      <c r="K9" s="70"/>
      <c r="L9" s="70"/>
      <c r="M9" s="112"/>
      <c r="N9" s="9"/>
      <c r="O9" s="83" t="s">
        <v>14</v>
      </c>
      <c r="P9" s="83"/>
      <c r="Q9" s="83"/>
      <c r="R9" s="83"/>
      <c r="S9" s="83"/>
      <c r="T9" s="12">
        <v>500</v>
      </c>
      <c r="U9" s="12"/>
      <c r="V9" s="12">
        <v>600</v>
      </c>
      <c r="W9" s="10"/>
    </row>
    <row r="10" spans="2:23" x14ac:dyDescent="0.3">
      <c r="N10" s="9"/>
      <c r="O10" s="83" t="s">
        <v>15</v>
      </c>
      <c r="P10" s="83"/>
      <c r="Q10" s="83"/>
      <c r="R10" s="83"/>
      <c r="S10" s="83"/>
      <c r="T10" s="13">
        <v>700</v>
      </c>
      <c r="U10" s="12"/>
      <c r="V10" s="13">
        <v>800</v>
      </c>
      <c r="W10" s="10"/>
    </row>
    <row r="11" spans="2:23" x14ac:dyDescent="0.3">
      <c r="N11" s="9"/>
      <c r="O11" s="34" t="s">
        <v>20</v>
      </c>
      <c r="P11" s="34"/>
      <c r="Q11" s="34"/>
      <c r="R11" s="34"/>
      <c r="S11" s="34"/>
      <c r="T11" s="13">
        <f>+T8+T9+T10</f>
        <v>2400</v>
      </c>
      <c r="U11" s="12"/>
      <c r="V11" s="13">
        <f>+V8+V9+V10</f>
        <v>2400</v>
      </c>
      <c r="W11" s="10"/>
    </row>
    <row r="12" spans="2:23" x14ac:dyDescent="0.3">
      <c r="B12" s="72" t="s">
        <v>75</v>
      </c>
      <c r="C12" s="72"/>
      <c r="D12" s="72"/>
      <c r="E12" s="72"/>
      <c r="G12" s="72" t="s">
        <v>76</v>
      </c>
      <c r="H12" s="72"/>
      <c r="I12" s="72"/>
      <c r="J12" s="72"/>
      <c r="N12" s="9"/>
      <c r="O12" s="83" t="s">
        <v>21</v>
      </c>
      <c r="P12" s="83"/>
      <c r="Q12" s="83"/>
      <c r="R12" s="83"/>
      <c r="S12" s="83"/>
      <c r="T12" s="12">
        <v>1100</v>
      </c>
      <c r="U12" s="12"/>
      <c r="V12" s="12">
        <v>1050</v>
      </c>
      <c r="W12" s="10"/>
    </row>
    <row r="13" spans="2:23" x14ac:dyDescent="0.3">
      <c r="N13" s="9"/>
      <c r="O13" s="97" t="s">
        <v>22</v>
      </c>
      <c r="P13" s="97"/>
      <c r="Q13" s="97"/>
      <c r="R13" s="97"/>
      <c r="S13" s="97"/>
      <c r="T13" s="94">
        <v>1100</v>
      </c>
      <c r="U13" s="12"/>
      <c r="V13" s="94">
        <v>1200</v>
      </c>
      <c r="W13" s="10"/>
    </row>
    <row r="14" spans="2:23" x14ac:dyDescent="0.3">
      <c r="B14" s="2" t="s">
        <v>1</v>
      </c>
      <c r="C14" s="7">
        <v>113000</v>
      </c>
      <c r="D14" s="2" t="s">
        <v>4</v>
      </c>
      <c r="E14" s="7">
        <v>1800000</v>
      </c>
      <c r="G14" s="2" t="s">
        <v>1</v>
      </c>
      <c r="H14" s="7">
        <v>233000</v>
      </c>
      <c r="I14" s="2" t="s">
        <v>4</v>
      </c>
      <c r="J14" s="7">
        <v>2000000</v>
      </c>
      <c r="N14" s="9"/>
      <c r="O14" s="97"/>
      <c r="P14" s="97"/>
      <c r="Q14" s="97"/>
      <c r="R14" s="97"/>
      <c r="S14" s="97"/>
      <c r="T14" s="101"/>
      <c r="U14" s="12"/>
      <c r="V14" s="101"/>
      <c r="W14" s="10"/>
    </row>
    <row r="15" spans="2:23" x14ac:dyDescent="0.3">
      <c r="C15" s="6">
        <v>1800000</v>
      </c>
      <c r="E15" s="6">
        <v>3300000</v>
      </c>
      <c r="H15" s="6">
        <v>2000000</v>
      </c>
      <c r="J15" s="6">
        <v>3450000</v>
      </c>
      <c r="N15" s="9"/>
      <c r="O15" s="82" t="s">
        <v>23</v>
      </c>
      <c r="P15" s="82"/>
      <c r="Q15" s="82"/>
      <c r="R15" s="82"/>
      <c r="S15" s="82"/>
      <c r="T15" s="12">
        <f>+T12+T13</f>
        <v>2200</v>
      </c>
      <c r="U15" s="12"/>
      <c r="V15" s="12">
        <f>+V12+V13</f>
        <v>2250</v>
      </c>
      <c r="W15" s="10"/>
    </row>
    <row r="16" spans="2:23" x14ac:dyDescent="0.3">
      <c r="N16" s="9"/>
      <c r="O16" s="83" t="s">
        <v>24</v>
      </c>
      <c r="P16" s="83"/>
      <c r="Q16" s="83"/>
      <c r="R16" s="83"/>
      <c r="S16" s="83"/>
      <c r="T16" s="13">
        <v>1150</v>
      </c>
      <c r="U16" s="12"/>
      <c r="V16" s="13">
        <v>1350</v>
      </c>
      <c r="W16" s="10"/>
    </row>
    <row r="17" spans="2:23" x14ac:dyDescent="0.3">
      <c r="B17" s="2" t="s">
        <v>1</v>
      </c>
      <c r="C17" s="8">
        <f>+C14/C15</f>
        <v>6.277777777777778E-2</v>
      </c>
      <c r="D17" s="1" t="s">
        <v>4</v>
      </c>
      <c r="E17" s="6">
        <f>+E14/E15</f>
        <v>0.54545454545454541</v>
      </c>
      <c r="G17" s="2" t="s">
        <v>1</v>
      </c>
      <c r="H17" s="8">
        <f>+H14/H15</f>
        <v>0.11650000000000001</v>
      </c>
      <c r="I17" s="1" t="s">
        <v>4</v>
      </c>
      <c r="J17" s="6">
        <f>+J14/J15</f>
        <v>0.57971014492753625</v>
      </c>
      <c r="N17" s="9"/>
      <c r="O17" s="34" t="s">
        <v>25</v>
      </c>
      <c r="P17" s="34"/>
      <c r="Q17" s="34"/>
      <c r="R17" s="34"/>
      <c r="S17" s="34"/>
      <c r="T17" s="12">
        <f>+T15-T16</f>
        <v>1050</v>
      </c>
      <c r="U17" s="12"/>
      <c r="V17" s="12">
        <f>+V15-V16</f>
        <v>900</v>
      </c>
      <c r="W17" s="10"/>
    </row>
    <row r="18" spans="2:23" ht="16.2" thickBot="1" x14ac:dyDescent="0.35">
      <c r="N18" s="9"/>
      <c r="O18" s="34" t="s">
        <v>26</v>
      </c>
      <c r="P18" s="34"/>
      <c r="Q18" s="34"/>
      <c r="R18" s="34"/>
      <c r="S18" s="34"/>
      <c r="T18" s="14">
        <f>++T11+T17</f>
        <v>3450</v>
      </c>
      <c r="U18" s="12"/>
      <c r="V18" s="14">
        <f>+V11+V17</f>
        <v>3300</v>
      </c>
      <c r="W18" s="10"/>
    </row>
    <row r="19" spans="2:23" ht="16.8" thickTop="1" thickBot="1" x14ac:dyDescent="0.35">
      <c r="B19" s="115" t="s">
        <v>1</v>
      </c>
      <c r="C19" s="116">
        <f>+C17*E17</f>
        <v>3.4242424242424241E-2</v>
      </c>
      <c r="G19" s="115" t="s">
        <v>1</v>
      </c>
      <c r="H19" s="116">
        <f>+H17*J17</f>
        <v>6.7536231884057982E-2</v>
      </c>
      <c r="N19" s="9"/>
      <c r="O19" s="98"/>
      <c r="P19" s="98"/>
      <c r="Q19" s="98"/>
      <c r="R19" s="98"/>
      <c r="S19" s="98"/>
      <c r="T19" s="98"/>
      <c r="U19" s="98"/>
      <c r="V19" s="98"/>
      <c r="W19" s="10"/>
    </row>
    <row r="20" spans="2:23" ht="16.2" thickBot="1" x14ac:dyDescent="0.35">
      <c r="N20" s="9"/>
      <c r="O20" s="99" t="s">
        <v>27</v>
      </c>
      <c r="P20" s="99"/>
      <c r="Q20" s="99"/>
      <c r="R20" s="99"/>
      <c r="S20" s="99"/>
      <c r="T20" s="99"/>
      <c r="U20" s="99"/>
      <c r="V20" s="99"/>
      <c r="W20" s="10"/>
    </row>
    <row r="21" spans="2:23" x14ac:dyDescent="0.3">
      <c r="N21" s="9"/>
      <c r="O21" s="100" t="s">
        <v>16</v>
      </c>
      <c r="P21" s="100"/>
      <c r="Q21" s="100"/>
      <c r="R21" s="100"/>
      <c r="S21" s="100"/>
      <c r="T21" s="12">
        <v>800</v>
      </c>
      <c r="U21" s="12"/>
      <c r="V21" s="12">
        <v>900</v>
      </c>
      <c r="W21" s="10"/>
    </row>
    <row r="22" spans="2:23" x14ac:dyDescent="0.3">
      <c r="N22" s="9"/>
      <c r="O22" s="97" t="s">
        <v>28</v>
      </c>
      <c r="P22" s="97"/>
      <c r="Q22" s="97"/>
      <c r="R22" s="97"/>
      <c r="S22" s="97"/>
      <c r="T22" s="12">
        <v>700</v>
      </c>
      <c r="U22" s="12"/>
      <c r="V22" s="12">
        <v>800</v>
      </c>
      <c r="W22" s="10"/>
    </row>
    <row r="23" spans="2:23" x14ac:dyDescent="0.3">
      <c r="N23" s="9"/>
      <c r="O23" s="83" t="s">
        <v>29</v>
      </c>
      <c r="P23" s="83"/>
      <c r="Q23" s="83"/>
      <c r="R23" s="83"/>
      <c r="S23" s="83"/>
      <c r="T23" s="13">
        <v>50</v>
      </c>
      <c r="U23" s="12"/>
      <c r="V23" s="13">
        <v>100</v>
      </c>
      <c r="W23" s="10"/>
    </row>
    <row r="24" spans="2:23" x14ac:dyDescent="0.3">
      <c r="N24" s="9"/>
      <c r="O24" s="34" t="s">
        <v>30</v>
      </c>
      <c r="P24" s="34"/>
      <c r="Q24" s="34"/>
      <c r="R24" s="34"/>
      <c r="S24" s="34"/>
      <c r="T24" s="12">
        <f>+T21+T22+T23</f>
        <v>1550</v>
      </c>
      <c r="U24" s="12"/>
      <c r="V24" s="12">
        <f>+V21+V22+V23</f>
        <v>1800</v>
      </c>
      <c r="W24" s="10"/>
    </row>
    <row r="25" spans="2:23" x14ac:dyDescent="0.3">
      <c r="N25" s="9"/>
      <c r="O25" s="83" t="s">
        <v>31</v>
      </c>
      <c r="P25" s="83"/>
      <c r="Q25" s="83"/>
      <c r="R25" s="83"/>
      <c r="S25" s="83"/>
      <c r="T25" s="12">
        <v>700</v>
      </c>
      <c r="U25" s="12"/>
      <c r="V25" s="12">
        <v>500</v>
      </c>
      <c r="W25" s="10"/>
    </row>
    <row r="26" spans="2:23" x14ac:dyDescent="0.3">
      <c r="N26" s="9"/>
      <c r="O26" s="34" t="s">
        <v>32</v>
      </c>
      <c r="P26" s="34"/>
      <c r="Q26" s="34"/>
      <c r="R26" s="34"/>
      <c r="S26" s="34"/>
      <c r="T26" s="13">
        <f>+T24+T25</f>
        <v>2250</v>
      </c>
      <c r="U26" s="12"/>
      <c r="V26" s="13">
        <f>+V24+V25</f>
        <v>2300</v>
      </c>
      <c r="W26" s="10"/>
    </row>
    <row r="27" spans="2:23" x14ac:dyDescent="0.3">
      <c r="N27" s="9"/>
      <c r="O27" s="83" t="s">
        <v>33</v>
      </c>
      <c r="P27" s="83"/>
      <c r="Q27" s="83"/>
      <c r="R27" s="83"/>
      <c r="S27" s="83"/>
      <c r="T27" s="12">
        <v>100</v>
      </c>
      <c r="U27" s="12"/>
      <c r="V27" s="12">
        <v>100</v>
      </c>
      <c r="W27" s="10"/>
    </row>
    <row r="28" spans="2:23" x14ac:dyDescent="0.3">
      <c r="N28" s="9"/>
      <c r="O28" s="97" t="s">
        <v>34</v>
      </c>
      <c r="P28" s="97"/>
      <c r="Q28" s="97"/>
      <c r="R28" s="97"/>
      <c r="S28" s="97"/>
      <c r="T28" s="94">
        <v>170</v>
      </c>
      <c r="U28" s="12"/>
      <c r="V28" s="94">
        <v>170</v>
      </c>
      <c r="W28" s="10"/>
    </row>
    <row r="29" spans="2:23" x14ac:dyDescent="0.3">
      <c r="N29" s="9"/>
      <c r="O29" s="97"/>
      <c r="P29" s="97"/>
      <c r="Q29" s="97"/>
      <c r="R29" s="97"/>
      <c r="S29" s="97"/>
      <c r="T29" s="94"/>
      <c r="U29" s="12"/>
      <c r="V29" s="94"/>
      <c r="W29" s="10"/>
    </row>
    <row r="30" spans="2:23" x14ac:dyDescent="0.3">
      <c r="N30" s="9"/>
      <c r="O30" s="97"/>
      <c r="P30" s="97"/>
      <c r="Q30" s="97"/>
      <c r="R30" s="97"/>
      <c r="S30" s="97"/>
      <c r="T30" s="94"/>
      <c r="U30" s="12"/>
      <c r="V30" s="94"/>
      <c r="W30" s="10"/>
    </row>
    <row r="31" spans="2:23" x14ac:dyDescent="0.3">
      <c r="N31" s="9"/>
      <c r="O31" s="97" t="s">
        <v>35</v>
      </c>
      <c r="P31" s="97"/>
      <c r="Q31" s="97"/>
      <c r="R31" s="97"/>
      <c r="S31" s="97"/>
      <c r="T31" s="94">
        <v>330</v>
      </c>
      <c r="U31" s="12"/>
      <c r="V31" s="94">
        <v>330</v>
      </c>
      <c r="W31" s="10"/>
    </row>
    <row r="32" spans="2:23" x14ac:dyDescent="0.3">
      <c r="N32" s="9"/>
      <c r="O32" s="97"/>
      <c r="P32" s="97"/>
      <c r="Q32" s="97"/>
      <c r="R32" s="97"/>
      <c r="S32" s="97"/>
      <c r="T32" s="94"/>
      <c r="U32" s="12"/>
      <c r="V32" s="94"/>
      <c r="W32" s="10"/>
    </row>
    <row r="33" spans="14:32" x14ac:dyDescent="0.3">
      <c r="N33" s="9"/>
      <c r="O33" s="83" t="s">
        <v>36</v>
      </c>
      <c r="P33" s="83"/>
      <c r="Q33" s="83"/>
      <c r="R33" s="83"/>
      <c r="S33" s="83"/>
      <c r="T33" s="13">
        <v>600</v>
      </c>
      <c r="U33" s="12"/>
      <c r="V33" s="13">
        <v>400</v>
      </c>
      <c r="W33" s="10"/>
    </row>
    <row r="34" spans="14:32" x14ac:dyDescent="0.3">
      <c r="N34" s="9"/>
      <c r="O34" s="82" t="s">
        <v>37</v>
      </c>
      <c r="P34" s="82"/>
      <c r="Q34" s="82"/>
      <c r="R34" s="82"/>
      <c r="S34" s="82"/>
      <c r="T34" s="94">
        <f>+T27+T28+T31+T33</f>
        <v>1200</v>
      </c>
      <c r="U34" s="12"/>
      <c r="V34" s="94">
        <f>+V27+V28+V31+V33</f>
        <v>1000</v>
      </c>
      <c r="W34" s="10"/>
    </row>
    <row r="35" spans="14:32" x14ac:dyDescent="0.3">
      <c r="N35" s="9"/>
      <c r="O35" s="82"/>
      <c r="P35" s="82"/>
      <c r="Q35" s="82"/>
      <c r="R35" s="82"/>
      <c r="S35" s="82"/>
      <c r="T35" s="94"/>
      <c r="U35" s="12"/>
      <c r="V35" s="94"/>
      <c r="W35" s="10"/>
    </row>
    <row r="36" spans="14:32" x14ac:dyDescent="0.3">
      <c r="N36" s="9"/>
      <c r="O36" s="82" t="s">
        <v>38</v>
      </c>
      <c r="P36" s="82"/>
      <c r="Q36" s="82"/>
      <c r="R36" s="82"/>
      <c r="S36" s="82"/>
      <c r="T36" s="95">
        <f>+T26+T34</f>
        <v>3450</v>
      </c>
      <c r="U36" s="12"/>
      <c r="V36" s="95">
        <f>+V26+V34</f>
        <v>3300</v>
      </c>
      <c r="W36" s="10"/>
    </row>
    <row r="37" spans="14:32" ht="16.2" thickBot="1" x14ac:dyDescent="0.35">
      <c r="N37" s="9"/>
      <c r="O37" s="82"/>
      <c r="P37" s="82"/>
      <c r="Q37" s="82"/>
      <c r="R37" s="82"/>
      <c r="S37" s="82"/>
      <c r="T37" s="96"/>
      <c r="U37" s="12"/>
      <c r="V37" s="96"/>
      <c r="W37" s="10"/>
    </row>
    <row r="38" spans="14:32" ht="16.8" thickTop="1" thickBot="1" x14ac:dyDescent="0.35">
      <c r="N38" s="15"/>
      <c r="O38" s="16"/>
      <c r="P38" s="16"/>
      <c r="Q38" s="16"/>
      <c r="R38" s="16"/>
      <c r="S38" s="16"/>
      <c r="T38" s="17"/>
      <c r="U38" s="17"/>
      <c r="V38" s="17"/>
      <c r="W38" s="18"/>
    </row>
    <row r="40" spans="14:32" ht="16.2" thickBot="1" x14ac:dyDescent="0.35"/>
    <row r="41" spans="14:32" x14ac:dyDescent="0.3">
      <c r="N41" s="88" t="s">
        <v>40</v>
      </c>
      <c r="O41" s="89"/>
      <c r="P41" s="89"/>
      <c r="Q41" s="89"/>
      <c r="R41" s="89"/>
      <c r="S41" s="89"/>
      <c r="T41" s="89"/>
      <c r="U41" s="89"/>
      <c r="V41" s="90"/>
      <c r="X41" s="88" t="s">
        <v>74</v>
      </c>
      <c r="Y41" s="89"/>
      <c r="Z41" s="89"/>
      <c r="AA41" s="89"/>
      <c r="AB41" s="89"/>
      <c r="AC41" s="89"/>
      <c r="AD41" s="89"/>
      <c r="AE41" s="89"/>
      <c r="AF41" s="90"/>
    </row>
    <row r="42" spans="14:32" x14ac:dyDescent="0.3">
      <c r="N42" s="91"/>
      <c r="O42" s="92"/>
      <c r="P42" s="92"/>
      <c r="Q42" s="92"/>
      <c r="R42" s="92"/>
      <c r="S42" s="92"/>
      <c r="T42" s="92"/>
      <c r="U42" s="92"/>
      <c r="V42" s="93"/>
      <c r="X42" s="91"/>
      <c r="Y42" s="92"/>
      <c r="Z42" s="92"/>
      <c r="AA42" s="92"/>
      <c r="AB42" s="92"/>
      <c r="AC42" s="92"/>
      <c r="AD42" s="92"/>
      <c r="AE42" s="92"/>
      <c r="AF42" s="93"/>
    </row>
    <row r="43" spans="14:32" x14ac:dyDescent="0.3">
      <c r="N43" s="9"/>
      <c r="O43" s="83" t="s">
        <v>41</v>
      </c>
      <c r="P43" s="83"/>
      <c r="Q43" s="83"/>
      <c r="R43" s="83"/>
      <c r="S43" s="83"/>
      <c r="T43" s="83"/>
      <c r="U43" s="117">
        <v>2000</v>
      </c>
      <c r="V43" s="10"/>
      <c r="X43" s="9"/>
      <c r="Y43" s="83" t="s">
        <v>41</v>
      </c>
      <c r="Z43" s="83"/>
      <c r="AA43" s="83"/>
      <c r="AB43" s="83"/>
      <c r="AC43" s="83"/>
      <c r="AD43" s="83"/>
      <c r="AE43" s="114">
        <v>1800</v>
      </c>
      <c r="AF43" s="10"/>
    </row>
    <row r="44" spans="14:32" x14ac:dyDescent="0.3">
      <c r="N44" s="9"/>
      <c r="O44" s="83" t="s">
        <v>42</v>
      </c>
      <c r="P44" s="83"/>
      <c r="Q44" s="83"/>
      <c r="R44" s="83"/>
      <c r="S44" s="83"/>
      <c r="T44" s="83"/>
      <c r="U44" s="20">
        <v>800</v>
      </c>
      <c r="V44" s="10"/>
      <c r="X44" s="9"/>
      <c r="Y44" s="83" t="s">
        <v>42</v>
      </c>
      <c r="Z44" s="83"/>
      <c r="AA44" s="83"/>
      <c r="AB44" s="83"/>
      <c r="AC44" s="83"/>
      <c r="AD44" s="83"/>
      <c r="AE44" s="20">
        <v>800</v>
      </c>
      <c r="AF44" s="10"/>
    </row>
    <row r="45" spans="14:32" x14ac:dyDescent="0.3">
      <c r="N45" s="9"/>
      <c r="O45" s="83" t="s">
        <v>43</v>
      </c>
      <c r="P45" s="83"/>
      <c r="Q45" s="83"/>
      <c r="R45" s="83"/>
      <c r="S45" s="83"/>
      <c r="T45" s="83"/>
      <c r="U45" s="19">
        <f>+U43-U44</f>
        <v>1200</v>
      </c>
      <c r="V45" s="10"/>
      <c r="X45" s="9"/>
      <c r="Y45" s="83" t="s">
        <v>43</v>
      </c>
      <c r="Z45" s="83"/>
      <c r="AA45" s="83"/>
      <c r="AB45" s="83"/>
      <c r="AC45" s="83"/>
      <c r="AD45" s="83"/>
      <c r="AE45" s="19">
        <f>+AE43-AE44</f>
        <v>1000</v>
      </c>
      <c r="AF45" s="10"/>
    </row>
    <row r="46" spans="14:32" x14ac:dyDescent="0.3">
      <c r="N46" s="9"/>
      <c r="O46" s="83" t="s">
        <v>44</v>
      </c>
      <c r="P46" s="83"/>
      <c r="Q46" s="83"/>
      <c r="R46" s="83"/>
      <c r="S46" s="83"/>
      <c r="T46" s="83"/>
      <c r="U46" s="19"/>
      <c r="V46" s="10"/>
      <c r="X46" s="9"/>
      <c r="Y46" s="83" t="s">
        <v>44</v>
      </c>
      <c r="Z46" s="83"/>
      <c r="AA46" s="83"/>
      <c r="AB46" s="83"/>
      <c r="AC46" s="83"/>
      <c r="AD46" s="83"/>
      <c r="AE46" s="19"/>
      <c r="AF46" s="10"/>
    </row>
    <row r="47" spans="14:32" x14ac:dyDescent="0.3">
      <c r="N47" s="9"/>
      <c r="O47" s="83" t="s">
        <v>45</v>
      </c>
      <c r="P47" s="83"/>
      <c r="Q47" s="83"/>
      <c r="R47" s="83"/>
      <c r="S47" s="83"/>
      <c r="T47" s="83"/>
      <c r="U47" s="21">
        <v>500</v>
      </c>
      <c r="V47" s="10"/>
      <c r="X47" s="9"/>
      <c r="Y47" s="83" t="s">
        <v>45</v>
      </c>
      <c r="Z47" s="83"/>
      <c r="AA47" s="83"/>
      <c r="AB47" s="83"/>
      <c r="AC47" s="83"/>
      <c r="AD47" s="83"/>
      <c r="AE47" s="21">
        <v>500</v>
      </c>
      <c r="AF47" s="10"/>
    </row>
    <row r="48" spans="14:32" x14ac:dyDescent="0.3">
      <c r="N48" s="9"/>
      <c r="O48" s="83" t="s">
        <v>46</v>
      </c>
      <c r="P48" s="83"/>
      <c r="Q48" s="83"/>
      <c r="R48" s="83"/>
      <c r="S48" s="83"/>
      <c r="T48" s="83"/>
      <c r="U48" s="20">
        <v>150</v>
      </c>
      <c r="V48" s="10"/>
      <c r="X48" s="9"/>
      <c r="Y48" s="83" t="s">
        <v>46</v>
      </c>
      <c r="Z48" s="83"/>
      <c r="AA48" s="83"/>
      <c r="AB48" s="83"/>
      <c r="AC48" s="83"/>
      <c r="AD48" s="83"/>
      <c r="AE48" s="20">
        <v>150</v>
      </c>
      <c r="AF48" s="10"/>
    </row>
    <row r="49" spans="14:32" x14ac:dyDescent="0.3">
      <c r="N49" s="9"/>
      <c r="O49" s="83" t="s">
        <v>47</v>
      </c>
      <c r="P49" s="83"/>
      <c r="Q49" s="83"/>
      <c r="R49" s="83"/>
      <c r="S49" s="83"/>
      <c r="T49" s="83"/>
      <c r="U49" s="22">
        <f>+U47+U48</f>
        <v>650</v>
      </c>
      <c r="V49" s="10"/>
      <c r="X49" s="9"/>
      <c r="Y49" s="83" t="s">
        <v>47</v>
      </c>
      <c r="Z49" s="83"/>
      <c r="AA49" s="83"/>
      <c r="AB49" s="83"/>
      <c r="AC49" s="83"/>
      <c r="AD49" s="83"/>
      <c r="AE49" s="22">
        <f>+AE47+AE48</f>
        <v>650</v>
      </c>
      <c r="AF49" s="10"/>
    </row>
    <row r="50" spans="14:32" x14ac:dyDescent="0.3">
      <c r="N50" s="9"/>
      <c r="O50" s="87" t="s">
        <v>48</v>
      </c>
      <c r="P50" s="87"/>
      <c r="Q50" s="87"/>
      <c r="R50" s="87"/>
      <c r="S50" s="87"/>
      <c r="T50" s="87"/>
      <c r="U50" s="19">
        <f>+U45-U49</f>
        <v>550</v>
      </c>
      <c r="V50" s="10"/>
      <c r="X50" s="9"/>
      <c r="Y50" s="87" t="s">
        <v>48</v>
      </c>
      <c r="Z50" s="87"/>
      <c r="AA50" s="87"/>
      <c r="AB50" s="87"/>
      <c r="AC50" s="87"/>
      <c r="AD50" s="87"/>
      <c r="AE50" s="19">
        <f>+AE45-AE49</f>
        <v>350</v>
      </c>
      <c r="AF50" s="10"/>
    </row>
    <row r="51" spans="14:32" x14ac:dyDescent="0.3">
      <c r="N51" s="9"/>
      <c r="O51" s="83" t="s">
        <v>49</v>
      </c>
      <c r="P51" s="83"/>
      <c r="Q51" s="83"/>
      <c r="R51" s="83"/>
      <c r="S51" s="83"/>
      <c r="T51" s="83"/>
      <c r="U51" s="20">
        <v>120</v>
      </c>
      <c r="V51" s="10"/>
      <c r="X51" s="9"/>
      <c r="Y51" s="83" t="s">
        <v>49</v>
      </c>
      <c r="Z51" s="83"/>
      <c r="AA51" s="83"/>
      <c r="AB51" s="83"/>
      <c r="AC51" s="83"/>
      <c r="AD51" s="83"/>
      <c r="AE51" s="20">
        <v>120</v>
      </c>
      <c r="AF51" s="10"/>
    </row>
    <row r="52" spans="14:32" x14ac:dyDescent="0.3">
      <c r="N52" s="9"/>
      <c r="O52" s="83" t="s">
        <v>50</v>
      </c>
      <c r="P52" s="83"/>
      <c r="Q52" s="83"/>
      <c r="R52" s="83"/>
      <c r="S52" s="83"/>
      <c r="T52" s="83"/>
      <c r="U52" s="19">
        <f>+U50-U51</f>
        <v>430</v>
      </c>
      <c r="V52" s="10"/>
      <c r="X52" s="9"/>
      <c r="Y52" s="83" t="s">
        <v>50</v>
      </c>
      <c r="Z52" s="83"/>
      <c r="AA52" s="83"/>
      <c r="AB52" s="83"/>
      <c r="AC52" s="83"/>
      <c r="AD52" s="83"/>
      <c r="AE52" s="19">
        <f>+AE50-AE51</f>
        <v>230</v>
      </c>
      <c r="AF52" s="10"/>
    </row>
    <row r="53" spans="14:32" x14ac:dyDescent="0.3">
      <c r="N53" s="9"/>
      <c r="O53" s="83" t="s">
        <v>51</v>
      </c>
      <c r="P53" s="83"/>
      <c r="Q53" s="83"/>
      <c r="R53" s="83"/>
      <c r="S53" s="83"/>
      <c r="T53" s="83"/>
      <c r="U53" s="20">
        <f>+U52*0.4</f>
        <v>172</v>
      </c>
      <c r="V53" s="10"/>
      <c r="X53" s="9"/>
      <c r="Y53" s="83" t="s">
        <v>51</v>
      </c>
      <c r="Z53" s="83"/>
      <c r="AA53" s="83"/>
      <c r="AB53" s="83"/>
      <c r="AC53" s="83"/>
      <c r="AD53" s="83"/>
      <c r="AE53" s="20">
        <f>+AE52*0.4</f>
        <v>92</v>
      </c>
      <c r="AF53" s="10"/>
    </row>
    <row r="54" spans="14:32" x14ac:dyDescent="0.3">
      <c r="N54" s="9"/>
      <c r="O54" s="83" t="s">
        <v>52</v>
      </c>
      <c r="P54" s="83"/>
      <c r="Q54" s="83"/>
      <c r="R54" s="83"/>
      <c r="S54" s="83"/>
      <c r="T54" s="83"/>
      <c r="U54" s="19">
        <f>+U52-U53</f>
        <v>258</v>
      </c>
      <c r="V54" s="10"/>
      <c r="X54" s="9"/>
      <c r="Y54" s="83" t="s">
        <v>52</v>
      </c>
      <c r="Z54" s="83"/>
      <c r="AA54" s="83"/>
      <c r="AB54" s="83"/>
      <c r="AC54" s="83"/>
      <c r="AD54" s="83"/>
      <c r="AE54" s="19">
        <f>+AE52-AE53</f>
        <v>138</v>
      </c>
      <c r="AF54" s="10"/>
    </row>
    <row r="55" spans="14:32" x14ac:dyDescent="0.3">
      <c r="N55" s="9"/>
      <c r="O55" s="83" t="s">
        <v>53</v>
      </c>
      <c r="P55" s="83"/>
      <c r="Q55" s="83"/>
      <c r="R55" s="83"/>
      <c r="S55" s="83"/>
      <c r="T55" s="83"/>
      <c r="U55" s="21">
        <v>25</v>
      </c>
      <c r="V55" s="10"/>
      <c r="X55" s="9"/>
      <c r="Y55" s="83" t="s">
        <v>53</v>
      </c>
      <c r="Z55" s="83"/>
      <c r="AA55" s="83"/>
      <c r="AB55" s="83"/>
      <c r="AC55" s="83"/>
      <c r="AD55" s="83"/>
      <c r="AE55" s="21">
        <v>25</v>
      </c>
      <c r="AF55" s="10"/>
    </row>
    <row r="56" spans="14:32" ht="16.2" thickBot="1" x14ac:dyDescent="0.35">
      <c r="N56" s="9"/>
      <c r="O56" s="83" t="s">
        <v>7</v>
      </c>
      <c r="P56" s="83"/>
      <c r="Q56" s="83"/>
      <c r="R56" s="83"/>
      <c r="S56" s="83"/>
      <c r="T56" s="83"/>
      <c r="U56" s="113">
        <f>+U54-U55</f>
        <v>233</v>
      </c>
      <c r="V56" s="10"/>
      <c r="X56" s="9"/>
      <c r="Y56" s="83" t="s">
        <v>7</v>
      </c>
      <c r="Z56" s="83"/>
      <c r="AA56" s="83"/>
      <c r="AB56" s="83"/>
      <c r="AC56" s="83"/>
      <c r="AD56" s="83"/>
      <c r="AE56" s="113">
        <f>+AE54-AE55</f>
        <v>113</v>
      </c>
      <c r="AF56" s="10"/>
    </row>
    <row r="57" spans="14:32" ht="16.2" thickTop="1" x14ac:dyDescent="0.3">
      <c r="N57" s="9"/>
      <c r="O57" s="84" t="s">
        <v>54</v>
      </c>
      <c r="P57" s="84"/>
      <c r="Q57" s="84"/>
      <c r="R57" s="84"/>
      <c r="S57" s="84"/>
      <c r="T57" s="84"/>
      <c r="U57" s="19">
        <f>170000/100000</f>
        <v>1.7</v>
      </c>
      <c r="V57" s="10"/>
      <c r="X57" s="9"/>
      <c r="Y57" s="84" t="s">
        <v>54</v>
      </c>
      <c r="Z57" s="84"/>
      <c r="AA57" s="84"/>
      <c r="AB57" s="84"/>
      <c r="AC57" s="84"/>
      <c r="AD57" s="84"/>
      <c r="AE57" s="19">
        <f>170000/100000</f>
        <v>1.7</v>
      </c>
      <c r="AF57" s="10"/>
    </row>
    <row r="58" spans="14:32" x14ac:dyDescent="0.3">
      <c r="N58" s="9"/>
      <c r="O58" s="85" t="s">
        <v>55</v>
      </c>
      <c r="P58" s="85"/>
      <c r="Q58" s="85"/>
      <c r="R58" s="85"/>
      <c r="S58" s="85"/>
      <c r="T58" s="85"/>
      <c r="U58" s="85"/>
      <c r="V58" s="10"/>
      <c r="X58" s="9"/>
      <c r="Y58" s="85" t="s">
        <v>55</v>
      </c>
      <c r="Z58" s="85"/>
      <c r="AA58" s="85"/>
      <c r="AB58" s="85"/>
      <c r="AC58" s="85"/>
      <c r="AD58" s="85"/>
      <c r="AE58" s="85"/>
      <c r="AF58" s="10"/>
    </row>
    <row r="59" spans="14:32" x14ac:dyDescent="0.3">
      <c r="N59" s="9"/>
      <c r="O59" s="85"/>
      <c r="P59" s="85"/>
      <c r="Q59" s="85"/>
      <c r="R59" s="85"/>
      <c r="S59" s="85"/>
      <c r="T59" s="85"/>
      <c r="U59" s="85"/>
      <c r="V59" s="10"/>
      <c r="X59" s="9"/>
      <c r="Y59" s="85"/>
      <c r="Z59" s="85"/>
      <c r="AA59" s="85"/>
      <c r="AB59" s="85"/>
      <c r="AC59" s="85"/>
      <c r="AD59" s="85"/>
      <c r="AE59" s="85"/>
      <c r="AF59" s="10"/>
    </row>
    <row r="60" spans="14:32" ht="16.2" thickBot="1" x14ac:dyDescent="0.35">
      <c r="N60" s="15"/>
      <c r="O60" s="86"/>
      <c r="P60" s="86"/>
      <c r="Q60" s="86"/>
      <c r="R60" s="86"/>
      <c r="S60" s="86"/>
      <c r="T60" s="86"/>
      <c r="U60" s="86"/>
      <c r="V60" s="18"/>
      <c r="X60" s="15"/>
      <c r="Y60" s="86"/>
      <c r="Z60" s="86"/>
      <c r="AA60" s="86"/>
      <c r="AB60" s="86"/>
      <c r="AC60" s="86"/>
      <c r="AD60" s="86"/>
      <c r="AE60" s="86"/>
      <c r="AF60" s="18"/>
    </row>
  </sheetData>
  <mergeCells count="82">
    <mergeCell ref="B12:E12"/>
    <mergeCell ref="G12:J12"/>
    <mergeCell ref="B7:B9"/>
    <mergeCell ref="C7:E8"/>
    <mergeCell ref="F7:F8"/>
    <mergeCell ref="G7:H8"/>
    <mergeCell ref="J7:L8"/>
    <mergeCell ref="C9:E9"/>
    <mergeCell ref="G9:H9"/>
    <mergeCell ref="J9:L9"/>
    <mergeCell ref="Y57:AD57"/>
    <mergeCell ref="Y58:AE60"/>
    <mergeCell ref="Y52:AD52"/>
    <mergeCell ref="Y53:AD53"/>
    <mergeCell ref="Y54:AD54"/>
    <mergeCell ref="Y55:AD55"/>
    <mergeCell ref="Y56:AD56"/>
    <mergeCell ref="Y47:AD47"/>
    <mergeCell ref="Y48:AD48"/>
    <mergeCell ref="Y49:AD49"/>
    <mergeCell ref="Y50:AD50"/>
    <mergeCell ref="Y51:AD51"/>
    <mergeCell ref="X41:AF42"/>
    <mergeCell ref="Y43:AD43"/>
    <mergeCell ref="Y44:AD44"/>
    <mergeCell ref="Y45:AD45"/>
    <mergeCell ref="Y46:AD46"/>
    <mergeCell ref="O15:S15"/>
    <mergeCell ref="N4:W5"/>
    <mergeCell ref="O6:S7"/>
    <mergeCell ref="T6:V6"/>
    <mergeCell ref="O8:S8"/>
    <mergeCell ref="O9:S9"/>
    <mergeCell ref="O10:S10"/>
    <mergeCell ref="O11:S11"/>
    <mergeCell ref="O12:S12"/>
    <mergeCell ref="O13:S14"/>
    <mergeCell ref="T13:T14"/>
    <mergeCell ref="V13:V14"/>
    <mergeCell ref="O27:S27"/>
    <mergeCell ref="O16:S16"/>
    <mergeCell ref="O17:S17"/>
    <mergeCell ref="O18:S18"/>
    <mergeCell ref="O19:V19"/>
    <mergeCell ref="O20:V20"/>
    <mergeCell ref="O21:S21"/>
    <mergeCell ref="O46:T46"/>
    <mergeCell ref="O33:S33"/>
    <mergeCell ref="O34:S35"/>
    <mergeCell ref="T34:T35"/>
    <mergeCell ref="V34:V35"/>
    <mergeCell ref="O36:S37"/>
    <mergeCell ref="T36:T37"/>
    <mergeCell ref="V36:V37"/>
    <mergeCell ref="B2:P2"/>
    <mergeCell ref="N41:V42"/>
    <mergeCell ref="O43:T43"/>
    <mergeCell ref="O44:T44"/>
    <mergeCell ref="O45:T45"/>
    <mergeCell ref="O28:S30"/>
    <mergeCell ref="T28:T30"/>
    <mergeCell ref="V28:V30"/>
    <mergeCell ref="O31:S32"/>
    <mergeCell ref="T31:T32"/>
    <mergeCell ref="V31:V32"/>
    <mergeCell ref="O22:S22"/>
    <mergeCell ref="O23:S23"/>
    <mergeCell ref="O24:S24"/>
    <mergeCell ref="O25:S25"/>
    <mergeCell ref="O26:S26"/>
    <mergeCell ref="O58:U60"/>
    <mergeCell ref="O47:T47"/>
    <mergeCell ref="O48:T48"/>
    <mergeCell ref="O49:T49"/>
    <mergeCell ref="O50:T50"/>
    <mergeCell ref="O51:T51"/>
    <mergeCell ref="O52:T52"/>
    <mergeCell ref="O53:T53"/>
    <mergeCell ref="O54:T54"/>
    <mergeCell ref="O55:T55"/>
    <mergeCell ref="O56:T56"/>
    <mergeCell ref="O57:T57"/>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A0BD8-36EB-430C-82BB-75D9756FA749}">
  <dimension ref="B3:O61"/>
  <sheetViews>
    <sheetView topLeftCell="A32" zoomScale="120" zoomScaleNormal="120" workbookViewId="0">
      <selection activeCell="D41" sqref="D41"/>
    </sheetView>
  </sheetViews>
  <sheetFormatPr baseColWidth="10" defaultRowHeight="15.6" x14ac:dyDescent="0.3"/>
  <cols>
    <col min="1" max="3" width="11.5546875" style="1"/>
    <col min="4" max="4" width="14.88671875" style="1" bestFit="1" customWidth="1"/>
    <col min="5" max="5" width="11.5546875" style="1"/>
    <col min="6" max="6" width="17.109375" style="1" bestFit="1" customWidth="1"/>
    <col min="7" max="7" width="11.5546875" style="1"/>
    <col min="8" max="8" width="14.44140625" style="1" bestFit="1" customWidth="1"/>
    <col min="9" max="16384" width="11.5546875" style="1"/>
  </cols>
  <sheetData>
    <row r="3" spans="3:14" ht="23.4" thickBot="1" x14ac:dyDescent="0.45">
      <c r="C3" s="69" t="s">
        <v>12</v>
      </c>
      <c r="D3" s="69"/>
      <c r="E3" s="69"/>
      <c r="F3" s="69"/>
      <c r="G3" s="69"/>
      <c r="H3" s="69"/>
      <c r="I3" s="69"/>
      <c r="J3" s="69"/>
      <c r="K3" s="69"/>
      <c r="L3" s="69"/>
      <c r="M3" s="69"/>
      <c r="N3" s="69"/>
    </row>
    <row r="4" spans="3:14" ht="16.2" thickTop="1" x14ac:dyDescent="0.3"/>
    <row r="6" spans="3:14" x14ac:dyDescent="0.3">
      <c r="C6" s="5" t="s">
        <v>57</v>
      </c>
    </row>
    <row r="7" spans="3:14" ht="16.2" thickBot="1" x14ac:dyDescent="0.35"/>
    <row r="8" spans="3:14" x14ac:dyDescent="0.3">
      <c r="C8" s="49" t="s">
        <v>70</v>
      </c>
      <c r="D8" s="51" t="s">
        <v>80</v>
      </c>
      <c r="E8" s="51"/>
      <c r="F8" s="51"/>
      <c r="G8" s="53" t="s">
        <v>4</v>
      </c>
      <c r="H8" s="55" t="s">
        <v>5</v>
      </c>
      <c r="I8" s="55"/>
      <c r="J8" s="27"/>
      <c r="K8" s="51" t="s">
        <v>2</v>
      </c>
      <c r="L8" s="51"/>
      <c r="M8" s="57"/>
    </row>
    <row r="9" spans="3:14" x14ac:dyDescent="0.3">
      <c r="C9" s="50"/>
      <c r="D9" s="52"/>
      <c r="E9" s="52"/>
      <c r="F9" s="52"/>
      <c r="G9" s="54"/>
      <c r="H9" s="56"/>
      <c r="I9" s="56"/>
      <c r="J9" s="1" t="s">
        <v>6</v>
      </c>
      <c r="K9" s="52"/>
      <c r="L9" s="52"/>
      <c r="M9" s="58"/>
    </row>
    <row r="10" spans="3:14" ht="15.6" customHeight="1" x14ac:dyDescent="0.3">
      <c r="C10" s="50"/>
      <c r="D10" s="59" t="s">
        <v>5</v>
      </c>
      <c r="E10" s="59"/>
      <c r="F10" s="59"/>
      <c r="H10" s="36" t="s">
        <v>56</v>
      </c>
      <c r="I10" s="36"/>
      <c r="K10" s="59" t="s">
        <v>56</v>
      </c>
      <c r="L10" s="59"/>
      <c r="M10" s="63"/>
    </row>
    <row r="11" spans="3:14" ht="16.2" thickBot="1" x14ac:dyDescent="0.35">
      <c r="C11" s="128"/>
      <c r="D11" s="46"/>
      <c r="E11" s="46"/>
      <c r="F11" s="46"/>
      <c r="G11" s="28"/>
      <c r="H11" s="37"/>
      <c r="I11" s="37"/>
      <c r="J11" s="28"/>
      <c r="K11" s="46"/>
      <c r="L11" s="46"/>
      <c r="M11" s="47"/>
    </row>
    <row r="14" spans="3:14" x14ac:dyDescent="0.3">
      <c r="C14" s="23" t="s">
        <v>61</v>
      </c>
    </row>
    <row r="15" spans="3:14" x14ac:dyDescent="0.3">
      <c r="C15" s="1" t="s">
        <v>62</v>
      </c>
    </row>
    <row r="16" spans="3:14" ht="16.2" thickBot="1" x14ac:dyDescent="0.35"/>
    <row r="17" spans="2:15" ht="15.6" customHeight="1" x14ac:dyDescent="0.3">
      <c r="C17" s="65" t="s">
        <v>63</v>
      </c>
      <c r="D17" s="66"/>
      <c r="E17" s="66"/>
      <c r="F17" s="44" t="s">
        <v>67</v>
      </c>
      <c r="G17" s="44"/>
      <c r="H17" s="44"/>
      <c r="I17" s="129" t="s">
        <v>66</v>
      </c>
      <c r="J17" s="44" t="s">
        <v>64</v>
      </c>
      <c r="K17" s="44"/>
      <c r="L17" s="131" t="s">
        <v>4</v>
      </c>
      <c r="M17" s="44" t="s">
        <v>65</v>
      </c>
      <c r="N17" s="45"/>
      <c r="O17" s="30"/>
    </row>
    <row r="18" spans="2:15" ht="16.2" thickBot="1" x14ac:dyDescent="0.35">
      <c r="C18" s="67"/>
      <c r="D18" s="68"/>
      <c r="E18" s="68"/>
      <c r="F18" s="46"/>
      <c r="G18" s="46"/>
      <c r="H18" s="46"/>
      <c r="I18" s="130"/>
      <c r="J18" s="46"/>
      <c r="K18" s="46"/>
      <c r="L18" s="132"/>
      <c r="M18" s="46"/>
      <c r="N18" s="47"/>
      <c r="O18" s="30"/>
    </row>
    <row r="20" spans="2:15" ht="22.8" x14ac:dyDescent="0.4">
      <c r="B20" s="138">
        <v>1</v>
      </c>
      <c r="C20" s="5" t="s">
        <v>71</v>
      </c>
    </row>
    <row r="21" spans="2:15" x14ac:dyDescent="0.3">
      <c r="C21" s="5"/>
      <c r="F21" s="2"/>
      <c r="G21" s="2"/>
      <c r="H21" s="2"/>
      <c r="I21" s="2"/>
      <c r="J21" s="24"/>
      <c r="K21" s="24"/>
      <c r="L21" s="2"/>
      <c r="M21" s="24"/>
      <c r="N21" s="24"/>
      <c r="O21" s="24"/>
    </row>
    <row r="22" spans="2:15" ht="15.6" customHeight="1" x14ac:dyDescent="0.35">
      <c r="C22" s="61" t="s">
        <v>63</v>
      </c>
      <c r="D22" s="61"/>
      <c r="E22" s="61"/>
      <c r="F22" s="48">
        <v>1954000</v>
      </c>
      <c r="G22" s="48"/>
      <c r="H22" s="48"/>
      <c r="I22" s="133" t="s">
        <v>66</v>
      </c>
      <c r="J22" s="60">
        <v>2000</v>
      </c>
      <c r="K22" s="60"/>
      <c r="L22" s="2" t="s">
        <v>79</v>
      </c>
      <c r="M22" s="48">
        <v>100</v>
      </c>
      <c r="N22" s="48"/>
      <c r="O22" s="26"/>
    </row>
    <row r="23" spans="2:15" ht="16.2" customHeight="1" x14ac:dyDescent="0.3">
      <c r="C23" s="5"/>
      <c r="F23" s="2"/>
      <c r="G23" s="2"/>
      <c r="H23" s="2"/>
      <c r="I23" s="2"/>
      <c r="J23" s="24"/>
      <c r="K23" s="24"/>
      <c r="L23" s="2"/>
      <c r="M23" s="24"/>
      <c r="N23" s="24"/>
      <c r="O23" s="24"/>
    </row>
    <row r="25" spans="2:15" x14ac:dyDescent="0.3">
      <c r="C25" s="61" t="s">
        <v>63</v>
      </c>
      <c r="D25" s="61"/>
      <c r="E25" s="61"/>
      <c r="F25" s="26">
        <f>+F22</f>
        <v>1954000</v>
      </c>
      <c r="G25" s="134" t="s">
        <v>66</v>
      </c>
      <c r="H25" s="26">
        <f>+J22*M22</f>
        <v>200000</v>
      </c>
      <c r="I25" s="26"/>
    </row>
    <row r="27" spans="2:15" ht="15.6" customHeight="1" x14ac:dyDescent="0.3">
      <c r="C27" s="62" t="s">
        <v>63</v>
      </c>
      <c r="D27" s="62"/>
      <c r="E27" s="62"/>
      <c r="F27" s="29">
        <f>+F25-H25</f>
        <v>1754000</v>
      </c>
    </row>
    <row r="30" spans="2:15" ht="15.6" customHeight="1" x14ac:dyDescent="0.3"/>
    <row r="32" spans="2:15" ht="22.8" x14ac:dyDescent="0.4">
      <c r="B32" s="138">
        <v>2</v>
      </c>
      <c r="C32" s="64" t="s">
        <v>72</v>
      </c>
      <c r="D32" s="64"/>
      <c r="E32" s="64"/>
      <c r="F32" s="64"/>
    </row>
    <row r="33" spans="2:13" ht="15.6" customHeight="1" thickBot="1" x14ac:dyDescent="0.35"/>
    <row r="34" spans="2:13" ht="15.6" customHeight="1" x14ac:dyDescent="0.3">
      <c r="C34" s="49" t="s">
        <v>70</v>
      </c>
      <c r="D34" s="51" t="s">
        <v>2</v>
      </c>
      <c r="E34" s="51"/>
      <c r="F34" s="51"/>
      <c r="G34" s="53" t="s">
        <v>4</v>
      </c>
      <c r="H34" s="55" t="s">
        <v>5</v>
      </c>
      <c r="I34" s="55"/>
      <c r="J34" s="27"/>
      <c r="K34" s="51" t="s">
        <v>2</v>
      </c>
      <c r="L34" s="51"/>
      <c r="M34" s="57"/>
    </row>
    <row r="35" spans="2:13" ht="15.6" customHeight="1" x14ac:dyDescent="0.3">
      <c r="C35" s="50"/>
      <c r="D35" s="52"/>
      <c r="E35" s="52"/>
      <c r="F35" s="52"/>
      <c r="G35" s="54"/>
      <c r="H35" s="56"/>
      <c r="I35" s="56"/>
      <c r="J35" s="1" t="s">
        <v>6</v>
      </c>
      <c r="K35" s="52"/>
      <c r="L35" s="52"/>
      <c r="M35" s="58"/>
    </row>
    <row r="36" spans="2:13" ht="15.6" customHeight="1" x14ac:dyDescent="0.3">
      <c r="C36" s="50"/>
      <c r="D36" s="59" t="s">
        <v>5</v>
      </c>
      <c r="E36" s="59"/>
      <c r="F36" s="59"/>
      <c r="H36" s="36" t="s">
        <v>56</v>
      </c>
      <c r="I36" s="36"/>
      <c r="K36" s="38" t="s">
        <v>56</v>
      </c>
      <c r="L36" s="38"/>
      <c r="M36" s="39"/>
    </row>
    <row r="37" spans="2:13" ht="15.6" customHeight="1" thickBot="1" x14ac:dyDescent="0.35">
      <c r="C37" s="128"/>
      <c r="D37" s="46"/>
      <c r="E37" s="46"/>
      <c r="F37" s="46"/>
      <c r="G37" s="28"/>
      <c r="H37" s="37"/>
      <c r="I37" s="37"/>
      <c r="J37" s="28"/>
      <c r="K37" s="40"/>
      <c r="L37" s="40"/>
      <c r="M37" s="41"/>
    </row>
    <row r="38" spans="2:13" ht="15.6" customHeight="1" x14ac:dyDescent="0.3">
      <c r="D38" s="4"/>
      <c r="E38" s="4"/>
      <c r="F38" s="4"/>
      <c r="H38" s="3"/>
      <c r="I38" s="3"/>
      <c r="K38" s="4"/>
      <c r="L38" s="4"/>
      <c r="M38" s="4"/>
    </row>
    <row r="39" spans="2:13" ht="15.6" customHeight="1" x14ac:dyDescent="0.3">
      <c r="D39" s="4"/>
      <c r="E39" s="4"/>
      <c r="F39" s="4"/>
      <c r="H39" s="3"/>
      <c r="I39" s="3"/>
      <c r="K39" s="4"/>
      <c r="L39" s="4"/>
      <c r="M39" s="4"/>
    </row>
    <row r="40" spans="2:13" x14ac:dyDescent="0.3">
      <c r="C40" s="2" t="s">
        <v>70</v>
      </c>
      <c r="D40" s="7">
        <v>221000</v>
      </c>
      <c r="E40" s="2" t="s">
        <v>4</v>
      </c>
      <c r="F40" s="7">
        <v>3597000</v>
      </c>
    </row>
    <row r="41" spans="2:13" x14ac:dyDescent="0.3">
      <c r="D41" s="6">
        <v>3597000</v>
      </c>
      <c r="F41" s="32">
        <f>+F27</f>
        <v>1754000</v>
      </c>
    </row>
    <row r="43" spans="2:13" x14ac:dyDescent="0.3">
      <c r="C43" s="2" t="s">
        <v>70</v>
      </c>
      <c r="D43" s="8">
        <f>+D40/D41</f>
        <v>6.144008896302474E-2</v>
      </c>
      <c r="E43" s="2" t="s">
        <v>4</v>
      </c>
      <c r="F43" s="6">
        <f>+F40/F41</f>
        <v>2.0507411630558723</v>
      </c>
    </row>
    <row r="45" spans="2:13" x14ac:dyDescent="0.3">
      <c r="C45" s="115" t="s">
        <v>70</v>
      </c>
      <c r="D45" s="116">
        <f>+D43*F43</f>
        <v>0.12599771949828961</v>
      </c>
    </row>
    <row r="48" spans="2:13" ht="22.8" x14ac:dyDescent="0.4">
      <c r="B48" s="138">
        <v>3</v>
      </c>
      <c r="C48" s="136" t="s">
        <v>81</v>
      </c>
      <c r="D48" s="136"/>
      <c r="E48" s="136"/>
      <c r="F48" s="136"/>
      <c r="G48" s="136"/>
      <c r="H48" s="136"/>
    </row>
    <row r="50" spans="3:11" ht="15.6" customHeight="1" x14ac:dyDescent="0.3">
      <c r="C50" s="42" t="s">
        <v>58</v>
      </c>
      <c r="D50" s="42"/>
      <c r="E50" s="42"/>
      <c r="F50" s="43" t="s">
        <v>59</v>
      </c>
      <c r="G50" s="43"/>
      <c r="H50" s="43"/>
    </row>
    <row r="51" spans="3:11" x14ac:dyDescent="0.3">
      <c r="C51" s="42"/>
      <c r="D51" s="42"/>
      <c r="E51" s="42"/>
      <c r="F51" s="34" t="s">
        <v>60</v>
      </c>
      <c r="G51" s="34"/>
      <c r="H51" s="34"/>
    </row>
    <row r="53" spans="3:11" ht="15.6" customHeight="1" x14ac:dyDescent="0.3">
      <c r="C53" s="42" t="s">
        <v>58</v>
      </c>
      <c r="D53" s="42"/>
      <c r="E53" s="42"/>
      <c r="F53" s="25">
        <v>1643000</v>
      </c>
    </row>
    <row r="54" spans="3:11" x14ac:dyDescent="0.3">
      <c r="C54" s="42"/>
      <c r="D54" s="42"/>
      <c r="E54" s="42"/>
      <c r="F54" s="135">
        <f>+F27</f>
        <v>1754000</v>
      </c>
    </row>
    <row r="56" spans="3:11" ht="15.6" customHeight="1" x14ac:dyDescent="0.3">
      <c r="C56" s="33" t="s">
        <v>58</v>
      </c>
      <c r="D56" s="33"/>
      <c r="E56" s="33"/>
      <c r="F56" s="137">
        <f>+F53/F54</f>
        <v>0.9367160775370581</v>
      </c>
      <c r="H56" s="34"/>
      <c r="I56" s="34"/>
      <c r="K56" s="3"/>
    </row>
    <row r="57" spans="3:11" x14ac:dyDescent="0.3">
      <c r="C57" s="33"/>
      <c r="D57" s="33"/>
      <c r="E57" s="33"/>
      <c r="F57" s="137"/>
      <c r="H57" s="6"/>
      <c r="K57" s="26"/>
    </row>
    <row r="59" spans="3:11" x14ac:dyDescent="0.3">
      <c r="C59" s="118" t="s">
        <v>68</v>
      </c>
      <c r="D59" s="118"/>
      <c r="E59" s="35" t="s">
        <v>69</v>
      </c>
      <c r="F59" s="35"/>
      <c r="G59" s="35"/>
      <c r="H59" s="35"/>
      <c r="I59" s="35"/>
      <c r="J59" s="35"/>
      <c r="K59" s="35"/>
    </row>
    <row r="60" spans="3:11" x14ac:dyDescent="0.3">
      <c r="E60" s="35"/>
      <c r="F60" s="35"/>
      <c r="G60" s="35"/>
      <c r="H60" s="35"/>
      <c r="I60" s="35"/>
      <c r="J60" s="35"/>
      <c r="K60" s="35"/>
    </row>
    <row r="61" spans="3:11" x14ac:dyDescent="0.3">
      <c r="E61" s="35"/>
      <c r="F61" s="35"/>
      <c r="G61" s="35"/>
      <c r="H61" s="35"/>
      <c r="I61" s="35"/>
      <c r="J61" s="35"/>
      <c r="K61" s="35"/>
    </row>
  </sheetData>
  <mergeCells count="40">
    <mergeCell ref="C3:N3"/>
    <mergeCell ref="D8:F9"/>
    <mergeCell ref="G8:G9"/>
    <mergeCell ref="H8:I9"/>
    <mergeCell ref="K8:M9"/>
    <mergeCell ref="H10:I11"/>
    <mergeCell ref="C8:C11"/>
    <mergeCell ref="D10:F11"/>
    <mergeCell ref="K10:M11"/>
    <mergeCell ref="C32:F32"/>
    <mergeCell ref="C17:E18"/>
    <mergeCell ref="F17:H18"/>
    <mergeCell ref="I17:I18"/>
    <mergeCell ref="J17:K18"/>
    <mergeCell ref="L17:L18"/>
    <mergeCell ref="F22:H22"/>
    <mergeCell ref="M17:N18"/>
    <mergeCell ref="M22:N22"/>
    <mergeCell ref="D34:F35"/>
    <mergeCell ref="G34:G35"/>
    <mergeCell ref="H34:I35"/>
    <mergeCell ref="K34:M35"/>
    <mergeCell ref="D36:F37"/>
    <mergeCell ref="J22:K22"/>
    <mergeCell ref="C25:E25"/>
    <mergeCell ref="C27:E27"/>
    <mergeCell ref="C22:E22"/>
    <mergeCell ref="C34:C37"/>
    <mergeCell ref="C50:E51"/>
    <mergeCell ref="C53:E54"/>
    <mergeCell ref="H36:I37"/>
    <mergeCell ref="K36:M37"/>
    <mergeCell ref="F50:H50"/>
    <mergeCell ref="F51:H51"/>
    <mergeCell ref="C48:H48"/>
    <mergeCell ref="F56:F57"/>
    <mergeCell ref="H56:I56"/>
    <mergeCell ref="C59:D59"/>
    <mergeCell ref="E59:K61"/>
    <mergeCell ref="C56:E5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8868A-247A-406E-9C33-FA216F63A3EF}">
  <dimension ref="B3:O61"/>
  <sheetViews>
    <sheetView tabSelected="1" topLeftCell="C16" zoomScale="110" zoomScaleNormal="110" workbookViewId="0">
      <selection activeCell="M20" sqref="M20"/>
    </sheetView>
  </sheetViews>
  <sheetFormatPr baseColWidth="10" defaultRowHeight="15.6" x14ac:dyDescent="0.3"/>
  <cols>
    <col min="1" max="3" width="11.5546875" style="1"/>
    <col min="4" max="4" width="14.88671875" style="1" bestFit="1" customWidth="1"/>
    <col min="5" max="5" width="11.5546875" style="1"/>
    <col min="6" max="6" width="17.109375" style="1" bestFit="1" customWidth="1"/>
    <col min="7" max="7" width="11.5546875" style="1"/>
    <col min="8" max="8" width="14.44140625" style="1" bestFit="1" customWidth="1"/>
    <col min="9" max="16384" width="11.5546875" style="1"/>
  </cols>
  <sheetData>
    <row r="3" spans="3:14" ht="23.4" thickBot="1" x14ac:dyDescent="0.45">
      <c r="C3" s="69" t="s">
        <v>12</v>
      </c>
      <c r="D3" s="69"/>
      <c r="E3" s="69"/>
      <c r="F3" s="69"/>
      <c r="G3" s="69"/>
      <c r="H3" s="69"/>
      <c r="I3" s="69"/>
      <c r="J3" s="69"/>
      <c r="K3" s="69"/>
      <c r="L3" s="69"/>
      <c r="M3" s="69"/>
      <c r="N3" s="69"/>
    </row>
    <row r="4" spans="3:14" ht="16.2" thickTop="1" x14ac:dyDescent="0.3"/>
    <row r="6" spans="3:14" x14ac:dyDescent="0.3">
      <c r="C6" s="5" t="s">
        <v>57</v>
      </c>
    </row>
    <row r="7" spans="3:14" ht="16.2" thickBot="1" x14ac:dyDescent="0.35"/>
    <row r="8" spans="3:14" x14ac:dyDescent="0.3">
      <c r="C8" s="49" t="s">
        <v>70</v>
      </c>
      <c r="D8" s="51" t="s">
        <v>80</v>
      </c>
      <c r="E8" s="51"/>
      <c r="F8" s="51"/>
      <c r="G8" s="53" t="s">
        <v>4</v>
      </c>
      <c r="H8" s="55" t="s">
        <v>5</v>
      </c>
      <c r="I8" s="55"/>
      <c r="J8" s="27"/>
      <c r="K8" s="51" t="s">
        <v>2</v>
      </c>
      <c r="L8" s="51"/>
      <c r="M8" s="57"/>
    </row>
    <row r="9" spans="3:14" x14ac:dyDescent="0.3">
      <c r="C9" s="50"/>
      <c r="D9" s="52"/>
      <c r="E9" s="52"/>
      <c r="F9" s="52"/>
      <c r="G9" s="54"/>
      <c r="H9" s="56"/>
      <c r="I9" s="56"/>
      <c r="J9" s="1" t="s">
        <v>6</v>
      </c>
      <c r="K9" s="52"/>
      <c r="L9" s="52"/>
      <c r="M9" s="58"/>
    </row>
    <row r="10" spans="3:14" ht="15.6" customHeight="1" x14ac:dyDescent="0.3">
      <c r="C10" s="50"/>
      <c r="D10" s="59" t="s">
        <v>5</v>
      </c>
      <c r="E10" s="59"/>
      <c r="F10" s="59"/>
      <c r="H10" s="140" t="s">
        <v>56</v>
      </c>
      <c r="I10" s="140"/>
      <c r="K10" s="59" t="s">
        <v>56</v>
      </c>
      <c r="L10" s="59"/>
      <c r="M10" s="63"/>
    </row>
    <row r="11" spans="3:14" ht="16.2" thickBot="1" x14ac:dyDescent="0.35">
      <c r="C11" s="128"/>
      <c r="D11" s="46"/>
      <c r="E11" s="46"/>
      <c r="F11" s="46"/>
      <c r="G11" s="28"/>
      <c r="H11" s="141"/>
      <c r="I11" s="141"/>
      <c r="J11" s="28"/>
      <c r="K11" s="46"/>
      <c r="L11" s="46"/>
      <c r="M11" s="47"/>
    </row>
    <row r="14" spans="3:14" x14ac:dyDescent="0.3">
      <c r="C14" s="23" t="s">
        <v>61</v>
      </c>
    </row>
    <row r="15" spans="3:14" x14ac:dyDescent="0.3">
      <c r="C15" s="1" t="s">
        <v>62</v>
      </c>
    </row>
    <row r="16" spans="3:14" ht="16.2" thickBot="1" x14ac:dyDescent="0.35"/>
    <row r="17" spans="2:15" ht="15.6" customHeight="1" x14ac:dyDescent="0.3">
      <c r="C17" s="65" t="s">
        <v>63</v>
      </c>
      <c r="D17" s="66"/>
      <c r="E17" s="66"/>
      <c r="F17" s="44" t="s">
        <v>67</v>
      </c>
      <c r="G17" s="44"/>
      <c r="H17" s="44"/>
      <c r="I17" s="129" t="s">
        <v>66</v>
      </c>
      <c r="J17" s="144" t="s">
        <v>64</v>
      </c>
      <c r="K17" s="144"/>
      <c r="L17" s="131" t="s">
        <v>4</v>
      </c>
      <c r="M17" s="44" t="s">
        <v>65</v>
      </c>
      <c r="N17" s="45"/>
      <c r="O17" s="30"/>
    </row>
    <row r="18" spans="2:15" ht="16.2" thickBot="1" x14ac:dyDescent="0.35">
      <c r="C18" s="67"/>
      <c r="D18" s="68"/>
      <c r="E18" s="68"/>
      <c r="F18" s="46"/>
      <c r="G18" s="46"/>
      <c r="H18" s="46"/>
      <c r="I18" s="130"/>
      <c r="J18" s="145"/>
      <c r="K18" s="145"/>
      <c r="L18" s="132"/>
      <c r="M18" s="46"/>
      <c r="N18" s="47"/>
      <c r="O18" s="30"/>
    </row>
    <row r="20" spans="2:15" ht="22.8" x14ac:dyDescent="0.4">
      <c r="B20" s="138">
        <v>1</v>
      </c>
      <c r="C20" s="5" t="s">
        <v>82</v>
      </c>
    </row>
    <row r="21" spans="2:15" x14ac:dyDescent="0.3">
      <c r="C21" s="5"/>
      <c r="F21" s="2"/>
      <c r="G21" s="2"/>
      <c r="H21" s="2"/>
      <c r="I21" s="2"/>
      <c r="J21" s="24"/>
      <c r="K21" s="24"/>
      <c r="L21" s="2"/>
      <c r="M21" s="24"/>
      <c r="N21" s="24"/>
      <c r="O21" s="24"/>
    </row>
    <row r="22" spans="2:15" ht="15.6" customHeight="1" x14ac:dyDescent="0.35">
      <c r="C22" s="61" t="s">
        <v>63</v>
      </c>
      <c r="D22" s="61"/>
      <c r="E22" s="61"/>
      <c r="F22" s="142">
        <v>1820000</v>
      </c>
      <c r="G22" s="133" t="s">
        <v>66</v>
      </c>
      <c r="H22" s="31">
        <v>2000</v>
      </c>
      <c r="I22" s="2" t="s">
        <v>4</v>
      </c>
      <c r="J22" s="24">
        <v>100</v>
      </c>
      <c r="K22" s="24"/>
      <c r="O22" s="26"/>
    </row>
    <row r="23" spans="2:15" ht="16.2" customHeight="1" x14ac:dyDescent="0.3">
      <c r="C23" s="5"/>
      <c r="F23" s="2"/>
      <c r="G23" s="2"/>
      <c r="H23" s="2"/>
      <c r="I23" s="2"/>
      <c r="J23" s="24"/>
      <c r="K23" s="24"/>
      <c r="L23" s="2"/>
      <c r="M23" s="24"/>
      <c r="N23" s="24"/>
      <c r="O23" s="24"/>
    </row>
    <row r="25" spans="2:15" ht="17.399999999999999" x14ac:dyDescent="0.3">
      <c r="C25" s="61" t="s">
        <v>63</v>
      </c>
      <c r="D25" s="61"/>
      <c r="E25" s="61"/>
      <c r="F25" s="26">
        <f>+F22</f>
        <v>1820000</v>
      </c>
      <c r="G25" s="143" t="s">
        <v>66</v>
      </c>
      <c r="H25" s="26">
        <f>+H22*J22</f>
        <v>200000</v>
      </c>
      <c r="I25" s="26"/>
    </row>
    <row r="27" spans="2:15" ht="15.6" customHeight="1" x14ac:dyDescent="0.3">
      <c r="C27" s="62" t="s">
        <v>63</v>
      </c>
      <c r="D27" s="62"/>
      <c r="E27" s="62"/>
      <c r="F27" s="29">
        <f>+F25-H25</f>
        <v>1620000</v>
      </c>
    </row>
    <row r="30" spans="2:15" ht="15.6" customHeight="1" x14ac:dyDescent="0.3"/>
    <row r="32" spans="2:15" ht="22.8" x14ac:dyDescent="0.4">
      <c r="B32" s="138">
        <v>2</v>
      </c>
      <c r="C32" s="139" t="s">
        <v>83</v>
      </c>
      <c r="D32" s="139"/>
      <c r="E32" s="139"/>
      <c r="F32" s="139"/>
    </row>
    <row r="33" spans="2:13" ht="15.6" customHeight="1" thickBot="1" x14ac:dyDescent="0.35"/>
    <row r="34" spans="2:13" ht="15.6" customHeight="1" x14ac:dyDescent="0.3">
      <c r="C34" s="49" t="s">
        <v>70</v>
      </c>
      <c r="D34" s="51" t="s">
        <v>2</v>
      </c>
      <c r="E34" s="51"/>
      <c r="F34" s="51"/>
      <c r="G34" s="53" t="s">
        <v>4</v>
      </c>
      <c r="H34" s="55" t="s">
        <v>5</v>
      </c>
      <c r="I34" s="55"/>
      <c r="J34" s="27"/>
      <c r="K34" s="51" t="s">
        <v>2</v>
      </c>
      <c r="L34" s="51"/>
      <c r="M34" s="57"/>
    </row>
    <row r="35" spans="2:13" ht="15.6" customHeight="1" x14ac:dyDescent="0.3">
      <c r="C35" s="50"/>
      <c r="D35" s="52"/>
      <c r="E35" s="52"/>
      <c r="F35" s="52"/>
      <c r="G35" s="54"/>
      <c r="H35" s="56"/>
      <c r="I35" s="56"/>
      <c r="J35" s="1" t="s">
        <v>6</v>
      </c>
      <c r="K35" s="52"/>
      <c r="L35" s="52"/>
      <c r="M35" s="58"/>
    </row>
    <row r="36" spans="2:13" ht="15.6" customHeight="1" x14ac:dyDescent="0.3">
      <c r="C36" s="50"/>
      <c r="D36" s="59" t="s">
        <v>5</v>
      </c>
      <c r="E36" s="59"/>
      <c r="F36" s="59"/>
      <c r="H36" s="36" t="s">
        <v>56</v>
      </c>
      <c r="I36" s="36"/>
      <c r="K36" s="38" t="s">
        <v>56</v>
      </c>
      <c r="L36" s="38"/>
      <c r="M36" s="39"/>
    </row>
    <row r="37" spans="2:13" ht="15.6" customHeight="1" thickBot="1" x14ac:dyDescent="0.35">
      <c r="C37" s="128"/>
      <c r="D37" s="46"/>
      <c r="E37" s="46"/>
      <c r="F37" s="46"/>
      <c r="G37" s="28"/>
      <c r="H37" s="37"/>
      <c r="I37" s="37"/>
      <c r="J37" s="28"/>
      <c r="K37" s="40"/>
      <c r="L37" s="40"/>
      <c r="M37" s="41"/>
    </row>
    <row r="38" spans="2:13" ht="15.6" customHeight="1" x14ac:dyDescent="0.3">
      <c r="D38" s="4"/>
      <c r="E38" s="4"/>
      <c r="F38" s="4"/>
      <c r="H38" s="3"/>
      <c r="I38" s="3"/>
      <c r="K38" s="4"/>
      <c r="L38" s="4"/>
      <c r="M38" s="4"/>
    </row>
    <row r="39" spans="2:13" ht="15.6" customHeight="1" x14ac:dyDescent="0.3">
      <c r="D39" s="4"/>
      <c r="E39" s="4"/>
      <c r="F39" s="4"/>
      <c r="H39" s="3"/>
      <c r="I39" s="3"/>
      <c r="K39" s="4"/>
      <c r="L39" s="4"/>
      <c r="M39" s="4"/>
    </row>
    <row r="40" spans="2:13" x14ac:dyDescent="0.3">
      <c r="C40" s="2" t="s">
        <v>70</v>
      </c>
      <c r="D40" s="7">
        <v>138000</v>
      </c>
      <c r="E40" s="2" t="s">
        <v>4</v>
      </c>
      <c r="F40" s="7">
        <v>3270000</v>
      </c>
    </row>
    <row r="41" spans="2:13" x14ac:dyDescent="0.3">
      <c r="D41" s="6">
        <v>3270000</v>
      </c>
      <c r="F41" s="32">
        <f>+F27</f>
        <v>1620000</v>
      </c>
    </row>
    <row r="43" spans="2:13" x14ac:dyDescent="0.3">
      <c r="C43" s="2" t="s">
        <v>70</v>
      </c>
      <c r="D43" s="8">
        <f>+D40/D41</f>
        <v>4.2201834862385323E-2</v>
      </c>
      <c r="E43" s="2" t="s">
        <v>4</v>
      </c>
      <c r="F43" s="6">
        <f>+F40/F41</f>
        <v>2.0185185185185186</v>
      </c>
    </row>
    <row r="45" spans="2:13" x14ac:dyDescent="0.3">
      <c r="C45" s="115" t="s">
        <v>70</v>
      </c>
      <c r="D45" s="116">
        <f>+D43*F43</f>
        <v>8.5185185185185197E-2</v>
      </c>
    </row>
    <row r="48" spans="2:13" ht="22.8" x14ac:dyDescent="0.4">
      <c r="B48" s="138">
        <v>3</v>
      </c>
      <c r="C48" s="136" t="s">
        <v>81</v>
      </c>
      <c r="D48" s="136"/>
      <c r="E48" s="136"/>
      <c r="F48" s="136"/>
      <c r="G48" s="136"/>
      <c r="H48" s="136"/>
    </row>
    <row r="50" spans="3:11" ht="15.6" customHeight="1" x14ac:dyDescent="0.3">
      <c r="C50" s="42" t="s">
        <v>58</v>
      </c>
      <c r="D50" s="42"/>
      <c r="E50" s="42"/>
      <c r="F50" s="43" t="s">
        <v>59</v>
      </c>
      <c r="G50" s="43"/>
      <c r="H50" s="43"/>
    </row>
    <row r="51" spans="3:11" x14ac:dyDescent="0.3">
      <c r="C51" s="42"/>
      <c r="D51" s="42"/>
      <c r="E51" s="42"/>
      <c r="F51" s="34" t="s">
        <v>60</v>
      </c>
      <c r="G51" s="34"/>
      <c r="H51" s="34"/>
    </row>
    <row r="53" spans="3:11" ht="15.6" customHeight="1" x14ac:dyDescent="0.3">
      <c r="C53" s="42" t="s">
        <v>58</v>
      </c>
      <c r="D53" s="42"/>
      <c r="E53" s="42"/>
      <c r="F53" s="25">
        <v>1450000</v>
      </c>
    </row>
    <row r="54" spans="3:11" x14ac:dyDescent="0.3">
      <c r="C54" s="42"/>
      <c r="D54" s="42"/>
      <c r="E54" s="42"/>
      <c r="F54" s="135">
        <f>+F27</f>
        <v>1620000</v>
      </c>
    </row>
    <row r="56" spans="3:11" ht="15.6" customHeight="1" x14ac:dyDescent="0.3">
      <c r="C56" s="33" t="s">
        <v>58</v>
      </c>
      <c r="D56" s="33"/>
      <c r="E56" s="33"/>
      <c r="F56" s="137">
        <f>+F53/F54</f>
        <v>0.89506172839506171</v>
      </c>
      <c r="H56" s="34"/>
      <c r="I56" s="34"/>
      <c r="K56" s="3"/>
    </row>
    <row r="57" spans="3:11" x14ac:dyDescent="0.3">
      <c r="C57" s="33"/>
      <c r="D57" s="33"/>
      <c r="E57" s="33"/>
      <c r="F57" s="137"/>
      <c r="H57" s="6"/>
      <c r="K57" s="26"/>
    </row>
    <row r="59" spans="3:11" x14ac:dyDescent="0.3">
      <c r="C59" s="118" t="s">
        <v>68</v>
      </c>
      <c r="D59" s="118"/>
      <c r="E59" s="35" t="s">
        <v>84</v>
      </c>
      <c r="F59" s="35"/>
      <c r="G59" s="35"/>
      <c r="H59" s="35"/>
      <c r="I59" s="35"/>
      <c r="J59" s="35"/>
      <c r="K59" s="35"/>
    </row>
    <row r="60" spans="3:11" x14ac:dyDescent="0.3">
      <c r="E60" s="35"/>
      <c r="F60" s="35"/>
      <c r="G60" s="35"/>
      <c r="H60" s="35"/>
      <c r="I60" s="35"/>
      <c r="J60" s="35"/>
      <c r="K60" s="35"/>
    </row>
    <row r="61" spans="3:11" x14ac:dyDescent="0.3">
      <c r="E61" s="35"/>
      <c r="F61" s="35"/>
      <c r="G61" s="35"/>
      <c r="H61" s="35"/>
      <c r="I61" s="35"/>
      <c r="J61" s="35"/>
      <c r="K61" s="35"/>
    </row>
  </sheetData>
  <mergeCells count="37">
    <mergeCell ref="C59:D59"/>
    <mergeCell ref="E59:K61"/>
    <mergeCell ref="C48:H48"/>
    <mergeCell ref="C50:E51"/>
    <mergeCell ref="F50:H50"/>
    <mergeCell ref="F51:H51"/>
    <mergeCell ref="C53:E54"/>
    <mergeCell ref="C56:E57"/>
    <mergeCell ref="F56:F57"/>
    <mergeCell ref="H56:I56"/>
    <mergeCell ref="C32:F32"/>
    <mergeCell ref="C34:C37"/>
    <mergeCell ref="D34:F35"/>
    <mergeCell ref="G34:G35"/>
    <mergeCell ref="H34:I35"/>
    <mergeCell ref="K34:M35"/>
    <mergeCell ref="D36:F37"/>
    <mergeCell ref="H36:I37"/>
    <mergeCell ref="K36:M37"/>
    <mergeCell ref="C22:E22"/>
    <mergeCell ref="C25:E25"/>
    <mergeCell ref="C27:E27"/>
    <mergeCell ref="C17:E18"/>
    <mergeCell ref="F17:H18"/>
    <mergeCell ref="I17:I18"/>
    <mergeCell ref="J17:K18"/>
    <mergeCell ref="L17:L18"/>
    <mergeCell ref="M17:N18"/>
    <mergeCell ref="C3:N3"/>
    <mergeCell ref="C8:C11"/>
    <mergeCell ref="D8:F9"/>
    <mergeCell ref="G8:G9"/>
    <mergeCell ref="H8:I9"/>
    <mergeCell ref="K8:M9"/>
    <mergeCell ref="D10:F11"/>
    <mergeCell ref="H10:I11"/>
    <mergeCell ref="K10:M11"/>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Fórmula DuPont</vt:lpstr>
      <vt:lpstr>Práctica</vt:lpstr>
      <vt:lpstr>Fórmula DuPont modificada</vt:lpstr>
      <vt:lpstr>Fórmula DuPont modificada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MORALES ESPINOZA FERNANDA VALENTINA</dc:creator>
  <cp:lastModifiedBy>MORALES ESPINOZA FERNANDA VALENTINA</cp:lastModifiedBy>
  <dcterms:created xsi:type="dcterms:W3CDTF">2025-11-12T14:25:08Z</dcterms:created>
  <dcterms:modified xsi:type="dcterms:W3CDTF">2026-03-11T17:03:05Z</dcterms:modified>
</cp:coreProperties>
</file>