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oble\Downloads\"/>
    </mc:Choice>
  </mc:AlternateContent>
  <xr:revisionPtr revIDLastSave="0" documentId="13_ncr:1_{C2A373E2-1F18-42B5-B1A8-F6B8D66AD331}" xr6:coauthVersionLast="47" xr6:coauthVersionMax="47" xr10:uidLastSave="{00000000-0000-0000-0000-000000000000}"/>
  <bookViews>
    <workbookView xWindow="-108" yWindow="-108" windowWidth="23976" windowHeight="14016" activeTab="2" xr2:uid="{5982DC0D-E417-49C1-AE93-B1CDB6665504}"/>
  </bookViews>
  <sheets>
    <sheet name="PREGUNTA 1" sheetId="9" r:id="rId1"/>
    <sheet name="PREGUNTA 2" sheetId="5" r:id="rId2"/>
    <sheet name="PREGUNTA 3" sheetId="4" r:id="rId3"/>
    <sheet name="PREGUNTA 4"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4" l="1"/>
  <c r="F74" i="4"/>
  <c r="D74" i="4"/>
  <c r="F72" i="4"/>
  <c r="F71" i="4"/>
  <c r="D72" i="4"/>
  <c r="D71" i="4"/>
  <c r="F46" i="4"/>
  <c r="F47" i="4"/>
  <c r="D38" i="4"/>
  <c r="F36" i="4"/>
  <c r="D36" i="4"/>
  <c r="F34" i="4"/>
  <c r="F33" i="4"/>
  <c r="D34" i="4"/>
  <c r="D33" i="4"/>
  <c r="F49" i="4" l="1"/>
  <c r="F20" i="4" l="1"/>
  <c r="F18" i="4"/>
  <c r="H18" i="4"/>
  <c r="J15" i="4"/>
  <c r="F15" i="4"/>
  <c r="G105" i="5" l="1"/>
  <c r="L95" i="5"/>
  <c r="H98" i="5" s="1"/>
  <c r="F101" i="5" s="1"/>
  <c r="E87" i="5"/>
  <c r="O86" i="5"/>
  <c r="P88" i="5"/>
  <c r="O85" i="5"/>
  <c r="N88" i="5" s="1"/>
  <c r="O84" i="5"/>
  <c r="L88" i="5" s="1"/>
  <c r="E83" i="5"/>
  <c r="J84" i="5"/>
  <c r="D99" i="5"/>
  <c r="D102" i="5" s="1"/>
  <c r="D105" i="5" s="1"/>
  <c r="F98" i="5"/>
  <c r="D96" i="5"/>
  <c r="J95" i="5"/>
  <c r="F95" i="5"/>
  <c r="D95" i="5"/>
  <c r="D98" i="5" s="1"/>
  <c r="D101" i="5" s="1"/>
  <c r="D65" i="5"/>
  <c r="E52" i="5"/>
  <c r="G54" i="5" s="1"/>
  <c r="G57" i="5" s="1"/>
  <c r="F67" i="5"/>
  <c r="D68" i="5"/>
  <c r="D71" i="5" s="1"/>
  <c r="D74" i="5" s="1"/>
  <c r="J64" i="5"/>
  <c r="H55" i="5"/>
  <c r="I57" i="5" s="1"/>
  <c r="D64" i="5"/>
  <c r="H67" i="5"/>
  <c r="F70" i="5" s="1"/>
  <c r="L64" i="5"/>
  <c r="D48" i="5"/>
  <c r="D46" i="5"/>
  <c r="D43" i="5"/>
  <c r="D45" i="5"/>
  <c r="F39" i="5"/>
  <c r="P87" i="5" l="1"/>
  <c r="N89" i="5"/>
  <c r="D104" i="5"/>
  <c r="D107" i="5" s="1"/>
  <c r="G58" i="5"/>
  <c r="E54" i="5" s="1"/>
  <c r="F64" i="5" s="1"/>
  <c r="D67" i="5" s="1"/>
  <c r="D70" i="5" s="1"/>
  <c r="D73" i="5" s="1"/>
  <c r="D76" i="5" s="1"/>
  <c r="D42" i="5" l="1"/>
  <c r="D40" i="5"/>
  <c r="D39" i="5"/>
  <c r="D37" i="5"/>
  <c r="J36" i="5"/>
  <c r="D36" i="5"/>
  <c r="L51" i="8" l="1"/>
  <c r="C51" i="8"/>
  <c r="L29" i="8"/>
  <c r="C29" i="8"/>
  <c r="C32" i="8" s="1"/>
  <c r="C35" i="8" s="1"/>
  <c r="K54" i="8"/>
  <c r="K57" i="8" s="1"/>
  <c r="K51" i="8"/>
  <c r="L49" i="8"/>
  <c r="L52" i="8" s="1"/>
  <c r="N48" i="8"/>
  <c r="L48" i="8"/>
  <c r="B54" i="8"/>
  <c r="B57" i="8" s="1"/>
  <c r="B51" i="8"/>
  <c r="C49" i="8"/>
  <c r="C52" i="8" s="1"/>
  <c r="E48" i="8"/>
  <c r="C48" i="8"/>
  <c r="L30" i="8"/>
  <c r="K29" i="8"/>
  <c r="K32" i="8" s="1"/>
  <c r="K35" i="8" s="1"/>
  <c r="L27" i="8"/>
  <c r="N26" i="8"/>
  <c r="L26" i="8"/>
  <c r="B35" i="8"/>
  <c r="B32" i="8"/>
  <c r="C30" i="8"/>
  <c r="B29" i="8"/>
  <c r="C27" i="8"/>
  <c r="E26" i="8"/>
  <c r="C26" i="8"/>
  <c r="F46" i="9"/>
  <c r="F44" i="9"/>
  <c r="F42" i="9"/>
  <c r="F47" i="9"/>
  <c r="K30" i="9"/>
  <c r="K35" i="9" s="1"/>
  <c r="G35" i="9"/>
  <c r="G33" i="9"/>
  <c r="K33" i="9"/>
  <c r="I33" i="9"/>
  <c r="I32" i="9"/>
  <c r="K32" i="9"/>
  <c r="G32" i="9"/>
  <c r="I35" i="9"/>
  <c r="G30" i="9"/>
  <c r="I30" i="9"/>
  <c r="C54" i="8" l="1"/>
  <c r="C57" i="8" s="1"/>
  <c r="L32" i="8"/>
  <c r="L35" i="8" s="1"/>
  <c r="L54" i="8"/>
  <c r="L57" i="8" s="1"/>
  <c r="V69" i="4" l="1"/>
  <c r="V61" i="4"/>
  <c r="V57" i="4"/>
  <c r="V62" i="4" l="1"/>
  <c r="V64" i="4" s="1"/>
  <c r="V65" i="4" s="1"/>
  <c r="V66" i="4" s="1"/>
  <c r="V68" i="4" s="1"/>
  <c r="W46" i="4" l="1"/>
  <c r="U46" i="4"/>
  <c r="W34" i="4"/>
  <c r="W36" i="4" s="1"/>
  <c r="U34" i="4"/>
  <c r="U36" i="4" s="1"/>
  <c r="W22" i="4"/>
  <c r="W24" i="4" s="1"/>
  <c r="U22" i="4"/>
  <c r="U24" i="4" s="1"/>
  <c r="W18" i="4"/>
  <c r="U18" i="4"/>
  <c r="W25" i="4" l="1"/>
  <c r="U25" i="4"/>
  <c r="W48" i="4"/>
  <c r="U48" i="4"/>
</calcChain>
</file>

<file path=xl/sharedStrings.xml><?xml version="1.0" encoding="utf-8"?>
<sst xmlns="http://schemas.openxmlformats.org/spreadsheetml/2006/main" count="325" uniqueCount="162">
  <si>
    <t>Cuentas por cobrar</t>
  </si>
  <si>
    <t>Inventarios</t>
  </si>
  <si>
    <t>Cuentas por pagar</t>
  </si>
  <si>
    <t>Ventas</t>
  </si>
  <si>
    <t>Pregunta 1</t>
  </si>
  <si>
    <t>Pregunta 2</t>
  </si>
  <si>
    <t xml:space="preserve">Cálcule la razones financiera de Deuda: </t>
  </si>
  <si>
    <t>Efectivo y valores negociables</t>
  </si>
  <si>
    <t>Total de activos corrientes</t>
  </si>
  <si>
    <t>Terrenos y edificaciones</t>
  </si>
  <si>
    <t>Maquinaria y equipo, mobiliario y accesorios, vehículos y otros</t>
  </si>
  <si>
    <t>Total de activos fijos brutos (al costo)</t>
  </si>
  <si>
    <t xml:space="preserve">Menos: depreciación acumulada </t>
  </si>
  <si>
    <t>Activos fijos netos</t>
  </si>
  <si>
    <t>Total de Activos</t>
  </si>
  <si>
    <t>Pasivos y captial patrimonial de las accionistas</t>
  </si>
  <si>
    <t>Documentos por pagar</t>
  </si>
  <si>
    <t>Cargos por pagar</t>
  </si>
  <si>
    <t>Total de pasivos corrientes</t>
  </si>
  <si>
    <t>Deuda a largo plazo</t>
  </si>
  <si>
    <t>Total Pasivos</t>
  </si>
  <si>
    <t>Acciones preferentes,  5%  acumulado, $60 a la par, 1200 acciones autorizadas y emitidas</t>
  </si>
  <si>
    <t>Acciones comunes $1,70 a la par, 100,000 acciones en circulación en  2022 y 2021</t>
  </si>
  <si>
    <t>Capital pagado en exceso del valor a la par de las acciones comunes</t>
  </si>
  <si>
    <t>Ganacias retenidas</t>
  </si>
  <si>
    <t>Total de capital patrimonial de los accionistas</t>
  </si>
  <si>
    <t>Total de pasivos y capital patrimonial de los accionistas</t>
  </si>
  <si>
    <t>Pregunta 3</t>
  </si>
  <si>
    <t>Menos: costo de los bienes vendidos</t>
  </si>
  <si>
    <t>Utilidades brutas</t>
  </si>
  <si>
    <t>Menos gastos operativos</t>
  </si>
  <si>
    <t>Gastos de venta, administrativos y generales</t>
  </si>
  <si>
    <t>Gasto por depreciación</t>
  </si>
  <si>
    <t>Total de gastos operativos</t>
  </si>
  <si>
    <t>Utilidades antes de intereses en impuestos (UAII)</t>
  </si>
  <si>
    <t>Menos: gastos por intereses</t>
  </si>
  <si>
    <t>Ganancia netas antes de impuestos</t>
  </si>
  <si>
    <t>Menos: impuestos (tasa= 40%)</t>
  </si>
  <si>
    <t>Ganancia neta después de impuestos</t>
  </si>
  <si>
    <t>Menos: dividendos de acciones preferentes</t>
  </si>
  <si>
    <t>Ganancia disponibles para los accionistas comunes</t>
  </si>
  <si>
    <t>Ganancias por acción (GPA)*</t>
  </si>
  <si>
    <t>*Se cálcula:   ganancia disponible entre acciones en circulación, el resultado precio unitario por acción. $170,000/100,000= $1,70</t>
  </si>
  <si>
    <t>Importante: deben mostrar planteamientos y procedimientos, no solo fórmula para demostrar el resultado obtenido</t>
  </si>
  <si>
    <t>Pregunta 2) Valor 18 puntos</t>
  </si>
  <si>
    <t>METODO UPA</t>
  </si>
  <si>
    <t>Las opciones de apalancamiento son las siguientes:</t>
  </si>
  <si>
    <t>1.       Acciones Ordinarias</t>
  </si>
  <si>
    <t>2.       Deuda a un interés de 10%</t>
  </si>
  <si>
    <t>3.       Acciones preferentes con un dividendo del 14%</t>
  </si>
  <si>
    <r>
      <t>Considerar que</t>
    </r>
    <r>
      <rPr>
        <b/>
        <sz val="12"/>
        <color theme="1"/>
        <rFont val="Arial Nova"/>
        <family val="2"/>
      </rPr>
      <t xml:space="preserve"> la tasa fiscal en Costa Rica es de 30%</t>
    </r>
    <r>
      <rPr>
        <sz val="12"/>
        <color theme="1"/>
        <rFont val="Arial Nova"/>
        <family val="2"/>
      </rPr>
      <t xml:space="preserve">. Además, </t>
    </r>
    <r>
      <rPr>
        <b/>
        <sz val="12"/>
        <color theme="1"/>
        <rFont val="Arial Nova"/>
        <family val="2"/>
      </rPr>
      <t>la empresa tiene en circulación 80.000 acciones ordinarias,</t>
    </r>
    <r>
      <rPr>
        <sz val="12"/>
        <color theme="1"/>
        <rFont val="Arial Nova"/>
        <family val="2"/>
      </rPr>
      <t xml:space="preserve">que podrá vender a $200 por acción, bajo la primera opción de financiamiento es decir Acciones Ordinarias, esto significa que son </t>
    </r>
    <r>
      <rPr>
        <b/>
        <sz val="12"/>
        <color theme="1"/>
        <rFont val="Arial Nova"/>
        <family val="2"/>
      </rPr>
      <t>10.000 acciones ordinarias adicionales</t>
    </r>
    <r>
      <rPr>
        <sz val="12"/>
        <color theme="1"/>
        <rFont val="Arial Nova"/>
        <family val="2"/>
      </rPr>
      <t>.</t>
    </r>
  </si>
  <si>
    <t>Basado en la información dada, con las tres opciones de apalancamiento financiero. Realice los siguientes cálculos:</t>
  </si>
  <si>
    <r>
      <t xml:space="preserve">1. Calcule la alternativa 1 Acciones Ordinaras </t>
    </r>
    <r>
      <rPr>
        <b/>
        <sz val="12"/>
        <color theme="1"/>
        <rFont val="Arial Nova"/>
        <family val="2"/>
      </rPr>
      <t>(Valor 5 puntos)</t>
    </r>
  </si>
  <si>
    <r>
      <t>2.</t>
    </r>
    <r>
      <rPr>
        <sz val="7"/>
        <color theme="1"/>
        <rFont val="Arial Nova"/>
        <family val="2"/>
      </rPr>
      <t>   </t>
    </r>
    <r>
      <rPr>
        <sz val="12"/>
        <color theme="1"/>
        <rFont val="Arial Nova"/>
        <family val="2"/>
      </rPr>
      <t xml:space="preserve">Calcule la alternativa 2 Deuda. </t>
    </r>
    <r>
      <rPr>
        <b/>
        <sz val="12"/>
        <color theme="1"/>
        <rFont val="Arial Nova"/>
        <family val="2"/>
      </rPr>
      <t>(Valor 5 puntos)</t>
    </r>
  </si>
  <si>
    <r>
      <t>3.</t>
    </r>
    <r>
      <rPr>
        <sz val="7"/>
        <color theme="1"/>
        <rFont val="Arial Nova"/>
        <family val="2"/>
      </rPr>
      <t>   </t>
    </r>
    <r>
      <rPr>
        <sz val="12"/>
        <color theme="1"/>
        <rFont val="Arial Nova"/>
        <family val="2"/>
      </rPr>
      <t xml:space="preserve">Calcule la alternativa 3 Acciones Preferentes </t>
    </r>
    <r>
      <rPr>
        <b/>
        <sz val="12"/>
        <color theme="1"/>
        <rFont val="Arial Nova"/>
        <family val="2"/>
      </rPr>
      <t>(Valor 5 puntos)</t>
    </r>
  </si>
  <si>
    <r>
      <t>4.</t>
    </r>
    <r>
      <rPr>
        <sz val="7"/>
        <color theme="1"/>
        <rFont val="Arial Nova"/>
        <family val="2"/>
      </rPr>
      <t>   </t>
    </r>
    <r>
      <rPr>
        <sz val="12"/>
        <color theme="1"/>
        <rFont val="Arial Nova"/>
        <family val="2"/>
      </rPr>
      <t xml:space="preserve">Con base a los resultados, indiqué cuál opción recomendaría para ese nuevo financiamiento </t>
    </r>
    <r>
      <rPr>
        <b/>
        <sz val="12"/>
        <color theme="1"/>
        <rFont val="Arial Nova"/>
        <family val="2"/>
      </rPr>
      <t>(Valor 3 puntos)</t>
    </r>
  </si>
  <si>
    <t>UAII</t>
  </si>
  <si>
    <t>Pregunta 4</t>
  </si>
  <si>
    <t>Interpretación</t>
  </si>
  <si>
    <r>
      <rPr>
        <b/>
        <sz val="12"/>
        <color rgb="FF0000CC"/>
        <rFont val="Arial Nova"/>
        <family val="2"/>
      </rPr>
      <t>ROI positivo:</t>
    </r>
    <r>
      <rPr>
        <sz val="12"/>
        <color theme="1"/>
        <rFont val="Arial Nova"/>
        <family val="2"/>
      </rPr>
      <t xml:space="preserve"> la inversión generó ganancias.</t>
    </r>
  </si>
  <si>
    <r>
      <rPr>
        <b/>
        <sz val="12"/>
        <color rgb="FFC00000"/>
        <rFont val="Arial Nova"/>
        <family val="2"/>
      </rPr>
      <t>ROI negativo:</t>
    </r>
    <r>
      <rPr>
        <sz val="12"/>
        <color theme="1"/>
        <rFont val="Arial Nova"/>
        <family val="2"/>
      </rPr>
      <t xml:space="preserve"> la inversión produjo pérdidas.</t>
    </r>
  </si>
  <si>
    <r>
      <rPr>
        <b/>
        <sz val="12"/>
        <color rgb="FF008000"/>
        <rFont val="Arial Nova"/>
        <family val="2"/>
      </rPr>
      <t>ROI alto:</t>
    </r>
    <r>
      <rPr>
        <sz val="12"/>
        <color theme="1"/>
        <rFont val="Arial Nova"/>
        <family val="2"/>
      </rPr>
      <t xml:space="preserve"> mayor eficiencia y rentabilidad.</t>
    </r>
  </si>
  <si>
    <t>Estado de pérdidas y ganancias  Costa Rica Holdingsde 2023 que finaliza el 31 de diciembre</t>
  </si>
  <si>
    <t>Balance General  Costa Rica Holdings S.A de 2022-2023 al 31 de diciembre</t>
  </si>
  <si>
    <t xml:space="preserve">Realice los cálculos del ROI para cada proyecto y clasifique como ROI POSITIVO, ROI NEGATIVO y ROI ALTO </t>
  </si>
  <si>
    <t>✅ Escenarios:</t>
  </si>
  <si>
    <t>1. Proyecto de desarrollo de producto</t>
  </si>
  <si>
    <t>2. Apertura de fábrica</t>
  </si>
  <si>
    <t>Costo de investigación</t>
  </si>
  <si>
    <t>Inversión inicial</t>
  </si>
  <si>
    <t>Ingresos obtenidos</t>
  </si>
  <si>
    <t>Beneficios obtenidos</t>
  </si>
  <si>
    <t>Inversión</t>
  </si>
  <si>
    <t>3. Compra de equipo industrial</t>
  </si>
  <si>
    <t>4. Adquisición de acciones</t>
  </si>
  <si>
    <t>Costo de activo</t>
  </si>
  <si>
    <t>Beneficio neto</t>
  </si>
  <si>
    <t>Valor final</t>
  </si>
  <si>
    <t>Pregunta 4) Valor 8 puntos/ 2 PUNTOS CADA UNO</t>
  </si>
  <si>
    <t>P= precio</t>
  </si>
  <si>
    <t>CV= Costo variable</t>
  </si>
  <si>
    <t>CF= Costo fijo</t>
  </si>
  <si>
    <t>Q= cantidad</t>
  </si>
  <si>
    <t>Q1= cantidad aumentada</t>
  </si>
  <si>
    <r>
      <t xml:space="preserve">Las UAII actualmente están en $2.500.000, en cambio </t>
    </r>
    <r>
      <rPr>
        <b/>
        <sz val="12"/>
        <color theme="1"/>
        <rFont val="Arial Nova"/>
        <family val="2"/>
      </rPr>
      <t>si se decide por el financiamiento esperan que esas UAII sean de $4.000.000.</t>
    </r>
  </si>
  <si>
    <r>
      <t xml:space="preserve">Inversiones CR, posee actualmente un financiamiento de $10.000.000 que consiste en capital accionario. Para el año 2024 desea invertir en un proyecto, por lo que requerirá un financiamiento adicional para poder llevar a cabo el proyecto, mismo que es de </t>
    </r>
    <r>
      <rPr>
        <b/>
        <sz val="12"/>
        <color theme="1"/>
        <rFont val="Arial Nova"/>
        <family val="2"/>
      </rPr>
      <t>$5.500.000</t>
    </r>
    <r>
      <rPr>
        <sz val="12"/>
        <color theme="1"/>
        <rFont val="Arial Nova"/>
        <family val="2"/>
      </rPr>
      <t>.</t>
    </r>
  </si>
  <si>
    <t>Costa Rica Holding, desea calcular las Utilidades antes de intereses e impuestos UAII, según el incrementos y disminuciones, tiene la siguiente información</t>
  </si>
  <si>
    <t>Pregunta 1) Valor 7  puntos</t>
  </si>
  <si>
    <r>
      <rPr>
        <b/>
        <sz val="12"/>
        <color theme="1"/>
        <rFont val="Wingdings"/>
        <charset val="2"/>
      </rPr>
      <t>ü</t>
    </r>
    <r>
      <rPr>
        <b/>
        <sz val="12"/>
        <color theme="1"/>
        <rFont val="Arial Nova"/>
        <family val="2"/>
      </rPr>
      <t>Caso 1 Un incremento de 50 por ciento en las ventas</t>
    </r>
  </si>
  <si>
    <r>
      <rPr>
        <b/>
        <sz val="12"/>
        <color theme="1"/>
        <rFont val="Wingdings"/>
        <charset val="2"/>
      </rPr>
      <t>ü</t>
    </r>
    <r>
      <rPr>
        <b/>
        <sz val="12"/>
        <color theme="1"/>
        <rFont val="Arial Nova"/>
        <family val="2"/>
      </rPr>
      <t xml:space="preserve"> Caso 2 Una disminución de 50 por ciento</t>
    </r>
  </si>
  <si>
    <t>Realice el cuadro con los cálculo respectivo para llegar a la información, según Caso 2 y Caso 1:</t>
  </si>
  <si>
    <t>Pregunta 3) Valor 17 puntos</t>
  </si>
  <si>
    <t>UAII 1 (aumentada al 50%)</t>
  </si>
  <si>
    <t>1) Cálcular el año 2023/ CAPITAL ACCIONES COMUNES (5 puntos)</t>
  </si>
  <si>
    <t xml:space="preserve">2) Cálcule Rendimiento sobre el Patrimonio RSP para el año 2023  (5 puntos) </t>
  </si>
  <si>
    <t>3) Cálcule RAZÓN DEUDA- CAPITAL PATRIMONIAL DEL 2023  (4 puntos)  NO olvide interpretación</t>
  </si>
  <si>
    <t xml:space="preserve">4) Calcule el Rendimiento sobre activos RSA del año 2023  (3 puntos)  </t>
  </si>
  <si>
    <t>Caso 1</t>
  </si>
  <si>
    <t>Reales</t>
  </si>
  <si>
    <t>Caso 2</t>
  </si>
  <si>
    <t>+50%</t>
  </si>
  <si>
    <t>-50%</t>
  </si>
  <si>
    <t>Ventas (en unidades)</t>
  </si>
  <si>
    <t>x</t>
  </si>
  <si>
    <t>Ingreso por ventas</t>
  </si>
  <si>
    <t>*precio por cantidad=  P $10</t>
  </si>
  <si>
    <r>
      <rPr>
        <sz val="12"/>
        <color rgb="FFFF0000"/>
        <rFont val="Arial Nova"/>
        <family val="2"/>
      </rPr>
      <t>Menos</t>
    </r>
    <r>
      <rPr>
        <sz val="12"/>
        <color theme="1"/>
        <rFont val="Arial Nova"/>
        <family val="2"/>
      </rPr>
      <t xml:space="preserve"> costos operativos variables</t>
    </r>
  </si>
  <si>
    <t>Utilidades antes de intereses e impuestos (UAII)</t>
  </si>
  <si>
    <r>
      <rPr>
        <sz val="12"/>
        <color rgb="FFFF0000"/>
        <rFont val="Arial Nova"/>
        <family val="2"/>
      </rPr>
      <t>Menos</t>
    </r>
    <r>
      <rPr>
        <sz val="12"/>
        <color theme="1"/>
        <rFont val="Arial Nova"/>
        <family val="2"/>
      </rPr>
      <t xml:space="preserve"> costos operativos fijos</t>
    </r>
  </si>
  <si>
    <t>Cálculo COSTOS OPERATIVOS FIJOS (BASADO EN LOS DATOS)</t>
  </si>
  <si>
    <t>Ingreso ventas</t>
  </si>
  <si>
    <t>menos</t>
  </si>
  <si>
    <t xml:space="preserve"> costos operativos variables</t>
  </si>
  <si>
    <t>Costos operativos fijos</t>
  </si>
  <si>
    <t>Costos operativos variables= $5/unidad x ventas en unidades</t>
  </si>
  <si>
    <t>Ventas unidades x costo operativo x unidad = ( 1,400 x 5 = 7000)</t>
  </si>
  <si>
    <t>ROI=</t>
  </si>
  <si>
    <t>Costo de la inversión</t>
  </si>
  <si>
    <t>-</t>
  </si>
  <si>
    <t>ROI =</t>
  </si>
  <si>
    <t>ROI alto</t>
  </si>
  <si>
    <t>ROI positivo</t>
  </si>
  <si>
    <t>ROI negativo</t>
  </si>
  <si>
    <t>=</t>
  </si>
  <si>
    <t>RSP=</t>
  </si>
  <si>
    <t>UPA=</t>
  </si>
  <si>
    <t>I</t>
  </si>
  <si>
    <t>t</t>
  </si>
  <si>
    <t>PD</t>
  </si>
  <si>
    <t>NA</t>
  </si>
  <si>
    <t>FINANCIAMIENTO</t>
  </si>
  <si>
    <t>T</t>
  </si>
  <si>
    <t xml:space="preserve">CALCULO DE INTERES </t>
  </si>
  <si>
    <t>Monto completar expansión</t>
  </si>
  <si>
    <t>Tasa de Interes</t>
  </si>
  <si>
    <t>CALCULO PD,dividendo por pagar</t>
  </si>
  <si>
    <t>Cantidad de acciones en ventas (emitidas)</t>
  </si>
  <si>
    <t>Precio de ventas acciones</t>
  </si>
  <si>
    <t>Porcentaje de dividendos acciones preferentes</t>
  </si>
  <si>
    <t>Información de las acciones</t>
  </si>
  <si>
    <t>Acciones en circulación</t>
  </si>
  <si>
    <t>Precio de venta por acción</t>
  </si>
  <si>
    <t>Acciones ordinarias adicionales</t>
  </si>
  <si>
    <t>La opcion optima de financiamiento es mediante laa Acciones Preferenciales ya que esta tiene un UPA mayor que las otras dos siendo de 31,50  con una diferencia de 0,39 mas que las Acciones Ordinarias y 1,31 mas que la Deuda</t>
  </si>
  <si>
    <t>Capital Acciones comunes=</t>
  </si>
  <si>
    <t>Total Capital patrimonial de los accionistas</t>
  </si>
  <si>
    <t>Total acciones preferentes Q</t>
  </si>
  <si>
    <t>precio a la par/ valor nominal</t>
  </si>
  <si>
    <t>X</t>
  </si>
  <si>
    <t>Ganancia disponible para los accionistas comunes</t>
  </si>
  <si>
    <t>Activos totales</t>
  </si>
  <si>
    <t>Capital en acciones comunes</t>
  </si>
  <si>
    <t>RAZON DEUDA-CAPITAL PATRIMONIAL=</t>
  </si>
  <si>
    <t>PASIVOS TOTALES</t>
  </si>
  <si>
    <t>CAPITAL ACCIONES COMUNES</t>
  </si>
  <si>
    <t xml:space="preserve">Interpretación: </t>
  </si>
  <si>
    <t>Por cada dólar invertido por los accionistas comunes en la empresa debe a sus acreedores más o menos $2,43 dolares</t>
  </si>
  <si>
    <t xml:space="preserve">Rendimiento sobre activos: </t>
  </si>
  <si>
    <t>MARGEN UTILIDAD DE UTILIDAD NETA</t>
  </si>
  <si>
    <t>ROTACION ACTIVOS TOTALES</t>
  </si>
  <si>
    <t>RSA=</t>
  </si>
  <si>
    <t>Calculando año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</si>
</sst>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0.0%"/>
    <numFmt numFmtId="165" formatCode="[$$-540A]#,##0.00"/>
    <numFmt numFmtId="166" formatCode="_-[$$-409]* #,##0_ ;_-[$$-409]* \-#,##0\ ;_-[$$-409]* &quot;-&quot;??_ ;_-@_ "/>
    <numFmt numFmtId="167" formatCode="_-[$$-540A]* #,##0.00_ ;_-[$$-540A]* \-#,##0.00\ ;_-[$$-540A]* &quot;-&quot;??_ ;_-@_ "/>
    <numFmt numFmtId="168" formatCode="_-[$$-409]* #,##0.00_ ;_-[$$-409]* \-#,##0.00\ ;_-[$$-409]* &quot;-&quot;??_ ;_-@_ "/>
    <numFmt numFmtId="169" formatCode="[$$-409]#,##0.00"/>
    <numFmt numFmtId="175" formatCode="[$$-1004]#,##0.00"/>
    <numFmt numFmtId="178" formatCode="_-&quot;₡&quot;* #,##0.00_-;\-&quot;₡&quot;* #,##0.00_-;_-&quot;₡&quot;* &quot;-&quot;??_-;_-@_-"/>
    <numFmt numFmtId="179" formatCode="_-* #,##0.00_-;\-* #,##0.00_-;_-* &quot;-&quot;??_-;_-@_-"/>
    <numFmt numFmtId="180" formatCode="[$$-45C]#,##0.00"/>
  </numFmts>
  <fonts count="33" x14ac:knownFonts="1">
    <font>
      <sz val="11"/>
      <color theme="1"/>
      <name val="Aptos Narrow"/>
      <family val="2"/>
      <scheme val="minor"/>
    </font>
    <font>
      <sz val="11"/>
      <color theme="1"/>
      <name val="Aptos Narrow"/>
      <family val="2"/>
      <scheme val="minor"/>
    </font>
    <font>
      <sz val="11"/>
      <color theme="1"/>
      <name val="Arial Nova"/>
      <family val="2"/>
    </font>
    <font>
      <b/>
      <sz val="12"/>
      <color rgb="FF000000"/>
      <name val="Arial Nova"/>
      <family val="2"/>
    </font>
    <font>
      <sz val="12"/>
      <color theme="1"/>
      <name val="Arial Nova"/>
      <family val="2"/>
    </font>
    <font>
      <b/>
      <sz val="12"/>
      <color theme="1"/>
      <name val="Arial Nova"/>
      <family val="2"/>
    </font>
    <font>
      <b/>
      <sz val="11"/>
      <color rgb="FF0000CC"/>
      <name val="Arial Nova"/>
      <family val="2"/>
    </font>
    <font>
      <b/>
      <sz val="11"/>
      <color theme="1"/>
      <name val="Arial Nova"/>
      <family val="2"/>
    </font>
    <font>
      <b/>
      <sz val="14"/>
      <color theme="1"/>
      <name val="Arial Nova"/>
      <family val="2"/>
    </font>
    <font>
      <b/>
      <sz val="12"/>
      <name val="Arial Nova"/>
      <family val="2"/>
    </font>
    <font>
      <b/>
      <sz val="12"/>
      <color theme="0"/>
      <name val="Arial Nova"/>
      <family val="2"/>
    </font>
    <font>
      <b/>
      <sz val="12"/>
      <color rgb="FF0000CC"/>
      <name val="Arial Nova"/>
      <family val="2"/>
    </font>
    <font>
      <sz val="12"/>
      <color rgb="FF0000CC"/>
      <name val="Arial Nova"/>
      <family val="2"/>
    </font>
    <font>
      <sz val="12"/>
      <name val="Arial Nova"/>
      <family val="2"/>
    </font>
    <font>
      <sz val="12"/>
      <color rgb="FF000000"/>
      <name val="Arial Nova"/>
      <family val="2"/>
    </font>
    <font>
      <sz val="12"/>
      <color rgb="FFFF0000"/>
      <name val="Arial Nova"/>
      <family val="2"/>
    </font>
    <font>
      <b/>
      <sz val="12"/>
      <color theme="4"/>
      <name val="Arial Nova"/>
      <family val="2"/>
    </font>
    <font>
      <sz val="7"/>
      <color theme="1"/>
      <name val="Arial Nova"/>
      <family val="2"/>
    </font>
    <font>
      <b/>
      <sz val="12"/>
      <color rgb="FFC00000"/>
      <name val="Arial Nova"/>
      <family val="2"/>
    </font>
    <font>
      <b/>
      <sz val="12"/>
      <color rgb="FF008000"/>
      <name val="Arial Nova"/>
      <family val="2"/>
    </font>
    <font>
      <b/>
      <sz val="14"/>
      <color rgb="FF008000"/>
      <name val="Arial Nova"/>
      <family val="2"/>
    </font>
    <font>
      <b/>
      <sz val="14"/>
      <color rgb="FFFF0000"/>
      <name val="Arial Nova"/>
      <family val="2"/>
    </font>
    <font>
      <b/>
      <sz val="12"/>
      <color theme="1"/>
      <name val="Wingdings"/>
      <charset val="2"/>
    </font>
    <font>
      <b/>
      <sz val="12"/>
      <color theme="1"/>
      <name val="Arial Nova"/>
      <family val="2"/>
      <charset val="2"/>
    </font>
    <font>
      <b/>
      <sz val="12"/>
      <color theme="9"/>
      <name val="Arial Nova"/>
      <family val="2"/>
    </font>
    <font>
      <b/>
      <sz val="12"/>
      <color rgb="FFFF0000"/>
      <name val="Arial Nova"/>
      <family val="2"/>
    </font>
    <font>
      <b/>
      <sz val="14"/>
      <color theme="3" tint="0.249977111117893"/>
      <name val="Arial Nova"/>
      <family val="2"/>
    </font>
    <font>
      <b/>
      <sz val="14"/>
      <color theme="4"/>
      <name val="Arial Nova"/>
      <family val="2"/>
    </font>
    <font>
      <sz val="12"/>
      <color theme="1"/>
      <name val="Aptos Narrow"/>
      <family val="2"/>
      <scheme val="minor"/>
    </font>
    <font>
      <b/>
      <sz val="12"/>
      <color theme="1"/>
      <name val="Aptos Narrow"/>
      <family val="2"/>
      <scheme val="minor"/>
    </font>
    <font>
      <b/>
      <sz val="16"/>
      <color rgb="FFFF0000"/>
      <name val="Arial Nova"/>
      <family val="2"/>
    </font>
    <font>
      <b/>
      <sz val="22"/>
      <color rgb="FFFF0000"/>
      <name val="Arial Nova"/>
      <family val="2"/>
    </font>
    <font>
      <b/>
      <sz val="16"/>
      <color theme="1"/>
      <name val="Arial Nova"/>
      <family val="2"/>
    </font>
  </fonts>
  <fills count="22">
    <fill>
      <patternFill patternType="none"/>
    </fill>
    <fill>
      <patternFill patternType="gray125"/>
    </fill>
    <fill>
      <patternFill patternType="solid">
        <fgColor rgb="FFFFFFCC"/>
      </patternFill>
    </fill>
    <fill>
      <patternFill patternType="solid">
        <fgColor rgb="FFCCFFCC"/>
        <bgColor indexed="64"/>
      </patternFill>
    </fill>
    <fill>
      <patternFill patternType="solid">
        <fgColor rgb="FFCCFFFF"/>
        <bgColor indexed="64"/>
      </patternFill>
    </fill>
    <fill>
      <patternFill patternType="solid">
        <fgColor rgb="FFCCECFF"/>
        <bgColor indexed="64"/>
      </patternFill>
    </fill>
    <fill>
      <patternFill patternType="solid">
        <fgColor rgb="FF0000CC"/>
        <bgColor indexed="64"/>
      </patternFill>
    </fill>
    <fill>
      <patternFill patternType="solid">
        <fgColor rgb="FFFFCCFF"/>
        <bgColor indexed="64"/>
      </patternFill>
    </fill>
    <fill>
      <patternFill patternType="solid">
        <fgColor rgb="FF8ADECA"/>
        <bgColor indexed="64"/>
      </patternFill>
    </fill>
    <fill>
      <patternFill patternType="solid">
        <fgColor rgb="FFFFFF00"/>
        <bgColor indexed="64"/>
      </patternFill>
    </fill>
    <fill>
      <patternFill patternType="solid">
        <fgColor rgb="FFFFFF66"/>
        <bgColor indexed="64"/>
      </patternFill>
    </fill>
    <fill>
      <patternFill patternType="solid">
        <fgColor rgb="FF99FF99"/>
        <bgColor indexed="64"/>
      </patternFill>
    </fill>
    <fill>
      <patternFill patternType="solid">
        <fgColor rgb="FF99CCFF"/>
        <bgColor indexed="64"/>
      </patternFill>
    </fill>
    <fill>
      <patternFill patternType="solid">
        <fgColor rgb="FFE6B3FF"/>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CCCCFF"/>
        <bgColor indexed="64"/>
      </patternFill>
    </fill>
    <fill>
      <patternFill patternType="solid">
        <fgColor rgb="FF66FFFF"/>
        <bgColor indexed="64"/>
      </patternFill>
    </fill>
    <fill>
      <patternFill patternType="solid">
        <fgColor theme="7" tint="0.79998168889431442"/>
        <bgColor indexed="64"/>
      </patternFill>
    </fill>
  </fills>
  <borders count="59">
    <border>
      <left/>
      <right/>
      <top/>
      <bottom/>
      <diagonal/>
    </border>
    <border>
      <left style="thin">
        <color rgb="FFB2B2B2"/>
      </left>
      <right style="thin">
        <color rgb="FFB2B2B2"/>
      </right>
      <top style="thin">
        <color rgb="FFB2B2B2"/>
      </top>
      <bottom style="thin">
        <color rgb="FFB2B2B2"/>
      </bottom>
      <diagonal/>
    </border>
    <border>
      <left/>
      <right/>
      <top style="thin">
        <color rgb="FF000000"/>
      </top>
      <bottom style="double">
        <color rgb="FF000000"/>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top/>
      <bottom style="thin">
        <color rgb="FF000000"/>
      </bottom>
      <diagonal/>
    </border>
    <border>
      <left/>
      <right/>
      <top style="medium">
        <color rgb="FF000000"/>
      </top>
      <bottom style="medium">
        <color rgb="FF000000"/>
      </bottom>
      <diagonal/>
    </border>
    <border>
      <left/>
      <right/>
      <top style="thin">
        <color rgb="FF000000"/>
      </top>
      <bottom/>
      <diagonal/>
    </border>
    <border>
      <left/>
      <right/>
      <top/>
      <bottom style="double">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thin">
        <color rgb="FFB2B2B2"/>
      </bottom>
      <diagonal/>
    </border>
    <border>
      <left/>
      <right/>
      <top style="medium">
        <color indexed="64"/>
      </top>
      <bottom style="thin">
        <color rgb="FFB2B2B2"/>
      </bottom>
      <diagonal/>
    </border>
    <border>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style="medium">
        <color indexed="64"/>
      </left>
      <right style="thin">
        <color rgb="FFB2B2B2"/>
      </right>
      <top style="medium">
        <color indexed="64"/>
      </top>
      <bottom style="thin">
        <color rgb="FFB2B2B2"/>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right style="thin">
        <color rgb="FFB2B2B2"/>
      </right>
      <top style="medium">
        <color indexed="64"/>
      </top>
      <bottom style="thin">
        <color rgb="FFB2B2B2"/>
      </bottom>
      <diagonal/>
    </border>
    <border>
      <left style="medium">
        <color indexed="64"/>
      </left>
      <right/>
      <top style="thin">
        <color rgb="FFB2B2B2"/>
      </top>
      <bottom style="medium">
        <color indexed="64"/>
      </bottom>
      <diagonal/>
    </border>
    <border>
      <left/>
      <right style="thin">
        <color rgb="FFB2B2B2"/>
      </right>
      <top style="thin">
        <color rgb="FFB2B2B2"/>
      </top>
      <bottom style="medium">
        <color indexed="64"/>
      </bottom>
      <diagonal/>
    </border>
    <border>
      <left style="medium">
        <color indexed="64"/>
      </left>
      <right/>
      <top style="thin">
        <color rgb="FFB2B2B2"/>
      </top>
      <bottom style="thin">
        <color rgb="FFB2B2B2"/>
      </bottom>
      <diagonal/>
    </border>
    <border>
      <left/>
      <right style="thin">
        <color rgb="FFB2B2B2"/>
      </right>
      <top style="thin">
        <color rgb="FFB2B2B2"/>
      </top>
      <bottom style="thin">
        <color rgb="FFB2B2B2"/>
      </bottom>
      <diagonal/>
    </border>
    <border>
      <left/>
      <right/>
      <top style="thin">
        <color indexed="64"/>
      </top>
      <bottom/>
      <diagonal/>
    </border>
    <border>
      <left style="medium">
        <color indexed="64"/>
      </left>
      <right/>
      <top style="medium">
        <color indexed="64"/>
      </top>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44" fontId="1" fillId="0" borderId="0" applyFont="0" applyFill="0" applyBorder="0" applyAlignment="0" applyProtection="0"/>
    <xf numFmtId="179" fontId="1" fillId="0" borderId="0" applyFont="0" applyFill="0" applyBorder="0" applyAlignment="0" applyProtection="0"/>
    <xf numFmtId="178" fontId="1" fillId="0" borderId="0" applyFont="0" applyFill="0" applyBorder="0" applyAlignment="0" applyProtection="0"/>
  </cellStyleXfs>
  <cellXfs count="402">
    <xf numFmtId="0" fontId="0" fillId="0" borderId="0" xfId="0"/>
    <xf numFmtId="0" fontId="4" fillId="0" borderId="0" xfId="0" applyFont="1"/>
    <xf numFmtId="0" fontId="5" fillId="0" borderId="0" xfId="0" applyFont="1" applyAlignment="1">
      <alignment horizontal="left"/>
    </xf>
    <xf numFmtId="0" fontId="7" fillId="0" borderId="0" xfId="0" applyFont="1" applyAlignment="1">
      <alignment horizontal="left"/>
    </xf>
    <xf numFmtId="0" fontId="5" fillId="0" borderId="0" xfId="0" applyFont="1"/>
    <xf numFmtId="0" fontId="2" fillId="0" borderId="0" xfId="0" applyFont="1" applyAlignment="1">
      <alignment horizontal="left"/>
    </xf>
    <xf numFmtId="0" fontId="6" fillId="0" borderId="0" xfId="0" applyFont="1"/>
    <xf numFmtId="0" fontId="5" fillId="4" borderId="0" xfId="0" applyFont="1" applyFill="1" applyAlignment="1">
      <alignment horizontal="left"/>
    </xf>
    <xf numFmtId="0" fontId="2" fillId="0" borderId="10" xfId="0" applyFont="1" applyBorder="1"/>
    <xf numFmtId="0" fontId="7" fillId="0" borderId="12" xfId="0" applyFont="1" applyBorder="1"/>
    <xf numFmtId="0" fontId="2" fillId="0" borderId="11" xfId="0" applyFont="1" applyBorder="1"/>
    <xf numFmtId="166" fontId="2" fillId="0" borderId="0" xfId="0" applyNumberFormat="1" applyFont="1"/>
    <xf numFmtId="166" fontId="2" fillId="0" borderId="13" xfId="0" applyNumberFormat="1" applyFont="1" applyBorder="1"/>
    <xf numFmtId="166" fontId="7" fillId="0" borderId="2" xfId="0" applyNumberFormat="1" applyFont="1" applyBorder="1"/>
    <xf numFmtId="166" fontId="7" fillId="0" borderId="0" xfId="0" applyNumberFormat="1" applyFont="1"/>
    <xf numFmtId="0" fontId="7" fillId="0" borderId="8" xfId="0" applyFont="1" applyBorder="1" applyAlignment="1">
      <alignment horizontal="left"/>
    </xf>
    <xf numFmtId="0" fontId="4" fillId="0" borderId="0" xfId="0" applyFont="1" applyAlignment="1">
      <alignment vertical="center" wrapText="1"/>
    </xf>
    <xf numFmtId="166" fontId="2" fillId="0" borderId="3" xfId="0" applyNumberFormat="1" applyFont="1" applyBorder="1"/>
    <xf numFmtId="0" fontId="4" fillId="0" borderId="10" xfId="0" applyFont="1" applyBorder="1"/>
    <xf numFmtId="166" fontId="4" fillId="0" borderId="0" xfId="0" applyNumberFormat="1" applyFont="1"/>
    <xf numFmtId="0" fontId="4" fillId="0" borderId="11" xfId="0" applyFont="1" applyBorder="1"/>
    <xf numFmtId="166" fontId="4" fillId="0" borderId="13" xfId="0" applyNumberFormat="1" applyFont="1" applyBorder="1"/>
    <xf numFmtId="0" fontId="5" fillId="0" borderId="0" xfId="0" applyFont="1" applyAlignment="1">
      <alignment horizontal="center"/>
    </xf>
    <xf numFmtId="166" fontId="5" fillId="0" borderId="0" xfId="0" applyNumberFormat="1" applyFont="1"/>
    <xf numFmtId="0" fontId="4" fillId="0" borderId="17" xfId="0" applyFont="1" applyBorder="1"/>
    <xf numFmtId="0" fontId="4" fillId="0" borderId="12" xfId="0" applyFont="1" applyBorder="1" applyAlignment="1">
      <alignment wrapText="1"/>
    </xf>
    <xf numFmtId="166" fontId="4" fillId="0" borderId="12" xfId="0" applyNumberFormat="1" applyFont="1" applyBorder="1"/>
    <xf numFmtId="0" fontId="4" fillId="0" borderId="18" xfId="0" applyFont="1" applyBorder="1"/>
    <xf numFmtId="168" fontId="4" fillId="0" borderId="0" xfId="0" applyNumberFormat="1" applyFont="1"/>
    <xf numFmtId="168" fontId="15" fillId="0" borderId="13" xfId="0" applyNumberFormat="1" applyFont="1" applyBorder="1"/>
    <xf numFmtId="168" fontId="15" fillId="0" borderId="0" xfId="0" applyNumberFormat="1" applyFont="1"/>
    <xf numFmtId="168" fontId="4" fillId="0" borderId="13" xfId="0" applyNumberFormat="1" applyFont="1" applyBorder="1"/>
    <xf numFmtId="43" fontId="4" fillId="0" borderId="0" xfId="1" applyFont="1"/>
    <xf numFmtId="0" fontId="3" fillId="0" borderId="0" xfId="0" applyFont="1" applyAlignment="1">
      <alignment horizontal="center" vertical="center"/>
    </xf>
    <xf numFmtId="0" fontId="5" fillId="0" borderId="0" xfId="0" applyFont="1" applyAlignment="1">
      <alignment vertical="center"/>
    </xf>
    <xf numFmtId="0" fontId="4" fillId="2" borderId="22" xfId="3" applyFont="1" applyBorder="1" applyAlignment="1">
      <alignment horizontal="left" vertical="center"/>
    </xf>
    <xf numFmtId="0" fontId="4" fillId="2" borderId="1" xfId="3" applyFont="1" applyAlignment="1">
      <alignment horizontal="left" vertical="center"/>
    </xf>
    <xf numFmtId="0" fontId="4" fillId="2" borderId="23" xfId="3" applyFont="1" applyBorder="1" applyAlignment="1">
      <alignment horizontal="left" vertical="center"/>
    </xf>
    <xf numFmtId="9" fontId="5" fillId="0" borderId="0" xfId="0" applyNumberFormat="1" applyFont="1" applyAlignment="1">
      <alignment horizontal="center"/>
    </xf>
    <xf numFmtId="169" fontId="4" fillId="0" borderId="0" xfId="0" applyNumberFormat="1" applyFont="1" applyAlignment="1">
      <alignment horizontal="center"/>
    </xf>
    <xf numFmtId="0" fontId="4" fillId="0" borderId="0" xfId="0" applyFont="1" applyAlignment="1">
      <alignment vertical="center"/>
    </xf>
    <xf numFmtId="169" fontId="4" fillId="2" borderId="29" xfId="3" applyNumberFormat="1" applyFont="1" applyBorder="1" applyAlignment="1">
      <alignment horizontal="center"/>
    </xf>
    <xf numFmtId="169" fontId="4" fillId="2" borderId="23" xfId="3" applyNumberFormat="1" applyFont="1" applyBorder="1" applyAlignment="1">
      <alignment horizontal="center"/>
    </xf>
    <xf numFmtId="43" fontId="4" fillId="2" borderId="23" xfId="3" applyNumberFormat="1" applyFont="1" applyBorder="1"/>
    <xf numFmtId="0" fontId="4" fillId="2" borderId="24" xfId="3" applyFont="1" applyBorder="1" applyAlignment="1">
      <alignment horizontal="left"/>
    </xf>
    <xf numFmtId="0" fontId="4" fillId="2" borderId="25" xfId="3" applyFont="1" applyBorder="1" applyAlignment="1">
      <alignment horizontal="left"/>
    </xf>
    <xf numFmtId="43" fontId="4" fillId="2" borderId="26" xfId="3" applyNumberFormat="1" applyFont="1" applyBorder="1"/>
    <xf numFmtId="169" fontId="4" fillId="2" borderId="26" xfId="3" applyNumberFormat="1" applyFont="1" applyBorder="1" applyAlignment="1">
      <alignment horizontal="center"/>
    </xf>
    <xf numFmtId="169" fontId="4" fillId="5" borderId="23" xfId="3" applyNumberFormat="1" applyFont="1" applyFill="1" applyBorder="1" applyAlignment="1">
      <alignment horizontal="center"/>
    </xf>
    <xf numFmtId="168" fontId="4" fillId="3" borderId="0" xfId="0" applyNumberFormat="1" applyFont="1" applyFill="1"/>
    <xf numFmtId="168" fontId="5" fillId="0" borderId="0" xfId="0" applyNumberFormat="1" applyFont="1"/>
    <xf numFmtId="168" fontId="5" fillId="4" borderId="2" xfId="0" applyNumberFormat="1" applyFont="1" applyFill="1" applyBorder="1"/>
    <xf numFmtId="0" fontId="4" fillId="0" borderId="0" xfId="0" applyFont="1" applyAlignment="1">
      <alignment horizontal="center"/>
    </xf>
    <xf numFmtId="0" fontId="12" fillId="0" borderId="0" xfId="0" applyFont="1" applyAlignment="1">
      <alignment vertical="center"/>
    </xf>
    <xf numFmtId="0" fontId="13" fillId="0" borderId="0" xfId="0" applyFont="1" applyAlignment="1">
      <alignment vertical="center"/>
    </xf>
    <xf numFmtId="167" fontId="13" fillId="0" borderId="0" xfId="0" applyNumberFormat="1" applyFont="1"/>
    <xf numFmtId="0" fontId="9" fillId="0" borderId="0" xfId="0" applyFont="1" applyAlignment="1">
      <alignment vertical="center"/>
    </xf>
    <xf numFmtId="43" fontId="4" fillId="0" borderId="0" xfId="1" applyFont="1" applyFill="1" applyBorder="1" applyAlignment="1"/>
    <xf numFmtId="0" fontId="4" fillId="0" borderId="0" xfId="0" applyFont="1" applyAlignment="1">
      <alignment horizontal="center" vertical="center"/>
    </xf>
    <xf numFmtId="0" fontId="5" fillId="0" borderId="0" xfId="0" applyFont="1" applyAlignment="1">
      <alignment vertical="center" wrapText="1"/>
    </xf>
    <xf numFmtId="0" fontId="11" fillId="0" borderId="0" xfId="0" applyFont="1"/>
    <xf numFmtId="9" fontId="5" fillId="0" borderId="0" xfId="2" applyFont="1" applyFill="1" applyBorder="1" applyAlignment="1">
      <alignment horizontal="center"/>
    </xf>
    <xf numFmtId="0" fontId="4" fillId="14" borderId="0" xfId="0" applyFont="1" applyFill="1"/>
    <xf numFmtId="0" fontId="5" fillId="14" borderId="0" xfId="0" applyFont="1" applyFill="1" applyAlignment="1">
      <alignment horizontal="left"/>
    </xf>
    <xf numFmtId="0" fontId="4" fillId="2" borderId="24" xfId="3" applyFont="1" applyBorder="1" applyAlignment="1">
      <alignment horizontal="left" vertical="center"/>
    </xf>
    <xf numFmtId="0" fontId="4" fillId="2" borderId="25" xfId="3" applyFont="1" applyBorder="1" applyAlignment="1">
      <alignment horizontal="left" vertical="center"/>
    </xf>
    <xf numFmtId="0" fontId="4" fillId="2" borderId="26" xfId="3" applyFont="1" applyBorder="1" applyAlignment="1">
      <alignment horizontal="left" vertical="center"/>
    </xf>
    <xf numFmtId="0" fontId="3" fillId="0" borderId="2" xfId="0" applyFont="1" applyBorder="1" applyAlignment="1">
      <alignment horizontal="center" vertical="center"/>
    </xf>
    <xf numFmtId="0" fontId="5" fillId="9" borderId="4" xfId="0" applyFont="1" applyFill="1" applyBorder="1" applyAlignment="1">
      <alignment horizontal="center"/>
    </xf>
    <xf numFmtId="0" fontId="5" fillId="9" borderId="5" xfId="0" applyFont="1" applyFill="1" applyBorder="1" applyAlignment="1">
      <alignment horizontal="center"/>
    </xf>
    <xf numFmtId="0" fontId="5" fillId="9" borderId="6" xfId="0" applyFont="1" applyFill="1" applyBorder="1" applyAlignment="1">
      <alignment horizontal="center"/>
    </xf>
    <xf numFmtId="0" fontId="5" fillId="0" borderId="0" xfId="0" applyFont="1" applyAlignment="1">
      <alignment horizontal="left"/>
    </xf>
    <xf numFmtId="0" fontId="5" fillId="2" borderId="19" xfId="3" applyFont="1" applyBorder="1" applyAlignment="1">
      <alignment horizontal="center" vertical="center"/>
    </xf>
    <xf numFmtId="0" fontId="5" fillId="2" borderId="20" xfId="3" applyFont="1" applyBorder="1" applyAlignment="1">
      <alignment horizontal="center" vertical="center"/>
    </xf>
    <xf numFmtId="0" fontId="5" fillId="2" borderId="21" xfId="3" applyFont="1" applyBorder="1" applyAlignment="1">
      <alignment horizontal="center" vertical="center"/>
    </xf>
    <xf numFmtId="0" fontId="4" fillId="2" borderId="22" xfId="3" applyFont="1" applyBorder="1" applyAlignment="1">
      <alignment horizontal="left" vertical="center"/>
    </xf>
    <xf numFmtId="0" fontId="4" fillId="2" borderId="1" xfId="3" applyFont="1" applyAlignment="1">
      <alignment horizontal="left" vertical="center"/>
    </xf>
    <xf numFmtId="0" fontId="4" fillId="2" borderId="23" xfId="3" applyFont="1" applyBorder="1" applyAlignment="1">
      <alignment horizontal="left" vertical="center"/>
    </xf>
    <xf numFmtId="0" fontId="5" fillId="0" borderId="0" xfId="0" applyFont="1" applyAlignment="1">
      <alignment horizontal="center"/>
    </xf>
    <xf numFmtId="0" fontId="11" fillId="0" borderId="0" xfId="0" applyFont="1" applyAlignment="1">
      <alignment horizontal="center"/>
    </xf>
    <xf numFmtId="0" fontId="23" fillId="0" borderId="0" xfId="0" applyFont="1" applyAlignment="1">
      <alignment horizontal="left"/>
    </xf>
    <xf numFmtId="0" fontId="4" fillId="2" borderId="22" xfId="3" applyFont="1" applyBorder="1" applyAlignment="1">
      <alignment horizontal="left"/>
    </xf>
    <xf numFmtId="0" fontId="4" fillId="2" borderId="1" xfId="3" applyFont="1" applyAlignment="1">
      <alignment horizontal="left"/>
    </xf>
    <xf numFmtId="0" fontId="4" fillId="0" borderId="0" xfId="0" applyFont="1" applyAlignment="1">
      <alignment horizontal="left"/>
    </xf>
    <xf numFmtId="0" fontId="4" fillId="3" borderId="0" xfId="0" applyFont="1" applyFill="1" applyAlignment="1">
      <alignment horizontal="left"/>
    </xf>
    <xf numFmtId="0" fontId="4" fillId="5" borderId="19" xfId="3" applyFont="1" applyFill="1" applyBorder="1" applyAlignment="1">
      <alignment horizontal="left"/>
    </xf>
    <xf numFmtId="0" fontId="4" fillId="5" borderId="30" xfId="3" applyFont="1" applyFill="1" applyBorder="1" applyAlignment="1">
      <alignment horizontal="left"/>
    </xf>
    <xf numFmtId="0" fontId="4" fillId="2" borderId="31" xfId="3" applyFont="1" applyBorder="1" applyAlignment="1">
      <alignment horizontal="left"/>
    </xf>
    <xf numFmtId="0" fontId="4" fillId="2" borderId="32" xfId="3" applyFont="1" applyBorder="1" applyAlignment="1">
      <alignment horizontal="left"/>
    </xf>
    <xf numFmtId="0" fontId="4" fillId="2" borderId="27" xfId="3" applyFont="1" applyBorder="1" applyAlignment="1">
      <alignment horizontal="left"/>
    </xf>
    <xf numFmtId="0" fontId="4" fillId="2" borderId="28" xfId="3" applyFont="1" applyBorder="1" applyAlignment="1">
      <alignment horizontal="left"/>
    </xf>
    <xf numFmtId="0" fontId="8" fillId="0" borderId="0" xfId="0" applyFont="1" applyAlignment="1">
      <alignment horizontal="center"/>
    </xf>
    <xf numFmtId="0" fontId="4" fillId="0" borderId="0" xfId="0" applyFont="1" applyAlignment="1">
      <alignment horizontal="left" vertical="center" wrapText="1"/>
    </xf>
    <xf numFmtId="0" fontId="5" fillId="2" borderId="1" xfId="3" applyFont="1" applyAlignment="1">
      <alignment horizontal="left"/>
    </xf>
    <xf numFmtId="0" fontId="4" fillId="0" borderId="0" xfId="0" applyFont="1" applyAlignment="1">
      <alignment horizontal="left" vertical="center"/>
    </xf>
    <xf numFmtId="0" fontId="4" fillId="0" borderId="0" xfId="0" applyFont="1" applyAlignment="1">
      <alignment horizontal="left" wrapText="1"/>
    </xf>
    <xf numFmtId="0" fontId="4" fillId="0" borderId="0" xfId="0" applyFont="1" applyAlignment="1">
      <alignment horizontal="center" wrapText="1"/>
    </xf>
    <xf numFmtId="0" fontId="4" fillId="10" borderId="0" xfId="0" applyFont="1" applyFill="1" applyAlignment="1">
      <alignment horizontal="left" vertical="center" wrapText="1"/>
    </xf>
    <xf numFmtId="0" fontId="4" fillId="12" borderId="0" xfId="0" applyFont="1" applyFill="1" applyAlignment="1">
      <alignment horizontal="left" vertical="center" wrapText="1"/>
    </xf>
    <xf numFmtId="0" fontId="4" fillId="13" borderId="0" xfId="0" applyFont="1" applyFill="1" applyAlignment="1">
      <alignment horizontal="left" vertical="center" wrapText="1"/>
    </xf>
    <xf numFmtId="166" fontId="4" fillId="0" borderId="0" xfId="0" applyNumberFormat="1" applyFont="1" applyAlignment="1">
      <alignment horizontal="center"/>
    </xf>
    <xf numFmtId="166" fontId="5" fillId="0" borderId="15" xfId="0" applyNumberFormat="1" applyFont="1" applyBorder="1" applyAlignment="1">
      <alignment horizontal="center"/>
    </xf>
    <xf numFmtId="166" fontId="5" fillId="0" borderId="16" xfId="0" applyNumberFormat="1" applyFont="1" applyBorder="1" applyAlignment="1">
      <alignment horizontal="center"/>
    </xf>
    <xf numFmtId="0" fontId="9" fillId="3" borderId="0" xfId="0" applyFont="1" applyFill="1" applyAlignment="1">
      <alignment horizontal="left"/>
    </xf>
    <xf numFmtId="0" fontId="5" fillId="3" borderId="0" xfId="0" applyFont="1" applyFill="1" applyAlignment="1">
      <alignment horizontal="left"/>
    </xf>
    <xf numFmtId="0" fontId="5" fillId="4" borderId="0" xfId="0" applyFont="1" applyFill="1" applyAlignment="1">
      <alignment horizontal="left"/>
    </xf>
    <xf numFmtId="0" fontId="16" fillId="0" borderId="0" xfId="0" applyFont="1" applyAlignment="1">
      <alignment horizontal="left"/>
    </xf>
    <xf numFmtId="0" fontId="4" fillId="0" borderId="12" xfId="0" applyFont="1" applyBorder="1" applyAlignment="1">
      <alignment horizontal="left" vertical="center" wrapText="1"/>
    </xf>
    <xf numFmtId="0" fontId="5" fillId="0" borderId="0" xfId="0" applyFont="1" applyAlignment="1">
      <alignment horizontal="center" wrapText="1"/>
    </xf>
    <xf numFmtId="0" fontId="14" fillId="8" borderId="7" xfId="0" applyFont="1" applyFill="1" applyBorder="1" applyAlignment="1">
      <alignment horizontal="center" vertical="center" wrapText="1"/>
    </xf>
    <xf numFmtId="0" fontId="14" fillId="8" borderId="8"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14" fillId="8" borderId="0" xfId="0" applyFont="1" applyFill="1" applyAlignment="1">
      <alignment horizontal="center" vertical="center" wrapText="1"/>
    </xf>
    <xf numFmtId="0" fontId="14" fillId="8" borderId="11" xfId="0" applyFont="1" applyFill="1" applyBorder="1" applyAlignment="1">
      <alignment horizontal="center" vertical="center" wrapText="1"/>
    </xf>
    <xf numFmtId="166" fontId="2"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horizontal="center"/>
    </xf>
    <xf numFmtId="0" fontId="7" fillId="0" borderId="0" xfId="0" applyFont="1" applyAlignment="1">
      <alignment horizontal="center"/>
    </xf>
    <xf numFmtId="0" fontId="2" fillId="0" borderId="0" xfId="0" applyFont="1" applyAlignment="1">
      <alignment horizontal="left" wrapText="1"/>
    </xf>
    <xf numFmtId="0" fontId="2" fillId="0" borderId="12" xfId="0" applyFont="1" applyBorder="1" applyAlignment="1">
      <alignment horizontal="center"/>
    </xf>
    <xf numFmtId="0" fontId="7" fillId="0" borderId="14" xfId="0" applyFont="1" applyBorder="1" applyAlignment="1">
      <alignment horizontal="left"/>
    </xf>
    <xf numFmtId="0" fontId="9" fillId="4" borderId="0" xfId="0" applyFont="1" applyFill="1" applyAlignment="1">
      <alignment horizontal="left"/>
    </xf>
    <xf numFmtId="0" fontId="2" fillId="0" borderId="0" xfId="0" applyFont="1" applyAlignment="1">
      <alignment horizontal="center" wrapText="1"/>
    </xf>
    <xf numFmtId="0" fontId="7" fillId="0" borderId="12" xfId="0" applyFont="1" applyBorder="1" applyAlignment="1">
      <alignment horizontal="left"/>
    </xf>
    <xf numFmtId="0" fontId="2" fillId="0" borderId="8" xfId="0" applyFont="1" applyBorder="1" applyAlignment="1">
      <alignment horizontal="left"/>
    </xf>
    <xf numFmtId="0" fontId="9" fillId="7" borderId="0" xfId="0" applyFont="1" applyFill="1" applyAlignment="1">
      <alignment horizontal="left"/>
    </xf>
    <xf numFmtId="0" fontId="10" fillId="6" borderId="7"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0" xfId="0" applyFont="1" applyFill="1" applyAlignment="1">
      <alignment horizontal="center" vertical="center" wrapText="1"/>
    </xf>
    <xf numFmtId="0" fontId="10" fillId="6" borderId="11" xfId="0" applyFont="1" applyFill="1" applyBorder="1" applyAlignment="1">
      <alignment horizontal="center" vertical="center" wrapText="1"/>
    </xf>
    <xf numFmtId="166" fontId="2" fillId="0" borderId="13" xfId="0" applyNumberFormat="1" applyFont="1" applyBorder="1" applyAlignment="1">
      <alignment horizontal="center"/>
    </xf>
    <xf numFmtId="168" fontId="4" fillId="0" borderId="0" xfId="4" applyNumberFormat="1" applyFont="1" applyAlignment="1">
      <alignment horizontal="center" vertical="center"/>
    </xf>
    <xf numFmtId="9" fontId="4" fillId="0" borderId="0" xfId="0" quotePrefix="1" applyNumberFormat="1" applyFont="1" applyAlignment="1">
      <alignment horizontal="center" vertical="center"/>
    </xf>
    <xf numFmtId="0" fontId="4" fillId="0" borderId="0" xfId="0" quotePrefix="1" applyFont="1" applyAlignment="1">
      <alignment horizontal="center" vertical="center"/>
    </xf>
    <xf numFmtId="0" fontId="4" fillId="0" borderId="3" xfId="0" applyFont="1" applyBorder="1" applyAlignment="1">
      <alignment horizontal="center" vertical="center"/>
    </xf>
    <xf numFmtId="0" fontId="4" fillId="15" borderId="0" xfId="0" applyFont="1" applyFill="1" applyAlignment="1">
      <alignment horizontal="center" vertical="center"/>
    </xf>
    <xf numFmtId="168" fontId="4" fillId="15" borderId="0" xfId="4" applyNumberFormat="1" applyFont="1" applyFill="1" applyAlignment="1">
      <alignment horizontal="center" vertical="center"/>
    </xf>
    <xf numFmtId="2" fontId="4" fillId="0" borderId="0" xfId="4" applyNumberFormat="1" applyFont="1" applyAlignment="1">
      <alignment horizontal="center" vertical="center"/>
    </xf>
    <xf numFmtId="2" fontId="4" fillId="15" borderId="0" xfId="0" applyNumberFormat="1" applyFont="1" applyFill="1" applyAlignment="1">
      <alignment horizontal="center" vertical="center"/>
    </xf>
    <xf numFmtId="0" fontId="4" fillId="2" borderId="33" xfId="3" applyFont="1" applyBorder="1" applyAlignment="1">
      <alignment horizontal="center"/>
    </xf>
    <xf numFmtId="0" fontId="4" fillId="2" borderId="34" xfId="3" applyFont="1" applyBorder="1" applyAlignment="1">
      <alignment horizontal="center"/>
    </xf>
    <xf numFmtId="175" fontId="4" fillId="0" borderId="0" xfId="4" applyNumberFormat="1" applyFont="1" applyAlignment="1">
      <alignment horizontal="center" vertical="center"/>
    </xf>
    <xf numFmtId="175" fontId="24" fillId="0" borderId="0" xfId="4" applyNumberFormat="1" applyFont="1" applyAlignment="1">
      <alignment horizontal="center" vertical="center"/>
    </xf>
    <xf numFmtId="175" fontId="4" fillId="15" borderId="0" xfId="4" applyNumberFormat="1" applyFont="1" applyFill="1" applyAlignment="1">
      <alignment horizontal="center" vertical="center"/>
    </xf>
    <xf numFmtId="175" fontId="4" fillId="0" borderId="0" xfId="0" applyNumberFormat="1" applyFont="1" applyAlignment="1">
      <alignment horizontal="center" vertical="center"/>
    </xf>
    <xf numFmtId="175" fontId="4" fillId="0" borderId="0" xfId="4" applyNumberFormat="1" applyFont="1"/>
    <xf numFmtId="175" fontId="5" fillId="15" borderId="3" xfId="0" applyNumberFormat="1" applyFont="1" applyFill="1" applyBorder="1" applyAlignment="1">
      <alignment horizontal="center" vertical="center"/>
    </xf>
    <xf numFmtId="175" fontId="5" fillId="15" borderId="0" xfId="0" applyNumberFormat="1" applyFont="1" applyFill="1" applyAlignment="1">
      <alignment horizontal="center" vertical="center"/>
    </xf>
    <xf numFmtId="175" fontId="4" fillId="0" borderId="0" xfId="0" applyNumberFormat="1" applyFont="1"/>
    <xf numFmtId="175" fontId="25" fillId="0" borderId="0" xfId="4" applyNumberFormat="1" applyFont="1" applyAlignment="1">
      <alignment horizontal="center" vertical="center"/>
    </xf>
    <xf numFmtId="0" fontId="4" fillId="0" borderId="0" xfId="0" applyFont="1" applyAlignment="1">
      <alignment horizontal="center"/>
    </xf>
    <xf numFmtId="0" fontId="4" fillId="0" borderId="0" xfId="0" applyFont="1" applyAlignment="1"/>
    <xf numFmtId="0" fontId="12" fillId="0" borderId="0" xfId="0" applyFont="1"/>
    <xf numFmtId="169" fontId="4" fillId="0" borderId="0" xfId="0" applyNumberFormat="1" applyFont="1"/>
    <xf numFmtId="0" fontId="25" fillId="0" borderId="0" xfId="0" applyFont="1" applyAlignment="1">
      <alignment horizontal="left"/>
    </xf>
    <xf numFmtId="169" fontId="4" fillId="0" borderId="3" xfId="0" applyNumberFormat="1" applyFont="1" applyBorder="1"/>
    <xf numFmtId="169" fontId="5" fillId="5" borderId="0" xfId="0" applyNumberFormat="1" applyFont="1" applyFill="1"/>
    <xf numFmtId="0" fontId="5" fillId="0" borderId="36" xfId="0" applyFont="1" applyBorder="1" applyAlignment="1">
      <alignment horizontal="center"/>
    </xf>
    <xf numFmtId="0" fontId="5" fillId="0" borderId="37" xfId="0" applyFont="1" applyBorder="1" applyAlignment="1">
      <alignment horizontal="center"/>
    </xf>
    <xf numFmtId="0" fontId="5" fillId="0" borderId="37" xfId="0" applyFont="1" applyBorder="1" applyAlignment="1">
      <alignment horizontal="center"/>
    </xf>
    <xf numFmtId="0" fontId="5" fillId="0" borderId="38" xfId="0" applyFont="1" applyBorder="1" applyAlignment="1">
      <alignment horizontal="center"/>
    </xf>
    <xf numFmtId="9" fontId="5" fillId="0" borderId="39" xfId="2" applyFont="1" applyBorder="1" applyAlignment="1">
      <alignment horizontal="center"/>
    </xf>
    <xf numFmtId="0" fontId="5" fillId="0" borderId="40" xfId="0" applyFont="1" applyBorder="1" applyAlignment="1">
      <alignment horizontal="center"/>
    </xf>
    <xf numFmtId="0" fontId="5" fillId="0" borderId="41" xfId="0" applyFont="1" applyBorder="1" applyAlignment="1">
      <alignment horizontal="center"/>
    </xf>
    <xf numFmtId="0" fontId="4" fillId="0" borderId="0" xfId="0" applyFont="1" applyAlignment="1">
      <alignment horizontal="left" vertical="center" indent="1"/>
    </xf>
    <xf numFmtId="0" fontId="5" fillId="0" borderId="0" xfId="0" applyFont="1" applyAlignment="1"/>
    <xf numFmtId="0" fontId="5" fillId="0" borderId="43" xfId="0" applyFont="1" applyBorder="1" applyAlignment="1">
      <alignment horizontal="center"/>
    </xf>
    <xf numFmtId="9" fontId="5" fillId="0" borderId="42" xfId="2" applyFont="1" applyBorder="1" applyAlignment="1">
      <alignment horizontal="center"/>
    </xf>
    <xf numFmtId="169" fontId="4" fillId="0" borderId="0" xfId="0" applyNumberFormat="1" applyFont="1" applyAlignment="1">
      <alignment vertical="center"/>
    </xf>
    <xf numFmtId="169" fontId="4" fillId="0" borderId="0" xfId="0" applyNumberFormat="1" applyFont="1" applyAlignment="1">
      <alignment horizontal="center" vertical="center"/>
    </xf>
    <xf numFmtId="169" fontId="4" fillId="0" borderId="0" xfId="0" applyNumberFormat="1" applyFont="1" applyAlignment="1">
      <alignment horizontal="center" vertical="center"/>
    </xf>
    <xf numFmtId="169" fontId="4" fillId="0" borderId="3" xfId="0" applyNumberFormat="1" applyFont="1" applyBorder="1" applyAlignment="1">
      <alignment horizontal="center" vertical="center"/>
    </xf>
    <xf numFmtId="9" fontId="4" fillId="0" borderId="0" xfId="0" applyNumberFormat="1" applyFont="1" applyAlignment="1">
      <alignment horizontal="center" vertical="center"/>
    </xf>
    <xf numFmtId="9" fontId="5" fillId="0" borderId="0" xfId="0" applyNumberFormat="1" applyFont="1" applyAlignment="1">
      <alignment horizontal="center" vertical="center"/>
    </xf>
    <xf numFmtId="9" fontId="4" fillId="0" borderId="0" xfId="2" applyFont="1" applyFill="1" applyBorder="1" applyAlignment="1">
      <alignment horizontal="center" vertical="center"/>
    </xf>
    <xf numFmtId="0" fontId="5" fillId="0" borderId="0" xfId="0" applyFont="1" applyAlignment="1">
      <alignment horizontal="center" vertical="center"/>
    </xf>
    <xf numFmtId="9" fontId="20" fillId="16" borderId="0" xfId="2" applyFont="1" applyFill="1" applyBorder="1" applyAlignment="1">
      <alignment horizontal="center" vertical="center"/>
    </xf>
    <xf numFmtId="9" fontId="26" fillId="15" borderId="0" xfId="2" applyFont="1" applyFill="1" applyBorder="1" applyAlignment="1">
      <alignment horizontal="center" vertical="center"/>
    </xf>
    <xf numFmtId="9" fontId="21" fillId="17" borderId="0" xfId="2" applyFont="1" applyFill="1" applyBorder="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27" fillId="0" borderId="0" xfId="0" applyFont="1" applyAlignment="1">
      <alignment horizontal="center" vertical="center"/>
    </xf>
    <xf numFmtId="0" fontId="0" fillId="0" borderId="0" xfId="0"/>
    <xf numFmtId="0" fontId="9" fillId="0" borderId="0" xfId="0" applyFont="1" applyAlignment="1">
      <alignment vertical="center"/>
    </xf>
    <xf numFmtId="180" fontId="4" fillId="0" borderId="0" xfId="0" applyNumberFormat="1" applyFont="1" applyAlignment="1">
      <alignment horizontal="center" vertical="center"/>
    </xf>
    <xf numFmtId="180" fontId="0" fillId="0" borderId="0" xfId="0" applyNumberFormat="1" applyAlignment="1">
      <alignment horizontal="center" vertical="center"/>
    </xf>
    <xf numFmtId="180" fontId="4" fillId="0" borderId="0" xfId="0" applyNumberFormat="1" applyFont="1"/>
    <xf numFmtId="180" fontId="9" fillId="0" borderId="0" xfId="0" applyNumberFormat="1" applyFont="1" applyAlignment="1">
      <alignment horizontal="center" vertical="center"/>
    </xf>
    <xf numFmtId="180" fontId="4" fillId="0" borderId="0" xfId="0" applyNumberFormat="1" applyFont="1" applyAlignment="1">
      <alignment vertical="center"/>
    </xf>
    <xf numFmtId="180" fontId="5" fillId="0" borderId="0" xfId="0" applyNumberFormat="1" applyFont="1" applyAlignment="1">
      <alignment horizontal="center" vertical="center"/>
    </xf>
    <xf numFmtId="180" fontId="4" fillId="0" borderId="0" xfId="0" applyNumberFormat="1" applyFont="1" applyAlignment="1">
      <alignment horizontal="center"/>
    </xf>
    <xf numFmtId="180" fontId="0" fillId="0" borderId="0" xfId="0" applyNumberFormat="1" applyAlignment="1">
      <alignment horizontal="center"/>
    </xf>
    <xf numFmtId="165"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center"/>
    </xf>
    <xf numFmtId="180" fontId="5"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xf numFmtId="0" fontId="4" fillId="0" borderId="0" xfId="0" applyFont="1" applyAlignment="1">
      <alignment horizontal="center"/>
    </xf>
    <xf numFmtId="0" fontId="12" fillId="0" borderId="0" xfId="0" applyFont="1" applyAlignment="1">
      <alignment vertical="center"/>
    </xf>
    <xf numFmtId="0" fontId="5" fillId="0" borderId="0" xfId="0" applyFont="1" applyAlignment="1">
      <alignment horizontal="center" vertical="center" wrapText="1"/>
    </xf>
    <xf numFmtId="2" fontId="4" fillId="11" borderId="35" xfId="0" applyNumberFormat="1" applyFont="1" applyFill="1" applyBorder="1" applyAlignment="1">
      <alignment horizontal="center"/>
    </xf>
    <xf numFmtId="2" fontId="4" fillId="7" borderId="3" xfId="1" applyNumberFormat="1" applyFont="1" applyFill="1" applyBorder="1" applyAlignment="1">
      <alignment horizontal="center"/>
    </xf>
    <xf numFmtId="2" fontId="4" fillId="11" borderId="0" xfId="5" applyNumberFormat="1" applyFont="1" applyFill="1" applyBorder="1" applyAlignment="1">
      <alignment horizontal="center"/>
    </xf>
    <xf numFmtId="2" fontId="4" fillId="11" borderId="35" xfId="5" applyNumberFormat="1" applyFont="1" applyFill="1" applyBorder="1" applyAlignment="1">
      <alignment horizontal="center"/>
    </xf>
    <xf numFmtId="0" fontId="0" fillId="0" borderId="0" xfId="0"/>
    <xf numFmtId="2" fontId="4" fillId="0" borderId="0" xfId="0" applyNumberFormat="1" applyFont="1"/>
    <xf numFmtId="2" fontId="4" fillId="0" borderId="0" xfId="5" applyNumberFormat="1" applyFont="1"/>
    <xf numFmtId="2" fontId="5" fillId="0" borderId="0" xfId="0" applyNumberFormat="1" applyFont="1"/>
    <xf numFmtId="2" fontId="5" fillId="0" borderId="0" xfId="5" applyNumberFormat="1" applyFont="1"/>
    <xf numFmtId="2" fontId="4" fillId="7" borderId="3" xfId="5" applyNumberFormat="1" applyFont="1" applyFill="1" applyBorder="1" applyAlignment="1">
      <alignment horizontal="center"/>
    </xf>
    <xf numFmtId="2" fontId="4" fillId="0" borderId="0" xfId="0" applyNumberFormat="1" applyFont="1" applyAlignment="1">
      <alignment horizontal="center"/>
    </xf>
    <xf numFmtId="2" fontId="4" fillId="0" borderId="3" xfId="0" applyNumberFormat="1" applyFont="1" applyBorder="1" applyAlignment="1">
      <alignment horizontal="center"/>
    </xf>
    <xf numFmtId="2" fontId="4" fillId="18" borderId="0" xfId="5" applyNumberFormat="1" applyFont="1" applyFill="1" applyBorder="1" applyAlignment="1">
      <alignment horizontal="center"/>
    </xf>
    <xf numFmtId="2" fontId="4" fillId="0" borderId="0" xfId="5" applyNumberFormat="1" applyFont="1" applyAlignment="1">
      <alignment horizontal="center"/>
    </xf>
    <xf numFmtId="2" fontId="4" fillId="0" borderId="3" xfId="5" applyNumberFormat="1" applyFont="1" applyBorder="1" applyAlignment="1">
      <alignment horizontal="center"/>
    </xf>
    <xf numFmtId="2" fontId="4" fillId="9" borderId="3" xfId="5" applyNumberFormat="1" applyFont="1" applyFill="1" applyBorder="1" applyAlignment="1">
      <alignment horizontal="center"/>
    </xf>
    <xf numFmtId="165" fontId="4" fillId="20" borderId="3" xfId="5" applyNumberFormat="1" applyFont="1" applyFill="1" applyBorder="1" applyAlignment="1">
      <alignment horizontal="center"/>
    </xf>
    <xf numFmtId="165" fontId="4" fillId="20" borderId="0" xfId="5" applyNumberFormat="1" applyFont="1" applyFill="1" applyBorder="1" applyAlignment="1">
      <alignment horizontal="center"/>
    </xf>
    <xf numFmtId="2" fontId="4" fillId="0" borderId="0" xfId="5" applyNumberFormat="1" applyFont="1" applyBorder="1" applyAlignment="1">
      <alignment horizontal="center"/>
    </xf>
    <xf numFmtId="2" fontId="4" fillId="7" borderId="0" xfId="5" applyNumberFormat="1" applyFont="1" applyFill="1" applyBorder="1" applyAlignment="1">
      <alignment horizontal="center"/>
    </xf>
    <xf numFmtId="2" fontId="4" fillId="9" borderId="0" xfId="5" applyNumberFormat="1" applyFont="1" applyFill="1" applyBorder="1" applyAlignment="1">
      <alignment horizontal="center"/>
    </xf>
    <xf numFmtId="165" fontId="4" fillId="0" borderId="0" xfId="5" applyNumberFormat="1" applyFont="1" applyBorder="1" applyAlignment="1">
      <alignment horizontal="center"/>
    </xf>
    <xf numFmtId="2" fontId="5" fillId="0" borderId="3" xfId="5" applyNumberFormat="1" applyFont="1" applyBorder="1" applyAlignment="1">
      <alignment horizontal="center"/>
    </xf>
    <xf numFmtId="2" fontId="5" fillId="18" borderId="3" xfId="5" applyNumberFormat="1" applyFont="1" applyFill="1" applyBorder="1" applyAlignment="1">
      <alignment horizontal="center"/>
    </xf>
    <xf numFmtId="2" fontId="30" fillId="0" borderId="3" xfId="0" applyNumberFormat="1" applyFont="1" applyBorder="1" applyAlignment="1">
      <alignment horizontal="center"/>
    </xf>
    <xf numFmtId="2" fontId="30" fillId="0" borderId="0" xfId="0" applyNumberFormat="1" applyFont="1" applyAlignment="1">
      <alignment horizontal="center"/>
    </xf>
    <xf numFmtId="2" fontId="4" fillId="9" borderId="3" xfId="0" applyNumberFormat="1" applyFont="1" applyFill="1" applyBorder="1" applyAlignment="1">
      <alignment horizontal="center"/>
    </xf>
    <xf numFmtId="2" fontId="5" fillId="18" borderId="3" xfId="1" applyNumberFormat="1" applyFont="1" applyFill="1" applyBorder="1" applyAlignment="1">
      <alignment horizontal="center"/>
    </xf>
    <xf numFmtId="165" fontId="4" fillId="20" borderId="3" xfId="1" applyNumberFormat="1" applyFont="1" applyFill="1" applyBorder="1" applyAlignment="1">
      <alignment horizontal="center"/>
    </xf>
    <xf numFmtId="2" fontId="5" fillId="0" borderId="3" xfId="1" applyNumberFormat="1" applyFont="1" applyBorder="1" applyAlignment="1">
      <alignment horizontal="center"/>
    </xf>
    <xf numFmtId="2" fontId="4" fillId="0" borderId="3" xfId="1" applyNumberFormat="1" applyFont="1" applyBorder="1" applyAlignment="1">
      <alignment horizontal="center"/>
    </xf>
    <xf numFmtId="0" fontId="0" fillId="0" borderId="0" xfId="0"/>
    <xf numFmtId="2" fontId="28" fillId="0" borderId="0" xfId="0" applyNumberFormat="1" applyFont="1"/>
    <xf numFmtId="2" fontId="28" fillId="0" borderId="47" xfId="0" applyNumberFormat="1" applyFont="1" applyBorder="1"/>
    <xf numFmtId="2" fontId="28" fillId="0" borderId="3" xfId="0" applyNumberFormat="1" applyFont="1" applyBorder="1"/>
    <xf numFmtId="2" fontId="28" fillId="0" borderId="49" xfId="0" applyNumberFormat="1" applyFont="1" applyBorder="1"/>
    <xf numFmtId="9" fontId="28" fillId="0" borderId="0" xfId="2" applyFont="1" applyBorder="1"/>
    <xf numFmtId="2" fontId="28" fillId="0" borderId="41" xfId="0" applyNumberFormat="1" applyFont="1" applyBorder="1"/>
    <xf numFmtId="2" fontId="28" fillId="0" borderId="42" xfId="0" applyNumberFormat="1" applyFont="1" applyBorder="1"/>
    <xf numFmtId="2" fontId="4" fillId="0" borderId="0" xfId="0" applyNumberFormat="1" applyFont="1"/>
    <xf numFmtId="2" fontId="5" fillId="0" borderId="0" xfId="0" applyNumberFormat="1" applyFont="1"/>
    <xf numFmtId="165" fontId="5" fillId="0" borderId="0" xfId="5" applyNumberFormat="1" applyFont="1" applyBorder="1"/>
    <xf numFmtId="2" fontId="28" fillId="0" borderId="35" xfId="0" applyNumberFormat="1" applyFont="1" applyBorder="1" applyAlignment="1">
      <alignment horizontal="center"/>
    </xf>
    <xf numFmtId="2" fontId="4" fillId="0" borderId="0" xfId="0" applyNumberFormat="1" applyFont="1" applyAlignment="1">
      <alignment horizontal="center"/>
    </xf>
    <xf numFmtId="2" fontId="4" fillId="0" borderId="3" xfId="0" applyNumberFormat="1" applyFont="1" applyBorder="1" applyAlignment="1">
      <alignment horizontal="center"/>
    </xf>
    <xf numFmtId="2" fontId="28" fillId="0" borderId="46" xfId="0" applyNumberFormat="1" applyFont="1" applyBorder="1" applyAlignment="1">
      <alignment horizontal="center"/>
    </xf>
    <xf numFmtId="2" fontId="28" fillId="0" borderId="0" xfId="0" applyNumberFormat="1" applyFont="1" applyAlignment="1">
      <alignment horizontal="center"/>
    </xf>
    <xf numFmtId="2" fontId="4" fillId="0" borderId="0" xfId="5" applyNumberFormat="1" applyFont="1" applyAlignment="1">
      <alignment horizontal="center"/>
    </xf>
    <xf numFmtId="2" fontId="4" fillId="2" borderId="27" xfId="3" applyNumberFormat="1" applyFont="1" applyBorder="1"/>
    <xf numFmtId="2" fontId="4" fillId="2" borderId="28" xfId="3" applyNumberFormat="1" applyFont="1" applyBorder="1"/>
    <xf numFmtId="2" fontId="5" fillId="2" borderId="22" xfId="3" applyNumberFormat="1" applyFont="1" applyBorder="1"/>
    <xf numFmtId="2" fontId="5" fillId="2" borderId="1" xfId="3" applyNumberFormat="1" applyFont="1"/>
    <xf numFmtId="165" fontId="5" fillId="2" borderId="23" xfId="3" applyNumberFormat="1" applyFont="1" applyBorder="1"/>
    <xf numFmtId="2" fontId="4" fillId="2" borderId="24" xfId="3" applyNumberFormat="1" applyFont="1" applyBorder="1"/>
    <xf numFmtId="2" fontId="4" fillId="2" borderId="25" xfId="3" applyNumberFormat="1" applyFont="1" applyBorder="1"/>
    <xf numFmtId="2" fontId="5" fillId="0" borderId="36" xfId="5" applyNumberFormat="1" applyFont="1" applyBorder="1"/>
    <xf numFmtId="2" fontId="5" fillId="0" borderId="38" xfId="5" applyNumberFormat="1" applyFont="1" applyBorder="1"/>
    <xf numFmtId="165" fontId="5" fillId="0" borderId="39" xfId="6" applyNumberFormat="1" applyFont="1" applyBorder="1"/>
    <xf numFmtId="2" fontId="5" fillId="0" borderId="48" xfId="0" applyNumberFormat="1" applyFont="1" applyBorder="1"/>
    <xf numFmtId="2" fontId="5" fillId="7" borderId="48" xfId="0" applyNumberFormat="1" applyFont="1" applyFill="1" applyBorder="1"/>
    <xf numFmtId="2" fontId="4" fillId="7" borderId="0" xfId="0" applyNumberFormat="1" applyFont="1" applyFill="1"/>
    <xf numFmtId="165" fontId="4" fillId="7" borderId="49" xfId="2" applyNumberFormat="1" applyFont="1" applyFill="1" applyBorder="1"/>
    <xf numFmtId="9" fontId="4" fillId="18" borderId="49" xfId="2" applyFont="1" applyFill="1" applyBorder="1"/>
    <xf numFmtId="2" fontId="5" fillId="9" borderId="48" xfId="0" applyNumberFormat="1" applyFont="1" applyFill="1" applyBorder="1"/>
    <xf numFmtId="2" fontId="4" fillId="9" borderId="0" xfId="0" applyNumberFormat="1" applyFont="1" applyFill="1"/>
    <xf numFmtId="2" fontId="4" fillId="9" borderId="49" xfId="5" applyNumberFormat="1" applyFont="1" applyFill="1" applyBorder="1"/>
    <xf numFmtId="2" fontId="9" fillId="11" borderId="48" xfId="5" applyNumberFormat="1" applyFont="1" applyFill="1" applyBorder="1"/>
    <xf numFmtId="2" fontId="13" fillId="11" borderId="0" xfId="5" applyNumberFormat="1" applyFont="1" applyFill="1" applyBorder="1"/>
    <xf numFmtId="179" fontId="9" fillId="11" borderId="49" xfId="5" applyFont="1" applyFill="1" applyBorder="1"/>
    <xf numFmtId="165" fontId="4" fillId="0" borderId="0" xfId="5" applyNumberFormat="1" applyFont="1" applyBorder="1" applyAlignment="1">
      <alignment horizontal="center"/>
    </xf>
    <xf numFmtId="165" fontId="4" fillId="0" borderId="3" xfId="5" applyNumberFormat="1" applyFont="1" applyBorder="1" applyAlignment="1">
      <alignment horizontal="center"/>
    </xf>
    <xf numFmtId="2" fontId="30" fillId="0" borderId="3" xfId="0" applyNumberFormat="1" applyFont="1" applyBorder="1" applyAlignment="1">
      <alignment horizontal="center"/>
    </xf>
    <xf numFmtId="2" fontId="30" fillId="0" borderId="0" xfId="0" applyNumberFormat="1" applyFont="1" applyAlignment="1">
      <alignment horizontal="center"/>
    </xf>
    <xf numFmtId="2" fontId="4" fillId="9" borderId="3" xfId="0" applyNumberFormat="1" applyFont="1" applyFill="1" applyBorder="1" applyAlignment="1">
      <alignment horizontal="center"/>
    </xf>
    <xf numFmtId="165" fontId="5" fillId="20" borderId="49" xfId="5" applyNumberFormat="1" applyFont="1" applyFill="1" applyBorder="1"/>
    <xf numFmtId="2" fontId="28" fillId="0" borderId="53" xfId="0" applyNumberFormat="1" applyFont="1" applyBorder="1"/>
    <xf numFmtId="2" fontId="28" fillId="0" borderId="54" xfId="0" applyNumberFormat="1" applyFont="1" applyBorder="1"/>
    <xf numFmtId="2" fontId="28" fillId="0" borderId="56" xfId="0" applyNumberFormat="1" applyFont="1" applyBorder="1"/>
    <xf numFmtId="9" fontId="28" fillId="0" borderId="49" xfId="2" applyFont="1" applyBorder="1"/>
    <xf numFmtId="9" fontId="4" fillId="7" borderId="0" xfId="2" applyFont="1" applyFill="1"/>
    <xf numFmtId="2" fontId="4" fillId="11" borderId="35" xfId="0" applyNumberFormat="1" applyFont="1" applyFill="1" applyBorder="1" applyAlignment="1">
      <alignment horizontal="center"/>
    </xf>
    <xf numFmtId="2" fontId="4" fillId="9" borderId="3" xfId="1" applyNumberFormat="1" applyFont="1" applyFill="1" applyBorder="1" applyAlignment="1">
      <alignment horizontal="center"/>
    </xf>
    <xf numFmtId="2" fontId="4" fillId="11" borderId="0" xfId="1" applyNumberFormat="1" applyFont="1" applyFill="1" applyBorder="1" applyAlignment="1">
      <alignment horizontal="center"/>
    </xf>
    <xf numFmtId="2" fontId="5" fillId="0" borderId="0" xfId="1" applyNumberFormat="1" applyFont="1"/>
    <xf numFmtId="2" fontId="4" fillId="0" borderId="0" xfId="1" applyNumberFormat="1" applyFont="1"/>
    <xf numFmtId="165" fontId="4" fillId="20" borderId="0" xfId="1" applyNumberFormat="1" applyFont="1" applyFill="1" applyBorder="1" applyAlignment="1">
      <alignment horizontal="center"/>
    </xf>
    <xf numFmtId="2" fontId="4" fillId="0" borderId="0" xfId="1" applyNumberFormat="1" applyFont="1" applyBorder="1" applyAlignment="1">
      <alignment horizontal="center"/>
    </xf>
    <xf numFmtId="2" fontId="4" fillId="18" borderId="0" xfId="1" applyNumberFormat="1" applyFont="1" applyFill="1" applyBorder="1" applyAlignment="1">
      <alignment horizontal="center"/>
    </xf>
    <xf numFmtId="2" fontId="4" fillId="9" borderId="0" xfId="1" applyNumberFormat="1" applyFont="1" applyFill="1" applyBorder="1" applyAlignment="1">
      <alignment horizontal="center"/>
    </xf>
    <xf numFmtId="2" fontId="4" fillId="0" borderId="0" xfId="1" applyNumberFormat="1" applyFont="1" applyAlignment="1">
      <alignment horizontal="center"/>
    </xf>
    <xf numFmtId="165" fontId="4" fillId="0" borderId="0" xfId="1" applyNumberFormat="1" applyFont="1" applyBorder="1" applyAlignment="1">
      <alignment horizontal="center"/>
    </xf>
    <xf numFmtId="2" fontId="4" fillId="11" borderId="35" xfId="1" applyNumberFormat="1" applyFont="1" applyFill="1" applyBorder="1" applyAlignment="1">
      <alignment horizontal="center"/>
    </xf>
    <xf numFmtId="165" fontId="4" fillId="0" borderId="3" xfId="1" applyNumberFormat="1" applyFont="1" applyBorder="1" applyAlignment="1">
      <alignment horizontal="center"/>
    </xf>
    <xf numFmtId="165" fontId="5" fillId="0" borderId="0" xfId="1" applyNumberFormat="1" applyFont="1" applyBorder="1"/>
    <xf numFmtId="0" fontId="4" fillId="11" borderId="0" xfId="0" applyFont="1" applyFill="1" applyAlignment="1">
      <alignment horizontal="center" vertical="center" wrapText="1"/>
    </xf>
    <xf numFmtId="2" fontId="28" fillId="7" borderId="51" xfId="0" applyNumberFormat="1" applyFont="1" applyFill="1" applyBorder="1" applyAlignment="1">
      <alignment horizontal="center"/>
    </xf>
    <xf numFmtId="2" fontId="28" fillId="7" borderId="35" xfId="0" applyNumberFormat="1" applyFont="1" applyFill="1" applyBorder="1" applyAlignment="1">
      <alignment horizontal="center"/>
    </xf>
    <xf numFmtId="2" fontId="28" fillId="7" borderId="52" xfId="0" applyNumberFormat="1" applyFont="1" applyFill="1" applyBorder="1" applyAlignment="1">
      <alignment horizontal="center"/>
    </xf>
    <xf numFmtId="165" fontId="28" fillId="0" borderId="53" xfId="1" applyNumberFormat="1" applyFont="1" applyFill="1" applyBorder="1" applyAlignment="1">
      <alignment horizontal="center"/>
    </xf>
    <xf numFmtId="165" fontId="28" fillId="0" borderId="0" xfId="1" applyNumberFormat="1" applyFont="1" applyFill="1" applyBorder="1" applyAlignment="1">
      <alignment horizontal="center"/>
    </xf>
    <xf numFmtId="165" fontId="28" fillId="0" borderId="54" xfId="1" applyNumberFormat="1" applyFont="1" applyFill="1" applyBorder="1" applyAlignment="1">
      <alignment horizontal="center"/>
    </xf>
    <xf numFmtId="165" fontId="28" fillId="0" borderId="45" xfId="1" applyNumberFormat="1" applyFont="1" applyFill="1" applyBorder="1"/>
    <xf numFmtId="165" fontId="28" fillId="7" borderId="55" xfId="1" applyNumberFormat="1" applyFont="1" applyFill="1" applyBorder="1"/>
    <xf numFmtId="2" fontId="28" fillId="0" borderId="53" xfId="0" applyNumberFormat="1" applyFont="1" applyBorder="1" applyAlignment="1">
      <alignment horizontal="center"/>
    </xf>
    <xf numFmtId="2" fontId="28" fillId="0" borderId="0" xfId="0" applyNumberFormat="1" applyFont="1" applyBorder="1" applyAlignment="1">
      <alignment horizontal="center"/>
    </xf>
    <xf numFmtId="180" fontId="4" fillId="7" borderId="0" xfId="1" applyNumberFormat="1" applyFont="1" applyFill="1" applyBorder="1" applyAlignment="1">
      <alignment horizontal="center"/>
    </xf>
    <xf numFmtId="2" fontId="29" fillId="9" borderId="36" xfId="1" applyNumberFormat="1" applyFont="1" applyFill="1" applyBorder="1" applyAlignment="1">
      <alignment horizontal="center"/>
    </xf>
    <xf numFmtId="2" fontId="29" fillId="9" borderId="38" xfId="1" applyNumberFormat="1" applyFont="1" applyFill="1" applyBorder="1" applyAlignment="1">
      <alignment horizontal="center"/>
    </xf>
    <xf numFmtId="2" fontId="29" fillId="9" borderId="39" xfId="1" applyNumberFormat="1" applyFont="1" applyFill="1" applyBorder="1" applyAlignment="1">
      <alignment horizontal="center"/>
    </xf>
    <xf numFmtId="2" fontId="28" fillId="0" borderId="48" xfId="1" applyNumberFormat="1" applyFont="1" applyBorder="1"/>
    <xf numFmtId="2" fontId="28" fillId="0" borderId="0" xfId="1" applyNumberFormat="1" applyFont="1" applyBorder="1"/>
    <xf numFmtId="43" fontId="28" fillId="0" borderId="0" xfId="1" applyFont="1" applyBorder="1"/>
    <xf numFmtId="165" fontId="28" fillId="0" borderId="0" xfId="1" applyNumberFormat="1" applyFont="1" applyFill="1" applyBorder="1"/>
    <xf numFmtId="43" fontId="28" fillId="0" borderId="50" xfId="1" applyFont="1" applyBorder="1"/>
    <xf numFmtId="165" fontId="28" fillId="0" borderId="44" xfId="1" applyNumberFormat="1" applyFont="1" applyFill="1" applyBorder="1"/>
    <xf numFmtId="2" fontId="28" fillId="0" borderId="40" xfId="1" applyNumberFormat="1" applyFont="1" applyBorder="1"/>
    <xf numFmtId="165" fontId="28" fillId="9" borderId="41" xfId="1" applyNumberFormat="1" applyFont="1" applyFill="1" applyBorder="1"/>
    <xf numFmtId="2" fontId="10" fillId="6" borderId="41" xfId="1" applyNumberFormat="1" applyFont="1" applyFill="1" applyBorder="1" applyAlignment="1">
      <alignment horizontal="center"/>
    </xf>
    <xf numFmtId="43" fontId="4" fillId="2" borderId="29" xfId="3" applyNumberFormat="1" applyFont="1" applyBorder="1"/>
    <xf numFmtId="2" fontId="28" fillId="0" borderId="48" xfId="1" applyNumberFormat="1" applyFont="1" applyBorder="1" applyAlignment="1">
      <alignment horizontal="center"/>
    </xf>
    <xf numFmtId="2" fontId="28" fillId="0" borderId="0" xfId="1" applyNumberFormat="1" applyFont="1" applyBorder="1" applyAlignment="1">
      <alignment horizontal="center"/>
    </xf>
    <xf numFmtId="0" fontId="9" fillId="19" borderId="40" xfId="0" applyFont="1" applyFill="1" applyBorder="1" applyAlignment="1">
      <alignment horizontal="center" vertical="center" wrapText="1"/>
    </xf>
    <xf numFmtId="0" fontId="4" fillId="0" borderId="38" xfId="0" applyFont="1" applyBorder="1" applyAlignment="1">
      <alignment horizontal="center" vertical="center" wrapText="1"/>
    </xf>
    <xf numFmtId="0" fontId="9" fillId="19" borderId="36" xfId="0" applyFont="1" applyFill="1" applyBorder="1" applyAlignment="1">
      <alignment horizontal="center" vertical="center" wrapText="1"/>
    </xf>
    <xf numFmtId="0" fontId="9" fillId="19" borderId="38" xfId="0" applyFont="1" applyFill="1" applyBorder="1" applyAlignment="1">
      <alignment horizontal="center" vertical="center" wrapText="1"/>
    </xf>
    <xf numFmtId="0" fontId="9" fillId="19" borderId="41" xfId="0" applyFont="1" applyFill="1" applyBorder="1" applyAlignment="1">
      <alignment horizontal="center" vertical="center" wrapText="1"/>
    </xf>
    <xf numFmtId="0" fontId="4" fillId="0" borderId="41" xfId="0" applyFont="1" applyBorder="1" applyAlignment="1">
      <alignment horizontal="center" vertical="center" wrapText="1"/>
    </xf>
    <xf numFmtId="0" fontId="31" fillId="0" borderId="38" xfId="0" applyFont="1" applyBorder="1" applyAlignment="1">
      <alignment horizontal="center" vertical="center" wrapText="1"/>
    </xf>
    <xf numFmtId="0" fontId="31" fillId="0" borderId="41" xfId="0" applyFont="1" applyBorder="1" applyAlignment="1">
      <alignment horizontal="center" vertical="center" wrapText="1"/>
    </xf>
    <xf numFmtId="0" fontId="32" fillId="0" borderId="38" xfId="0" applyFont="1" applyBorder="1" applyAlignment="1">
      <alignment horizontal="center" vertical="center" wrapText="1"/>
    </xf>
    <xf numFmtId="0" fontId="32" fillId="0" borderId="41"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2" xfId="0" applyFont="1" applyBorder="1" applyAlignment="1">
      <alignment horizontal="center" vertical="center" wrapText="1"/>
    </xf>
    <xf numFmtId="179" fontId="4" fillId="0" borderId="0" xfId="5" applyFont="1" applyAlignment="1">
      <alignment horizontal="center"/>
    </xf>
    <xf numFmtId="0" fontId="5" fillId="0" borderId="36" xfId="0" applyFont="1" applyBorder="1" applyAlignment="1">
      <alignment horizontal="center" vertical="center" wrapText="1"/>
    </xf>
    <xf numFmtId="0" fontId="12" fillId="0" borderId="0" xfId="0" applyFont="1" applyAlignment="1">
      <alignment horizontal="center" vertical="center" wrapText="1"/>
    </xf>
    <xf numFmtId="167" fontId="4" fillId="0" borderId="0" xfId="0" applyNumberFormat="1" applyFont="1" applyAlignment="1">
      <alignment horizontal="center"/>
    </xf>
    <xf numFmtId="0" fontId="13" fillId="19" borderId="0" xfId="0" applyFont="1" applyFill="1" applyAlignment="1">
      <alignment horizontal="center" vertical="center" wrapText="1"/>
    </xf>
    <xf numFmtId="0" fontId="4" fillId="0" borderId="0" xfId="0" applyFont="1"/>
    <xf numFmtId="0" fontId="4" fillId="0" borderId="0" xfId="0" applyFont="1" applyAlignment="1">
      <alignment horizontal="center"/>
    </xf>
    <xf numFmtId="167" fontId="4" fillId="0" borderId="0" xfId="0" applyNumberFormat="1" applyFont="1"/>
    <xf numFmtId="0" fontId="4" fillId="19" borderId="35" xfId="0" applyFont="1" applyFill="1" applyBorder="1" applyAlignment="1">
      <alignment horizontal="center" wrapText="1"/>
    </xf>
    <xf numFmtId="0" fontId="5" fillId="0" borderId="40" xfId="0" applyFont="1" applyBorder="1" applyAlignment="1">
      <alignment horizontal="center" vertical="center" wrapText="1"/>
    </xf>
    <xf numFmtId="0" fontId="4" fillId="19" borderId="41" xfId="0" applyFont="1" applyFill="1" applyBorder="1" applyAlignment="1">
      <alignment horizontal="center" wrapText="1"/>
    </xf>
    <xf numFmtId="0" fontId="5" fillId="0" borderId="48" xfId="0" applyFont="1" applyBorder="1" applyAlignment="1">
      <alignment horizontal="center" vertical="center" wrapText="1"/>
    </xf>
    <xf numFmtId="0" fontId="0" fillId="0" borderId="0" xfId="0"/>
    <xf numFmtId="0" fontId="4" fillId="0" borderId="0" xfId="0" applyFont="1" applyAlignment="1">
      <alignment horizontal="center"/>
    </xf>
    <xf numFmtId="0" fontId="5" fillId="0" borderId="0" xfId="0" applyFont="1"/>
    <xf numFmtId="167" fontId="4" fillId="0" borderId="0" xfId="0" applyNumberFormat="1" applyFont="1" applyAlignment="1">
      <alignment horizontal="center"/>
    </xf>
    <xf numFmtId="167" fontId="4" fillId="0" borderId="0" xfId="0" applyNumberFormat="1" applyFont="1"/>
    <xf numFmtId="167" fontId="13" fillId="19" borderId="0" xfId="0" applyNumberFormat="1" applyFont="1" applyFill="1"/>
    <xf numFmtId="0" fontId="30" fillId="0" borderId="0" xfId="0" applyFont="1" applyAlignment="1">
      <alignment horizontal="center"/>
    </xf>
    <xf numFmtId="0" fontId="25" fillId="0" borderId="0" xfId="0" applyFont="1" applyAlignment="1">
      <alignment horizontal="center"/>
    </xf>
    <xf numFmtId="0" fontId="0" fillId="0" borderId="0" xfId="0"/>
    <xf numFmtId="0" fontId="4" fillId="0" borderId="0" xfId="0" applyFont="1"/>
    <xf numFmtId="0" fontId="4" fillId="0" borderId="0" xfId="0" applyFont="1" applyAlignment="1">
      <alignment horizontal="center"/>
    </xf>
    <xf numFmtId="0" fontId="4" fillId="0" borderId="38" xfId="0" applyFont="1" applyBorder="1"/>
    <xf numFmtId="0" fontId="4" fillId="0" borderId="41" xfId="0" applyFont="1" applyBorder="1"/>
    <xf numFmtId="0" fontId="5" fillId="0" borderId="0" xfId="0" applyFont="1" applyAlignment="1">
      <alignment horizontal="center"/>
    </xf>
    <xf numFmtId="0" fontId="4" fillId="0" borderId="38" xfId="0" applyFont="1" applyBorder="1" applyAlignment="1">
      <alignment horizontal="center" wrapText="1"/>
    </xf>
    <xf numFmtId="0" fontId="4" fillId="0" borderId="3" xfId="0" applyFont="1" applyBorder="1" applyAlignment="1">
      <alignment horizontal="center" wrapText="1"/>
    </xf>
    <xf numFmtId="0" fontId="4" fillId="0" borderId="38" xfId="0" applyFont="1" applyBorder="1" applyAlignment="1">
      <alignment horizontal="center" vertical="center"/>
    </xf>
    <xf numFmtId="0" fontId="4" fillId="0" borderId="37" xfId="0" applyFont="1" applyBorder="1" applyAlignment="1">
      <alignment horizontal="center" vertical="center"/>
    </xf>
    <xf numFmtId="0" fontId="4" fillId="0" borderId="3" xfId="0" applyFont="1" applyBorder="1" applyAlignment="1">
      <alignment horizontal="center" vertical="center"/>
    </xf>
    <xf numFmtId="0" fontId="4" fillId="0" borderId="39" xfId="0" applyFont="1" applyBorder="1" applyAlignment="1">
      <alignment horizontal="center" wrapText="1"/>
    </xf>
    <xf numFmtId="0" fontId="4" fillId="0" borderId="57" xfId="0" applyFont="1" applyBorder="1" applyAlignment="1">
      <alignment horizontal="center" wrapText="1"/>
    </xf>
    <xf numFmtId="0" fontId="4" fillId="0" borderId="35" xfId="0" applyFont="1" applyBorder="1" applyAlignment="1">
      <alignment horizontal="center" vertical="center" wrapText="1"/>
    </xf>
    <xf numFmtId="0" fontId="4" fillId="19" borderId="35" xfId="0" applyFont="1" applyFill="1" applyBorder="1" applyAlignment="1">
      <alignment horizontal="center" vertical="center" wrapText="1"/>
    </xf>
    <xf numFmtId="0" fontId="4" fillId="19" borderId="58" xfId="0" applyFont="1" applyFill="1" applyBorder="1" applyAlignment="1">
      <alignment horizontal="center" vertical="center" wrapText="1"/>
    </xf>
    <xf numFmtId="0" fontId="4" fillId="19" borderId="41" xfId="0" applyFont="1" applyFill="1" applyBorder="1" applyAlignment="1">
      <alignment horizontal="center" vertical="center" wrapText="1"/>
    </xf>
    <xf numFmtId="0" fontId="4" fillId="19" borderId="42" xfId="0" applyFont="1" applyFill="1" applyBorder="1" applyAlignment="1">
      <alignment horizontal="center" vertical="center" wrapText="1"/>
    </xf>
    <xf numFmtId="167" fontId="12" fillId="0" borderId="0" xfId="0" applyNumberFormat="1" applyFont="1" applyAlignment="1">
      <alignment horizontal="center" wrapText="1"/>
    </xf>
    <xf numFmtId="0" fontId="5" fillId="19" borderId="0" xfId="0" applyFont="1" applyFill="1" applyAlignment="1">
      <alignment horizontal="center" wrapText="1"/>
    </xf>
    <xf numFmtId="0" fontId="4" fillId="0" borderId="3" xfId="0" applyFont="1" applyBorder="1" applyAlignment="1">
      <alignment horizontal="center"/>
    </xf>
    <xf numFmtId="0" fontId="11" fillId="0" borderId="0" xfId="0" applyFont="1" applyAlignment="1">
      <alignment horizontal="center" wrapText="1"/>
    </xf>
    <xf numFmtId="0" fontId="5" fillId="21" borderId="0" xfId="0" applyFont="1" applyFill="1" applyAlignment="1">
      <alignment horizontal="center"/>
    </xf>
    <xf numFmtId="0" fontId="0" fillId="0" borderId="0" xfId="0"/>
    <xf numFmtId="0" fontId="4" fillId="0" borderId="0" xfId="0" applyFont="1"/>
    <xf numFmtId="0" fontId="4" fillId="0" borderId="0" xfId="0" applyFont="1" applyAlignment="1">
      <alignment horizontal="center"/>
    </xf>
    <xf numFmtId="0" fontId="4" fillId="0" borderId="0" xfId="0" applyFont="1" applyAlignment="1">
      <alignment horizontal="center" wrapText="1"/>
    </xf>
    <xf numFmtId="0" fontId="5" fillId="0" borderId="0" xfId="0" applyFont="1"/>
    <xf numFmtId="165" fontId="4" fillId="0" borderId="0" xfId="0" applyNumberFormat="1" applyFont="1"/>
    <xf numFmtId="165" fontId="4" fillId="0" borderId="3" xfId="0" applyNumberFormat="1" applyFont="1" applyBorder="1"/>
    <xf numFmtId="164" fontId="4" fillId="0" borderId="0" xfId="2" applyNumberFormat="1" applyFont="1"/>
    <xf numFmtId="167" fontId="4" fillId="0" borderId="3" xfId="0" applyNumberFormat="1" applyFont="1" applyBorder="1"/>
    <xf numFmtId="167" fontId="4" fillId="0" borderId="0" xfId="0" applyNumberFormat="1" applyFont="1"/>
    <xf numFmtId="165" fontId="4" fillId="19" borderId="0" xfId="0" applyNumberFormat="1" applyFont="1" applyFill="1"/>
    <xf numFmtId="0" fontId="5" fillId="0" borderId="0" xfId="0" applyFont="1" applyAlignment="1">
      <alignment horizontal="center"/>
    </xf>
    <xf numFmtId="164" fontId="5" fillId="0" borderId="0" xfId="2" applyNumberFormat="1" applyFont="1"/>
    <xf numFmtId="0" fontId="4" fillId="21" borderId="0" xfId="0" applyFont="1" applyFill="1"/>
    <xf numFmtId="167" fontId="4" fillId="19" borderId="0" xfId="0" applyNumberFormat="1" applyFont="1" applyFill="1"/>
    <xf numFmtId="0" fontId="4" fillId="21" borderId="0" xfId="0" applyFont="1" applyFill="1" applyAlignment="1">
      <alignment horizontal="center" wrapText="1"/>
    </xf>
    <xf numFmtId="0" fontId="4" fillId="19" borderId="3" xfId="0" applyFont="1" applyFill="1" applyBorder="1" applyAlignment="1">
      <alignment horizontal="center" vertical="center"/>
    </xf>
    <xf numFmtId="0" fontId="4" fillId="21" borderId="3" xfId="0" applyFont="1" applyFill="1" applyBorder="1" applyAlignment="1">
      <alignment horizontal="center" wrapText="1"/>
    </xf>
    <xf numFmtId="0" fontId="4" fillId="21" borderId="0" xfId="0" applyFont="1" applyFill="1" applyAlignment="1">
      <alignment horizontal="center"/>
    </xf>
    <xf numFmtId="0" fontId="4" fillId="19" borderId="35" xfId="0" applyFont="1" applyFill="1" applyBorder="1" applyAlignment="1">
      <alignment horizontal="center"/>
    </xf>
    <xf numFmtId="0" fontId="4" fillId="0" borderId="35" xfId="0" applyFont="1" applyBorder="1" applyAlignment="1">
      <alignment horizontal="center"/>
    </xf>
  </cellXfs>
  <cellStyles count="7">
    <cellStyle name="Millares" xfId="1" builtinId="3"/>
    <cellStyle name="Millares 2" xfId="5" xr:uid="{B42D1525-5FEA-4F55-9FBC-F1352E5FE7DB}"/>
    <cellStyle name="Moneda" xfId="4" builtinId="4"/>
    <cellStyle name="Moneda 2" xfId="6" xr:uid="{3AE8A92B-0B08-4ED6-8FDE-8E02F8F95CEE}"/>
    <cellStyle name="Normal" xfId="0" builtinId="0"/>
    <cellStyle name="Notas" xfId="3" builtinId="10"/>
    <cellStyle name="Porcentaje" xfId="2" builtinId="5"/>
  </cellStyles>
  <dxfs count="0"/>
  <tableStyles count="0" defaultTableStyle="TableStyleMedium2" defaultPivotStyle="PivotStyleLight16"/>
  <colors>
    <mruColors>
      <color rgb="FFCCFFFF"/>
      <color rgb="FFCCFFCC"/>
      <color rgb="FFCCECFF"/>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9</xdr:col>
      <xdr:colOff>304800</xdr:colOff>
      <xdr:row>6</xdr:row>
      <xdr:rowOff>123825</xdr:rowOff>
    </xdr:to>
    <xdr:sp macro="" textlink="">
      <xdr:nvSpPr>
        <xdr:cNvPr id="1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E06EB6C7-D76C-4B5A-A61B-23F406916A7C}"/>
            </a:ext>
          </a:extLst>
        </xdr:cNvPr>
        <xdr:cNvSpPr>
          <a:spLocks noChangeAspect="1" noChangeArrowheads="1"/>
        </xdr:cNvSpPr>
      </xdr:nvSpPr>
      <xdr:spPr bwMode="auto">
        <a:xfrm>
          <a:off x="7879080" y="10210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9</xdr:col>
      <xdr:colOff>304800</xdr:colOff>
      <xdr:row>6</xdr:row>
      <xdr:rowOff>123825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45FD8A27-48EF-4985-A25A-94FA74CCCB7A}"/>
            </a:ext>
          </a:extLst>
        </xdr:cNvPr>
        <xdr:cNvSpPr>
          <a:spLocks noChangeAspect="1" noChangeArrowheads="1"/>
        </xdr:cNvSpPr>
      </xdr:nvSpPr>
      <xdr:spPr bwMode="auto">
        <a:xfrm>
          <a:off x="7879080" y="121920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4</xdr:row>
      <xdr:rowOff>0</xdr:rowOff>
    </xdr:from>
    <xdr:to>
      <xdr:col>15</xdr:col>
      <xdr:colOff>304800</xdr:colOff>
      <xdr:row>5</xdr:row>
      <xdr:rowOff>123825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A646A611-E46C-4D18-AEE6-FEAE37F9F9B2}"/>
            </a:ext>
          </a:extLst>
        </xdr:cNvPr>
        <xdr:cNvSpPr>
          <a:spLocks noChangeAspect="1" noChangeArrowheads="1"/>
        </xdr:cNvSpPr>
      </xdr:nvSpPr>
      <xdr:spPr bwMode="auto">
        <a:xfrm>
          <a:off x="10767060" y="4114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701040</xdr:colOff>
      <xdr:row>7</xdr:row>
      <xdr:rowOff>83820</xdr:rowOff>
    </xdr:from>
    <xdr:to>
      <xdr:col>11</xdr:col>
      <xdr:colOff>1005840</xdr:colOff>
      <xdr:row>9</xdr:row>
      <xdr:rowOff>24765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8A6E41B5-8D72-4F61-AD8C-C8B4F7D0831A}"/>
            </a:ext>
          </a:extLst>
        </xdr:cNvPr>
        <xdr:cNvSpPr>
          <a:spLocks noChangeAspect="1" noChangeArrowheads="1"/>
        </xdr:cNvSpPr>
      </xdr:nvSpPr>
      <xdr:spPr bwMode="auto">
        <a:xfrm>
          <a:off x="9669780" y="1897380"/>
          <a:ext cx="304800" cy="3371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709CE-DED7-4099-B863-0C17D4C200C0}">
  <dimension ref="C2:P47"/>
  <sheetViews>
    <sheetView topLeftCell="A20" zoomScale="85" zoomScaleNormal="85" workbookViewId="0">
      <selection activeCell="G42" sqref="G42"/>
    </sheetView>
  </sheetViews>
  <sheetFormatPr baseColWidth="10" defaultRowHeight="15.6" x14ac:dyDescent="0.3"/>
  <cols>
    <col min="1" max="2" width="11.5546875" style="1"/>
    <col min="3" max="3" width="14.5546875" style="1" customWidth="1"/>
    <col min="4" max="4" width="18.33203125" style="1" customWidth="1"/>
    <col min="5" max="5" width="11.5546875" style="1"/>
    <col min="6" max="6" width="14.5546875" style="1" customWidth="1"/>
    <col min="7" max="7" width="13.21875" style="1" bestFit="1" customWidth="1"/>
    <col min="8" max="8" width="3.33203125" style="1" customWidth="1"/>
    <col min="9" max="9" width="13.21875" style="1" bestFit="1" customWidth="1"/>
    <col min="10" max="10" width="4.6640625" style="1" customWidth="1"/>
    <col min="11" max="11" width="14" style="1" bestFit="1" customWidth="1"/>
    <col min="12" max="13" width="11.5546875" style="1"/>
    <col min="14" max="14" width="14.33203125" style="1" customWidth="1"/>
    <col min="15" max="16384" width="11.5546875" style="1"/>
  </cols>
  <sheetData>
    <row r="2" spans="3:16" ht="16.2" thickBot="1" x14ac:dyDescent="0.35">
      <c r="C2" s="67" t="s">
        <v>4</v>
      </c>
      <c r="D2" s="67"/>
      <c r="E2" s="67"/>
      <c r="F2" s="67"/>
      <c r="G2" s="67"/>
      <c r="H2" s="67"/>
      <c r="I2" s="67"/>
      <c r="J2" s="67"/>
      <c r="K2" s="67"/>
      <c r="L2" s="67"/>
      <c r="M2" s="67"/>
      <c r="N2" s="67"/>
      <c r="O2" s="67"/>
    </row>
    <row r="3" spans="3:16" ht="16.8" thickTop="1" thickBot="1" x14ac:dyDescent="0.35">
      <c r="C3" s="33"/>
      <c r="D3" s="33"/>
      <c r="E3" s="33"/>
      <c r="F3" s="33"/>
      <c r="G3" s="33"/>
      <c r="H3" s="33"/>
      <c r="I3" s="33"/>
      <c r="J3" s="33"/>
      <c r="K3" s="33"/>
      <c r="L3" s="33"/>
      <c r="M3" s="33"/>
      <c r="N3" s="33"/>
      <c r="O3" s="33"/>
    </row>
    <row r="4" spans="3:16" ht="16.2" thickBot="1" x14ac:dyDescent="0.35">
      <c r="C4" s="68" t="s">
        <v>43</v>
      </c>
      <c r="D4" s="69"/>
      <c r="E4" s="69"/>
      <c r="F4" s="69"/>
      <c r="G4" s="69"/>
      <c r="H4" s="69"/>
      <c r="I4" s="69"/>
      <c r="J4" s="69"/>
      <c r="K4" s="69"/>
      <c r="L4" s="69"/>
      <c r="M4" s="69"/>
      <c r="N4" s="69"/>
      <c r="O4" s="69"/>
      <c r="P4" s="70"/>
    </row>
    <row r="5" spans="3:16" x14ac:dyDescent="0.3">
      <c r="C5" s="33"/>
      <c r="D5" s="33"/>
      <c r="E5" s="33"/>
      <c r="F5" s="33"/>
      <c r="G5" s="33"/>
      <c r="H5" s="33"/>
      <c r="I5" s="33"/>
      <c r="J5" s="33"/>
      <c r="K5" s="33"/>
      <c r="L5" s="33"/>
      <c r="M5" s="33"/>
      <c r="N5" s="33"/>
      <c r="O5" s="33"/>
    </row>
    <row r="6" spans="3:16" x14ac:dyDescent="0.3">
      <c r="C6" s="71" t="s">
        <v>87</v>
      </c>
      <c r="D6" s="71"/>
      <c r="E6" s="71"/>
      <c r="F6" s="71"/>
      <c r="G6" s="71"/>
      <c r="H6" s="71"/>
      <c r="I6" s="71"/>
      <c r="J6" s="71"/>
      <c r="K6" s="71"/>
      <c r="L6" s="71"/>
      <c r="M6" s="71"/>
      <c r="N6" s="71"/>
      <c r="O6" s="71"/>
    </row>
    <row r="7" spans="3:16" x14ac:dyDescent="0.3">
      <c r="C7" s="2"/>
      <c r="D7" s="2"/>
      <c r="E7" s="2"/>
      <c r="F7" s="2"/>
      <c r="G7" s="2"/>
      <c r="H7" s="2"/>
      <c r="I7" s="2"/>
      <c r="J7" s="2"/>
      <c r="K7" s="2"/>
      <c r="L7" s="2"/>
      <c r="M7" s="2"/>
      <c r="N7" s="2"/>
      <c r="O7" s="2"/>
    </row>
    <row r="8" spans="3:16" x14ac:dyDescent="0.3">
      <c r="C8" s="83" t="s">
        <v>86</v>
      </c>
      <c r="D8" s="83"/>
      <c r="E8" s="83"/>
      <c r="F8" s="83"/>
      <c r="G8" s="83"/>
      <c r="H8" s="83"/>
      <c r="I8" s="83"/>
      <c r="J8" s="83"/>
      <c r="K8" s="83"/>
      <c r="L8" s="83"/>
      <c r="M8" s="83"/>
      <c r="N8" s="83"/>
      <c r="O8" s="83"/>
      <c r="P8" s="83"/>
    </row>
    <row r="9" spans="3:16" ht="16.2" thickBot="1" x14ac:dyDescent="0.35">
      <c r="C9" s="2"/>
      <c r="D9" s="2"/>
      <c r="E9" s="2"/>
      <c r="F9" s="2"/>
      <c r="G9" s="2"/>
      <c r="H9" s="2"/>
      <c r="I9" s="2"/>
      <c r="J9" s="2"/>
      <c r="K9" s="2"/>
      <c r="L9" s="2"/>
      <c r="M9" s="2"/>
      <c r="N9" s="2"/>
      <c r="O9" s="2"/>
    </row>
    <row r="10" spans="3:16" x14ac:dyDescent="0.3">
      <c r="C10" s="89" t="s">
        <v>79</v>
      </c>
      <c r="D10" s="90"/>
      <c r="E10" s="41">
        <v>14</v>
      </c>
    </row>
    <row r="11" spans="3:16" x14ac:dyDescent="0.3">
      <c r="C11" s="81" t="s">
        <v>80</v>
      </c>
      <c r="D11" s="82"/>
      <c r="E11" s="42">
        <v>8</v>
      </c>
    </row>
    <row r="12" spans="3:16" x14ac:dyDescent="0.3">
      <c r="C12" s="81" t="s">
        <v>81</v>
      </c>
      <c r="D12" s="82"/>
      <c r="E12" s="42">
        <v>2500</v>
      </c>
    </row>
    <row r="13" spans="3:16" x14ac:dyDescent="0.3">
      <c r="C13" s="81" t="s">
        <v>82</v>
      </c>
      <c r="D13" s="82"/>
      <c r="E13" s="43">
        <v>1400</v>
      </c>
    </row>
    <row r="14" spans="3:16" ht="16.2" thickBot="1" x14ac:dyDescent="0.35">
      <c r="C14" s="44" t="s">
        <v>83</v>
      </c>
      <c r="D14" s="45"/>
      <c r="E14" s="46">
        <v>2100</v>
      </c>
    </row>
    <row r="15" spans="3:16" x14ac:dyDescent="0.3">
      <c r="C15" s="85" t="s">
        <v>56</v>
      </c>
      <c r="D15" s="86"/>
      <c r="E15" s="48">
        <v>4000</v>
      </c>
    </row>
    <row r="16" spans="3:16" ht="16.2" thickBot="1" x14ac:dyDescent="0.35">
      <c r="C16" s="87" t="s">
        <v>92</v>
      </c>
      <c r="D16" s="88"/>
      <c r="E16" s="47">
        <v>6000</v>
      </c>
    </row>
    <row r="18" spans="3:15" x14ac:dyDescent="0.3">
      <c r="C18" s="80" t="s">
        <v>88</v>
      </c>
      <c r="D18" s="80"/>
      <c r="E18" s="80"/>
      <c r="F18" s="80"/>
      <c r="G18" s="80"/>
    </row>
    <row r="20" spans="3:15" x14ac:dyDescent="0.3">
      <c r="C20" s="80" t="s">
        <v>89</v>
      </c>
      <c r="D20" s="80"/>
      <c r="E20" s="80"/>
      <c r="F20" s="80"/>
      <c r="G20" s="80"/>
    </row>
    <row r="22" spans="3:15" x14ac:dyDescent="0.3">
      <c r="C22" s="84" t="s">
        <v>90</v>
      </c>
      <c r="D22" s="84"/>
      <c r="E22" s="84"/>
      <c r="F22" s="84"/>
      <c r="G22" s="84"/>
      <c r="H22" s="84"/>
      <c r="I22" s="84"/>
      <c r="J22" s="84"/>
      <c r="K22" s="84"/>
    </row>
    <row r="26" spans="3:15" x14ac:dyDescent="0.3">
      <c r="G26" s="58" t="s">
        <v>99</v>
      </c>
      <c r="H26" s="58"/>
      <c r="I26" s="138" t="s">
        <v>98</v>
      </c>
      <c r="J26" s="58"/>
      <c r="K26" s="58" t="s">
        <v>97</v>
      </c>
    </row>
    <row r="27" spans="3:15" x14ac:dyDescent="0.3">
      <c r="G27" s="136" t="s">
        <v>101</v>
      </c>
      <c r="H27" s="58"/>
      <c r="I27" s="138"/>
      <c r="J27" s="58"/>
      <c r="K27" s="135" t="s">
        <v>100</v>
      </c>
    </row>
    <row r="28" spans="3:15" x14ac:dyDescent="0.3">
      <c r="G28" s="134"/>
      <c r="H28" s="134"/>
      <c r="I28" s="139"/>
      <c r="J28" s="134"/>
      <c r="K28" s="134"/>
    </row>
    <row r="29" spans="3:15" ht="16.2" thickBot="1" x14ac:dyDescent="0.35">
      <c r="C29" s="83" t="s">
        <v>102</v>
      </c>
      <c r="D29" s="83"/>
      <c r="E29" s="83"/>
      <c r="F29" s="83"/>
      <c r="G29" s="140">
        <v>700</v>
      </c>
      <c r="H29" s="140"/>
      <c r="I29" s="141">
        <v>1400</v>
      </c>
      <c r="J29" s="140"/>
      <c r="K29" s="140">
        <v>2100</v>
      </c>
    </row>
    <row r="30" spans="3:15" x14ac:dyDescent="0.3">
      <c r="C30" s="83" t="s">
        <v>104</v>
      </c>
      <c r="D30" s="83"/>
      <c r="E30" s="83"/>
      <c r="F30" s="83"/>
      <c r="G30" s="144">
        <f>G29*O30</f>
        <v>9800</v>
      </c>
      <c r="H30" s="144"/>
      <c r="I30" s="146">
        <f>O30*I29</f>
        <v>19600</v>
      </c>
      <c r="J30" s="144"/>
      <c r="K30" s="144">
        <f>O30*K29</f>
        <v>29400</v>
      </c>
      <c r="M30" s="89" t="s">
        <v>79</v>
      </c>
      <c r="N30" s="90"/>
      <c r="O30" s="41">
        <v>14</v>
      </c>
    </row>
    <row r="31" spans="3:15" x14ac:dyDescent="0.3">
      <c r="C31" s="155" t="s">
        <v>105</v>
      </c>
      <c r="G31" s="144"/>
      <c r="H31" s="144"/>
      <c r="I31" s="146"/>
      <c r="J31" s="144"/>
      <c r="K31" s="147"/>
      <c r="M31" s="81" t="s">
        <v>80</v>
      </c>
      <c r="N31" s="82"/>
      <c r="O31" s="42">
        <v>8</v>
      </c>
    </row>
    <row r="32" spans="3:15" x14ac:dyDescent="0.3">
      <c r="C32" s="83" t="s">
        <v>106</v>
      </c>
      <c r="D32" s="83"/>
      <c r="E32" s="83"/>
      <c r="F32" s="83"/>
      <c r="G32" s="148">
        <f>5*G29</f>
        <v>3500</v>
      </c>
      <c r="H32" s="144"/>
      <c r="I32" s="146">
        <f>5*I29</f>
        <v>7000</v>
      </c>
      <c r="J32" s="147"/>
      <c r="K32" s="144">
        <f>5*K29</f>
        <v>10500</v>
      </c>
      <c r="M32" s="142" t="s">
        <v>81</v>
      </c>
      <c r="N32" s="143"/>
      <c r="O32" s="42">
        <v>2500</v>
      </c>
    </row>
    <row r="33" spans="3:15" x14ac:dyDescent="0.3">
      <c r="C33" s="83" t="s">
        <v>108</v>
      </c>
      <c r="D33" s="83"/>
      <c r="E33" s="83"/>
      <c r="F33" s="83"/>
      <c r="G33" s="149">
        <f>I33</f>
        <v>8600</v>
      </c>
      <c r="H33" s="144"/>
      <c r="I33" s="150">
        <f>I30-I32-I35</f>
        <v>8600</v>
      </c>
      <c r="J33" s="144"/>
      <c r="K33" s="149">
        <f>I33</f>
        <v>8600</v>
      </c>
      <c r="M33" s="81" t="s">
        <v>82</v>
      </c>
      <c r="N33" s="82"/>
      <c r="O33" s="43">
        <v>1400</v>
      </c>
    </row>
    <row r="34" spans="3:15" ht="16.2" thickBot="1" x14ac:dyDescent="0.35">
      <c r="G34" s="144"/>
      <c r="H34" s="151"/>
      <c r="I34" s="146"/>
      <c r="J34" s="151"/>
      <c r="K34" s="147"/>
      <c r="M34" s="44" t="s">
        <v>83</v>
      </c>
      <c r="N34" s="45"/>
      <c r="O34" s="46">
        <v>2100</v>
      </c>
    </row>
    <row r="35" spans="3:15" x14ac:dyDescent="0.3">
      <c r="C35" s="83" t="s">
        <v>107</v>
      </c>
      <c r="D35" s="83"/>
      <c r="E35" s="83"/>
      <c r="F35" s="83"/>
      <c r="G35" s="152">
        <f>G30-G32-G33</f>
        <v>-2300</v>
      </c>
      <c r="H35" s="144"/>
      <c r="I35" s="146">
        <f>O35</f>
        <v>4000</v>
      </c>
      <c r="J35" s="144"/>
      <c r="K35" s="145">
        <f>K30-K32-K33</f>
        <v>10300</v>
      </c>
      <c r="M35" s="85" t="s">
        <v>56</v>
      </c>
      <c r="N35" s="86"/>
      <c r="O35" s="48">
        <v>4000</v>
      </c>
    </row>
    <row r="36" spans="3:15" ht="16.2" thickBot="1" x14ac:dyDescent="0.35">
      <c r="G36" s="134"/>
      <c r="H36" s="134"/>
      <c r="I36" s="134"/>
      <c r="J36" s="134"/>
      <c r="K36" s="134"/>
      <c r="M36" s="87" t="s">
        <v>92</v>
      </c>
      <c r="N36" s="88"/>
      <c r="O36" s="47">
        <v>6000</v>
      </c>
    </row>
    <row r="37" spans="3:15" x14ac:dyDescent="0.3">
      <c r="G37" s="134"/>
      <c r="H37" s="134"/>
      <c r="I37" s="134"/>
      <c r="J37" s="134"/>
      <c r="K37" s="134"/>
    </row>
    <row r="38" spans="3:15" x14ac:dyDescent="0.3">
      <c r="C38" s="71" t="s">
        <v>114</v>
      </c>
      <c r="D38" s="71"/>
      <c r="E38" s="71"/>
      <c r="F38" s="71"/>
      <c r="G38" s="71"/>
      <c r="H38" s="58"/>
      <c r="I38" s="58"/>
      <c r="J38" s="58"/>
      <c r="K38" s="58"/>
    </row>
    <row r="39" spans="3:15" x14ac:dyDescent="0.3">
      <c r="C39" s="1" t="s">
        <v>115</v>
      </c>
      <c r="H39" s="58"/>
      <c r="I39" s="58"/>
      <c r="J39" s="58"/>
    </row>
    <row r="40" spans="3:15" x14ac:dyDescent="0.3">
      <c r="H40" s="58"/>
      <c r="I40" s="58"/>
      <c r="J40" s="58"/>
    </row>
    <row r="41" spans="3:15" x14ac:dyDescent="0.3">
      <c r="C41" s="78" t="s">
        <v>109</v>
      </c>
      <c r="D41" s="78"/>
      <c r="E41" s="78"/>
      <c r="F41" s="78"/>
      <c r="G41" s="78"/>
    </row>
    <row r="42" spans="3:15" x14ac:dyDescent="0.3">
      <c r="C42" s="83" t="s">
        <v>110</v>
      </c>
      <c r="D42" s="83"/>
      <c r="E42" s="83"/>
      <c r="F42" s="156">
        <f>+I30</f>
        <v>19600</v>
      </c>
    </row>
    <row r="43" spans="3:15" x14ac:dyDescent="0.3">
      <c r="C43" s="157" t="s">
        <v>111</v>
      </c>
      <c r="D43" s="157"/>
      <c r="E43" s="157"/>
    </row>
    <row r="44" spans="3:15" x14ac:dyDescent="0.3">
      <c r="C44" s="83" t="s">
        <v>112</v>
      </c>
      <c r="D44" s="83"/>
      <c r="E44" s="83"/>
      <c r="F44" s="156">
        <f>+I32</f>
        <v>7000</v>
      </c>
    </row>
    <row r="45" spans="3:15" x14ac:dyDescent="0.3">
      <c r="C45" s="157" t="s">
        <v>111</v>
      </c>
      <c r="D45" s="157"/>
      <c r="E45" s="157"/>
    </row>
    <row r="46" spans="3:15" x14ac:dyDescent="0.3">
      <c r="C46" s="95" t="s">
        <v>107</v>
      </c>
      <c r="D46" s="95"/>
      <c r="E46" s="95"/>
      <c r="F46" s="158">
        <f>+I35</f>
        <v>4000</v>
      </c>
    </row>
    <row r="47" spans="3:15" x14ac:dyDescent="0.3">
      <c r="C47" s="71" t="s">
        <v>113</v>
      </c>
      <c r="D47" s="71"/>
      <c r="E47" s="71"/>
      <c r="F47" s="159">
        <f>+F42-F44-F46</f>
        <v>8600</v>
      </c>
    </row>
  </sheetData>
  <mergeCells count="32">
    <mergeCell ref="C45:E45"/>
    <mergeCell ref="C46:E46"/>
    <mergeCell ref="C47:E47"/>
    <mergeCell ref="C38:G38"/>
    <mergeCell ref="C41:G41"/>
    <mergeCell ref="C42:E42"/>
    <mergeCell ref="C43:E43"/>
    <mergeCell ref="C44:E44"/>
    <mergeCell ref="M36:N36"/>
    <mergeCell ref="M32:N32"/>
    <mergeCell ref="C29:F29"/>
    <mergeCell ref="C30:F30"/>
    <mergeCell ref="C32:F32"/>
    <mergeCell ref="C33:F33"/>
    <mergeCell ref="C35:F35"/>
    <mergeCell ref="M30:N30"/>
    <mergeCell ref="M31:N31"/>
    <mergeCell ref="M33:N33"/>
    <mergeCell ref="M35:N35"/>
    <mergeCell ref="C2:O2"/>
    <mergeCell ref="C4:P4"/>
    <mergeCell ref="C6:O6"/>
    <mergeCell ref="C10:D10"/>
    <mergeCell ref="C11:D11"/>
    <mergeCell ref="C18:G18"/>
    <mergeCell ref="C20:G20"/>
    <mergeCell ref="C13:D13"/>
    <mergeCell ref="C8:P8"/>
    <mergeCell ref="C22:K22"/>
    <mergeCell ref="C15:D15"/>
    <mergeCell ref="C16:D16"/>
    <mergeCell ref="C12:D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05C80-8E64-49B3-9472-54DB9DDD051E}">
  <dimension ref="C2:P112"/>
  <sheetViews>
    <sheetView topLeftCell="A97" zoomScale="85" zoomScaleNormal="85" workbookViewId="0">
      <selection activeCell="H115" sqref="H115"/>
    </sheetView>
  </sheetViews>
  <sheetFormatPr baseColWidth="10" defaultColWidth="11.44140625" defaultRowHeight="15.6" x14ac:dyDescent="0.3"/>
  <cols>
    <col min="1" max="2" width="11.44140625" style="1"/>
    <col min="3" max="3" width="24.109375" style="1" customWidth="1"/>
    <col min="4" max="4" width="17" style="1" customWidth="1"/>
    <col min="5" max="5" width="21.21875" style="1" customWidth="1"/>
    <col min="6" max="6" width="22.33203125" style="1" customWidth="1"/>
    <col min="7" max="7" width="16.5546875" style="1" bestFit="1" customWidth="1"/>
    <col min="8" max="8" width="12.109375" style="1" bestFit="1" customWidth="1"/>
    <col min="9" max="9" width="11.44140625" style="1"/>
    <col min="10" max="10" width="12.21875" style="1" bestFit="1" customWidth="1"/>
    <col min="11" max="11" width="11.44140625" style="1"/>
    <col min="12" max="12" width="14" style="1" bestFit="1" customWidth="1"/>
    <col min="13" max="13" width="11.44140625" style="1"/>
    <col min="14" max="14" width="17.44140625" style="1" customWidth="1"/>
    <col min="15" max="15" width="15.88671875" style="1" bestFit="1" customWidth="1"/>
    <col min="16" max="16" width="17.6640625" style="1" customWidth="1"/>
    <col min="17" max="17" width="20.21875" style="1" bestFit="1" customWidth="1"/>
    <col min="18" max="18" width="11.5546875" style="1" bestFit="1" customWidth="1"/>
    <col min="19" max="19" width="17.33203125" style="1" bestFit="1" customWidth="1"/>
    <col min="20" max="16384" width="11.44140625" style="1"/>
  </cols>
  <sheetData>
    <row r="2" spans="3:16" ht="16.2" thickBot="1" x14ac:dyDescent="0.35">
      <c r="C2" s="67" t="s">
        <v>5</v>
      </c>
      <c r="D2" s="67"/>
      <c r="E2" s="67"/>
      <c r="F2" s="67"/>
      <c r="G2" s="67"/>
      <c r="H2" s="67"/>
      <c r="I2" s="67"/>
      <c r="J2" s="67"/>
      <c r="K2" s="67"/>
      <c r="L2" s="67"/>
      <c r="M2" s="67"/>
      <c r="N2" s="67"/>
      <c r="O2" s="67"/>
    </row>
    <row r="3" spans="3:16" ht="16.8" thickTop="1" thickBot="1" x14ac:dyDescent="0.35">
      <c r="C3" s="33"/>
      <c r="D3" s="33"/>
      <c r="E3" s="33"/>
      <c r="F3" s="33"/>
      <c r="G3" s="33"/>
      <c r="H3" s="33"/>
      <c r="I3" s="33"/>
      <c r="J3" s="33"/>
      <c r="K3" s="33"/>
      <c r="L3" s="33"/>
      <c r="M3" s="33"/>
      <c r="N3" s="33"/>
      <c r="O3" s="33"/>
    </row>
    <row r="4" spans="3:16" ht="16.2" thickBot="1" x14ac:dyDescent="0.35">
      <c r="C4" s="68" t="s">
        <v>43</v>
      </c>
      <c r="D4" s="69"/>
      <c r="E4" s="69"/>
      <c r="F4" s="69"/>
      <c r="G4" s="69"/>
      <c r="H4" s="69"/>
      <c r="I4" s="69"/>
      <c r="J4" s="69"/>
      <c r="K4" s="69"/>
      <c r="L4" s="69"/>
      <c r="M4" s="69"/>
      <c r="N4" s="69"/>
      <c r="O4" s="69"/>
      <c r="P4" s="70"/>
    </row>
    <row r="5" spans="3:16" x14ac:dyDescent="0.3">
      <c r="C5" s="33"/>
      <c r="D5" s="33"/>
      <c r="E5" s="33"/>
      <c r="F5" s="33"/>
      <c r="G5" s="33"/>
      <c r="H5" s="33"/>
      <c r="I5" s="33"/>
      <c r="J5" s="33"/>
      <c r="K5" s="33"/>
      <c r="L5" s="33"/>
      <c r="M5" s="33"/>
      <c r="N5" s="33"/>
      <c r="O5" s="33"/>
    </row>
    <row r="6" spans="3:16" x14ac:dyDescent="0.3">
      <c r="C6" s="71" t="s">
        <v>44</v>
      </c>
      <c r="D6" s="71"/>
      <c r="E6" s="71"/>
      <c r="F6" s="71"/>
      <c r="G6" s="71"/>
      <c r="H6" s="71"/>
      <c r="I6" s="71"/>
      <c r="J6" s="71"/>
      <c r="K6" s="71"/>
      <c r="L6" s="71"/>
      <c r="M6" s="71"/>
      <c r="N6" s="71"/>
      <c r="O6" s="71"/>
    </row>
    <row r="7" spans="3:16" x14ac:dyDescent="0.3">
      <c r="C7" s="2"/>
      <c r="D7" s="2"/>
      <c r="E7" s="2"/>
      <c r="F7" s="2"/>
      <c r="G7" s="2"/>
      <c r="H7" s="2"/>
      <c r="I7" s="2"/>
      <c r="J7" s="2"/>
      <c r="K7" s="2"/>
      <c r="L7" s="2"/>
      <c r="M7" s="2"/>
      <c r="N7" s="2"/>
      <c r="O7" s="2"/>
    </row>
    <row r="8" spans="3:16" ht="17.399999999999999" x14ac:dyDescent="0.3">
      <c r="C8" s="91" t="s">
        <v>45</v>
      </c>
      <c r="D8" s="91"/>
      <c r="E8" s="91"/>
      <c r="F8" s="91"/>
      <c r="G8" s="91"/>
      <c r="H8" s="91"/>
      <c r="I8" s="91"/>
      <c r="J8" s="91"/>
      <c r="K8" s="91"/>
      <c r="L8" s="91"/>
      <c r="M8" s="91"/>
      <c r="N8" s="91"/>
      <c r="O8" s="91"/>
    </row>
    <row r="9" spans="3:16" ht="15.75" customHeight="1" x14ac:dyDescent="0.3">
      <c r="C9" s="92" t="s">
        <v>85</v>
      </c>
      <c r="D9" s="92"/>
      <c r="E9" s="92"/>
      <c r="F9" s="92"/>
      <c r="G9" s="92"/>
      <c r="H9" s="92"/>
      <c r="I9" s="92"/>
      <c r="J9" s="92"/>
      <c r="K9" s="92"/>
      <c r="L9" s="92"/>
      <c r="M9" s="92"/>
      <c r="N9" s="92"/>
      <c r="O9" s="92"/>
    </row>
    <row r="10" spans="3:16" x14ac:dyDescent="0.3">
      <c r="C10" s="92"/>
      <c r="D10" s="92"/>
      <c r="E10" s="92"/>
      <c r="F10" s="92"/>
      <c r="G10" s="92"/>
      <c r="H10" s="92"/>
      <c r="I10" s="92"/>
      <c r="J10" s="92"/>
      <c r="K10" s="92"/>
      <c r="L10" s="92"/>
      <c r="M10" s="92"/>
      <c r="N10" s="92"/>
      <c r="O10" s="92"/>
    </row>
    <row r="11" spans="3:16" x14ac:dyDescent="0.3">
      <c r="C11" s="92"/>
      <c r="D11" s="92"/>
      <c r="E11" s="92"/>
      <c r="F11" s="92"/>
      <c r="G11" s="92"/>
      <c r="H11" s="92"/>
      <c r="I11" s="92"/>
      <c r="J11" s="92"/>
      <c r="K11" s="92"/>
      <c r="L11" s="92"/>
      <c r="M11" s="92"/>
      <c r="N11" s="92"/>
      <c r="O11" s="92"/>
    </row>
    <row r="12" spans="3:16" x14ac:dyDescent="0.3">
      <c r="C12" s="83" t="s">
        <v>46</v>
      </c>
      <c r="D12" s="83"/>
      <c r="E12" s="83"/>
      <c r="F12" s="83"/>
      <c r="G12" s="83"/>
      <c r="H12" s="83"/>
      <c r="I12" s="83"/>
      <c r="J12" s="83"/>
      <c r="K12" s="83"/>
      <c r="L12" s="83"/>
      <c r="M12" s="83"/>
      <c r="N12" s="83"/>
      <c r="O12" s="83"/>
    </row>
    <row r="13" spans="3:16" x14ac:dyDescent="0.3">
      <c r="C13" s="93" t="s">
        <v>47</v>
      </c>
      <c r="D13" s="93"/>
      <c r="E13" s="93"/>
      <c r="F13" s="93"/>
      <c r="G13" s="93"/>
      <c r="H13" s="93"/>
      <c r="I13" s="93"/>
      <c r="J13" s="93"/>
      <c r="K13" s="93"/>
      <c r="L13" s="93"/>
      <c r="M13" s="93"/>
      <c r="N13" s="93"/>
      <c r="O13" s="93"/>
    </row>
    <row r="14" spans="3:16" x14ac:dyDescent="0.3">
      <c r="C14" s="93" t="s">
        <v>48</v>
      </c>
      <c r="D14" s="93"/>
      <c r="E14" s="93"/>
      <c r="F14" s="93"/>
      <c r="G14" s="93"/>
      <c r="H14" s="93"/>
      <c r="I14" s="93"/>
      <c r="J14" s="93"/>
      <c r="K14" s="93"/>
      <c r="L14" s="93"/>
      <c r="M14" s="93"/>
      <c r="N14" s="93"/>
      <c r="O14" s="93"/>
    </row>
    <row r="15" spans="3:16" x14ac:dyDescent="0.3">
      <c r="C15" s="93" t="s">
        <v>49</v>
      </c>
      <c r="D15" s="93"/>
      <c r="E15" s="93"/>
      <c r="F15" s="93"/>
      <c r="G15" s="93"/>
      <c r="H15" s="93"/>
      <c r="I15" s="93"/>
      <c r="J15" s="93"/>
      <c r="K15" s="93"/>
      <c r="L15" s="93"/>
      <c r="M15" s="93"/>
      <c r="N15" s="93"/>
      <c r="O15" s="93"/>
    </row>
    <row r="16" spans="3:16" ht="23.25" customHeight="1" x14ac:dyDescent="0.3">
      <c r="C16" s="94" t="s">
        <v>84</v>
      </c>
      <c r="D16" s="94"/>
      <c r="E16" s="94"/>
      <c r="F16" s="94"/>
      <c r="G16" s="94"/>
      <c r="H16" s="94"/>
      <c r="I16" s="94"/>
      <c r="J16" s="94"/>
      <c r="K16" s="94"/>
      <c r="L16" s="94"/>
      <c r="M16" s="94"/>
      <c r="N16" s="94"/>
      <c r="O16" s="94"/>
    </row>
    <row r="17" spans="3:15" ht="15.75" customHeight="1" x14ac:dyDescent="0.3">
      <c r="C17" s="95" t="s">
        <v>50</v>
      </c>
      <c r="D17" s="95"/>
      <c r="E17" s="95"/>
      <c r="F17" s="95"/>
      <c r="G17" s="95"/>
      <c r="H17" s="95"/>
      <c r="I17" s="95"/>
      <c r="J17" s="95"/>
      <c r="K17" s="95"/>
      <c r="L17" s="95"/>
      <c r="M17" s="95"/>
      <c r="N17" s="95"/>
      <c r="O17" s="95"/>
    </row>
    <row r="18" spans="3:15" x14ac:dyDescent="0.3">
      <c r="C18" s="95"/>
      <c r="D18" s="95"/>
      <c r="E18" s="95"/>
      <c r="F18" s="95"/>
      <c r="G18" s="95"/>
      <c r="H18" s="95"/>
      <c r="I18" s="95"/>
      <c r="J18" s="95"/>
      <c r="K18" s="95"/>
      <c r="L18" s="95"/>
      <c r="M18" s="95"/>
      <c r="N18" s="95"/>
      <c r="O18" s="95"/>
    </row>
    <row r="19" spans="3:15" x14ac:dyDescent="0.3">
      <c r="C19" s="96"/>
      <c r="D19" s="96"/>
      <c r="E19" s="96"/>
      <c r="F19" s="96"/>
      <c r="G19" s="96"/>
      <c r="H19" s="96"/>
      <c r="I19" s="96"/>
      <c r="J19" s="96"/>
      <c r="K19" s="96"/>
      <c r="L19" s="96"/>
      <c r="M19" s="96"/>
      <c r="N19" s="96"/>
      <c r="O19" s="96"/>
    </row>
    <row r="20" spans="3:15" x14ac:dyDescent="0.3">
      <c r="C20" s="83" t="s">
        <v>51</v>
      </c>
      <c r="D20" s="83"/>
      <c r="E20" s="83"/>
      <c r="F20" s="83"/>
      <c r="G20" s="83"/>
      <c r="H20" s="83"/>
      <c r="I20" s="83"/>
      <c r="J20" s="83"/>
      <c r="K20" s="83"/>
      <c r="L20" s="83"/>
      <c r="M20" s="83"/>
      <c r="N20" s="83"/>
      <c r="O20" s="83"/>
    </row>
    <row r="22" spans="3:15" ht="15.6" customHeight="1" x14ac:dyDescent="0.3">
      <c r="C22" s="97" t="s">
        <v>52</v>
      </c>
      <c r="D22" s="97"/>
      <c r="E22" s="97"/>
      <c r="F22" s="97"/>
      <c r="G22" s="97"/>
      <c r="H22" s="97"/>
      <c r="I22" s="97"/>
      <c r="J22" s="97"/>
      <c r="K22" s="97"/>
      <c r="L22" s="97"/>
      <c r="M22" s="97"/>
      <c r="N22" s="97"/>
      <c r="O22" s="97"/>
    </row>
    <row r="23" spans="3:15" x14ac:dyDescent="0.3">
      <c r="C23" s="201"/>
      <c r="D23" s="201"/>
      <c r="E23" s="201"/>
      <c r="F23" s="201"/>
      <c r="G23" s="201"/>
      <c r="H23" s="201"/>
      <c r="I23" s="201"/>
      <c r="J23" s="201"/>
      <c r="K23" s="201"/>
      <c r="L23" s="201"/>
      <c r="M23" s="201"/>
      <c r="N23" s="201"/>
      <c r="O23" s="201"/>
    </row>
    <row r="24" spans="3:15" ht="16.2" thickBot="1" x14ac:dyDescent="0.35">
      <c r="M24" s="201"/>
      <c r="N24" s="201"/>
      <c r="O24" s="201"/>
    </row>
    <row r="25" spans="3:15" ht="15.6" customHeight="1" x14ac:dyDescent="0.3">
      <c r="D25" s="260" t="s">
        <v>130</v>
      </c>
      <c r="E25" s="261"/>
      <c r="F25" s="262">
        <v>5500000</v>
      </c>
      <c r="M25" s="201"/>
      <c r="N25" s="201"/>
      <c r="O25" s="201"/>
    </row>
    <row r="26" spans="3:15" x14ac:dyDescent="0.3">
      <c r="D26" s="263" t="s">
        <v>56</v>
      </c>
      <c r="E26" s="244"/>
      <c r="F26" s="279">
        <v>4000000</v>
      </c>
      <c r="M26" s="201"/>
      <c r="N26" s="201"/>
      <c r="O26" s="201"/>
    </row>
    <row r="27" spans="3:15" ht="15.6" customHeight="1" x14ac:dyDescent="0.3">
      <c r="D27" s="264" t="s">
        <v>126</v>
      </c>
      <c r="E27" s="265"/>
      <c r="F27" s="266">
        <v>0</v>
      </c>
      <c r="M27" s="201"/>
      <c r="N27" s="201"/>
      <c r="O27" s="201"/>
    </row>
    <row r="28" spans="3:15" x14ac:dyDescent="0.3">
      <c r="D28" s="263" t="s">
        <v>131</v>
      </c>
      <c r="E28" s="244"/>
      <c r="F28" s="267">
        <v>0.3</v>
      </c>
      <c r="M28" s="201"/>
      <c r="N28" s="201"/>
      <c r="O28" s="201"/>
    </row>
    <row r="29" spans="3:15" ht="15.6" customHeight="1" x14ac:dyDescent="0.3">
      <c r="D29" s="268" t="s">
        <v>128</v>
      </c>
      <c r="E29" s="269"/>
      <c r="F29" s="270">
        <v>0</v>
      </c>
      <c r="M29" s="201"/>
      <c r="N29" s="201"/>
      <c r="O29" s="201"/>
    </row>
    <row r="30" spans="3:15" x14ac:dyDescent="0.3">
      <c r="D30" s="271" t="s">
        <v>129</v>
      </c>
      <c r="E30" s="272"/>
      <c r="F30" s="273">
        <v>90000</v>
      </c>
      <c r="M30" s="201"/>
      <c r="N30" s="201"/>
      <c r="O30" s="201"/>
    </row>
    <row r="31" spans="3:15" x14ac:dyDescent="0.3">
      <c r="M31" s="201"/>
      <c r="N31" s="201"/>
      <c r="O31" s="201"/>
    </row>
    <row r="32" spans="3:15" x14ac:dyDescent="0.3">
      <c r="M32" s="201"/>
      <c r="N32" s="201"/>
      <c r="O32" s="201"/>
    </row>
    <row r="33" spans="3:15" ht="20.399999999999999" x14ac:dyDescent="0.35">
      <c r="C33" s="210" t="s">
        <v>125</v>
      </c>
      <c r="D33" s="221" t="s">
        <v>56</v>
      </c>
      <c r="E33" s="219" t="s">
        <v>118</v>
      </c>
      <c r="F33" s="214" t="s">
        <v>126</v>
      </c>
      <c r="G33" s="219" t="s">
        <v>103</v>
      </c>
      <c r="H33" s="227">
        <v>1</v>
      </c>
      <c r="I33" s="227" t="s">
        <v>118</v>
      </c>
      <c r="J33" s="228" t="s">
        <v>127</v>
      </c>
      <c r="K33" s="229" t="s">
        <v>118</v>
      </c>
      <c r="L33" s="220" t="s">
        <v>128</v>
      </c>
      <c r="M33" s="201"/>
      <c r="N33" s="201"/>
      <c r="O33" s="201"/>
    </row>
    <row r="34" spans="3:15" x14ac:dyDescent="0.3">
      <c r="C34" s="209"/>
      <c r="D34" s="207" t="s">
        <v>129</v>
      </c>
      <c r="E34" s="207"/>
      <c r="F34" s="207"/>
      <c r="G34" s="207"/>
      <c r="H34" s="207"/>
      <c r="I34" s="207"/>
      <c r="J34" s="207"/>
      <c r="K34" s="207"/>
      <c r="L34" s="207"/>
      <c r="M34" s="201"/>
      <c r="N34" s="201"/>
      <c r="O34" s="201"/>
    </row>
    <row r="35" spans="3:15" x14ac:dyDescent="0.3">
      <c r="C35" s="212"/>
      <c r="D35" s="213"/>
      <c r="E35" s="209"/>
      <c r="F35" s="209"/>
      <c r="G35" s="209"/>
      <c r="H35" s="209"/>
      <c r="I35" s="209"/>
      <c r="J35" s="209"/>
      <c r="K35" s="209"/>
      <c r="L35" s="209"/>
      <c r="M35" s="201"/>
      <c r="N35" s="201"/>
      <c r="O35" s="201"/>
    </row>
    <row r="36" spans="3:15" ht="20.399999999999999" x14ac:dyDescent="0.35">
      <c r="C36" s="210" t="s">
        <v>125</v>
      </c>
      <c r="D36" s="222">
        <f>F26</f>
        <v>4000000</v>
      </c>
      <c r="E36" s="223" t="s">
        <v>118</v>
      </c>
      <c r="F36" s="224">
        <v>0</v>
      </c>
      <c r="G36" s="211" t="s">
        <v>103</v>
      </c>
      <c r="H36" s="223">
        <v>1</v>
      </c>
      <c r="I36" s="223" t="s">
        <v>118</v>
      </c>
      <c r="J36" s="217">
        <f>F28</f>
        <v>0.3</v>
      </c>
      <c r="K36" s="230" t="s">
        <v>118</v>
      </c>
      <c r="L36" s="225">
        <v>0</v>
      </c>
      <c r="M36" s="201"/>
      <c r="N36" s="201"/>
      <c r="O36" s="201"/>
    </row>
    <row r="37" spans="3:15" x14ac:dyDescent="0.3">
      <c r="C37" s="209"/>
      <c r="D37" s="207">
        <f>F30</f>
        <v>90000</v>
      </c>
      <c r="E37" s="207"/>
      <c r="F37" s="207"/>
      <c r="G37" s="207"/>
      <c r="H37" s="207"/>
      <c r="I37" s="207"/>
      <c r="J37" s="207"/>
      <c r="K37" s="207"/>
      <c r="L37" s="207"/>
      <c r="M37" s="201"/>
      <c r="N37" s="201"/>
      <c r="O37" s="201"/>
    </row>
    <row r="38" spans="3:15" x14ac:dyDescent="0.3">
      <c r="C38" s="209"/>
      <c r="D38" s="215"/>
      <c r="E38" s="215"/>
      <c r="F38" s="215"/>
      <c r="G38" s="215"/>
      <c r="H38" s="215"/>
      <c r="I38" s="215"/>
      <c r="J38" s="215"/>
      <c r="K38" s="215"/>
      <c r="L38" s="218"/>
      <c r="M38" s="201"/>
      <c r="N38" s="201"/>
      <c r="O38" s="201"/>
    </row>
    <row r="39" spans="3:15" ht="20.399999999999999" x14ac:dyDescent="0.35">
      <c r="C39" s="210" t="s">
        <v>125</v>
      </c>
      <c r="D39" s="226">
        <f>D36</f>
        <v>4000000</v>
      </c>
      <c r="E39" s="216" t="s">
        <v>103</v>
      </c>
      <c r="F39" s="216">
        <f>H36-J36</f>
        <v>0.7</v>
      </c>
      <c r="G39" s="230" t="s">
        <v>118</v>
      </c>
      <c r="H39" s="231">
        <v>0</v>
      </c>
      <c r="I39" s="215"/>
      <c r="J39" s="215"/>
      <c r="K39" s="215"/>
      <c r="L39" s="218"/>
      <c r="M39" s="201"/>
      <c r="N39" s="201"/>
      <c r="O39" s="201"/>
    </row>
    <row r="40" spans="3:15" x14ac:dyDescent="0.3">
      <c r="C40" s="209"/>
      <c r="D40" s="208">
        <f>D37</f>
        <v>90000</v>
      </c>
      <c r="E40" s="208"/>
      <c r="F40" s="208"/>
      <c r="G40" s="208"/>
      <c r="H40" s="208"/>
      <c r="I40" s="218"/>
      <c r="J40" s="218"/>
      <c r="K40" s="218"/>
      <c r="L40" s="218"/>
      <c r="M40" s="201"/>
      <c r="N40" s="201"/>
      <c r="O40" s="201"/>
    </row>
    <row r="41" spans="3:15" x14ac:dyDescent="0.3">
      <c r="C41" s="209"/>
      <c r="D41" s="218"/>
      <c r="E41" s="218"/>
      <c r="F41" s="218"/>
      <c r="G41" s="218"/>
      <c r="H41" s="218"/>
      <c r="I41" s="218"/>
      <c r="J41" s="218"/>
      <c r="K41" s="218"/>
      <c r="L41" s="218"/>
    </row>
    <row r="42" spans="3:15" ht="20.399999999999999" x14ac:dyDescent="0.35">
      <c r="C42" s="244" t="s">
        <v>125</v>
      </c>
      <c r="D42" s="274">
        <f>D39*F39</f>
        <v>2800000</v>
      </c>
      <c r="E42" s="277" t="s">
        <v>118</v>
      </c>
      <c r="F42" s="278">
        <v>0</v>
      </c>
      <c r="G42" s="248"/>
      <c r="H42" s="248"/>
      <c r="I42" s="248"/>
      <c r="J42" s="248"/>
      <c r="K42" s="252"/>
      <c r="L42" s="252"/>
    </row>
    <row r="43" spans="3:15" x14ac:dyDescent="0.3">
      <c r="C43" s="236"/>
      <c r="D43" s="285">
        <f>F30</f>
        <v>90000</v>
      </c>
      <c r="E43" s="285"/>
      <c r="F43" s="285"/>
      <c r="G43" s="248"/>
      <c r="H43" s="248"/>
      <c r="I43" s="248"/>
      <c r="J43" s="248"/>
      <c r="K43" s="252"/>
      <c r="L43" s="252"/>
    </row>
    <row r="44" spans="3:15" x14ac:dyDescent="0.3">
      <c r="C44" s="236"/>
      <c r="D44" s="252"/>
      <c r="E44" s="252"/>
      <c r="F44" s="252"/>
      <c r="G44" s="252"/>
      <c r="H44" s="252"/>
      <c r="I44" s="252"/>
      <c r="J44" s="252"/>
      <c r="K44" s="252"/>
      <c r="L44" s="252"/>
    </row>
    <row r="45" spans="3:15" x14ac:dyDescent="0.3">
      <c r="C45" s="244" t="s">
        <v>125</v>
      </c>
      <c r="D45" s="275">
        <f>D42</f>
        <v>2800000</v>
      </c>
      <c r="E45" s="252"/>
      <c r="F45" s="252"/>
      <c r="G45" s="252"/>
      <c r="H45" s="252"/>
      <c r="I45" s="252"/>
      <c r="J45" s="252"/>
      <c r="K45" s="252"/>
      <c r="L45" s="252"/>
    </row>
    <row r="46" spans="3:15" x14ac:dyDescent="0.3">
      <c r="C46" s="236"/>
      <c r="D46" s="252">
        <f>D40</f>
        <v>90000</v>
      </c>
      <c r="E46" s="252"/>
      <c r="F46" s="252"/>
      <c r="G46" s="252"/>
      <c r="H46" s="252"/>
      <c r="I46" s="252"/>
      <c r="J46" s="252"/>
      <c r="K46" s="252"/>
      <c r="L46" s="252"/>
    </row>
    <row r="47" spans="3:15" x14ac:dyDescent="0.3">
      <c r="C47" s="236"/>
      <c r="D47" s="252"/>
      <c r="E47" s="252"/>
      <c r="F47" s="252"/>
      <c r="G47" s="252"/>
      <c r="H47" s="252"/>
      <c r="I47" s="252"/>
      <c r="J47" s="252"/>
      <c r="K47" s="252"/>
      <c r="L47" s="252"/>
    </row>
    <row r="48" spans="3:15" x14ac:dyDescent="0.3">
      <c r="C48" s="245" t="s">
        <v>125</v>
      </c>
      <c r="D48" s="246">
        <f>D45/D46</f>
        <v>31.111111111111111</v>
      </c>
      <c r="E48" s="236"/>
      <c r="F48" s="236"/>
      <c r="G48" s="236"/>
      <c r="H48" s="236"/>
      <c r="I48" s="236"/>
      <c r="J48" s="236"/>
      <c r="K48" s="236"/>
      <c r="L48" s="236"/>
    </row>
    <row r="50" spans="3:15" x14ac:dyDescent="0.3">
      <c r="C50" s="98" t="s">
        <v>53</v>
      </c>
      <c r="D50" s="98"/>
      <c r="E50" s="98"/>
      <c r="F50" s="98"/>
      <c r="G50" s="98"/>
      <c r="H50" s="98"/>
      <c r="I50" s="98"/>
      <c r="J50" s="98"/>
      <c r="K50" s="98"/>
      <c r="L50" s="98"/>
      <c r="M50" s="98"/>
      <c r="N50" s="98"/>
      <c r="O50" s="98"/>
    </row>
    <row r="51" spans="3:15" ht="16.2" thickBot="1" x14ac:dyDescent="0.35">
      <c r="C51" s="201"/>
      <c r="D51" s="201"/>
      <c r="E51" s="201"/>
      <c r="F51" s="201"/>
      <c r="G51" s="201"/>
      <c r="H51" s="201"/>
      <c r="I51" s="201"/>
      <c r="J51" s="201"/>
      <c r="K51" s="201"/>
      <c r="L51" s="201"/>
      <c r="M51" s="201"/>
      <c r="N51" s="201"/>
      <c r="O51" s="201"/>
    </row>
    <row r="52" spans="3:15" x14ac:dyDescent="0.3">
      <c r="C52" s="260" t="s">
        <v>130</v>
      </c>
      <c r="D52" s="261"/>
      <c r="E52" s="262">
        <f>F25</f>
        <v>5500000</v>
      </c>
      <c r="F52" s="201"/>
      <c r="G52" s="300" t="s">
        <v>132</v>
      </c>
      <c r="H52" s="301"/>
      <c r="I52" s="302"/>
      <c r="J52" s="201"/>
      <c r="K52" s="201"/>
      <c r="L52" s="201"/>
      <c r="M52" s="201"/>
      <c r="N52" s="201"/>
      <c r="O52" s="201"/>
    </row>
    <row r="53" spans="3:15" x14ac:dyDescent="0.3">
      <c r="C53" s="263" t="s">
        <v>56</v>
      </c>
      <c r="D53" s="244"/>
      <c r="E53" s="279">
        <v>4000000</v>
      </c>
      <c r="F53"/>
      <c r="G53" s="308" t="s">
        <v>133</v>
      </c>
      <c r="H53" s="309"/>
      <c r="I53" s="281"/>
      <c r="J53" s="201"/>
      <c r="K53" s="201"/>
      <c r="L53" s="201"/>
      <c r="M53" s="201"/>
      <c r="N53" s="201"/>
      <c r="O53" s="201"/>
    </row>
    <row r="54" spans="3:15" x14ac:dyDescent="0.3">
      <c r="C54" s="264" t="s">
        <v>126</v>
      </c>
      <c r="D54" s="284">
        <v>0.1</v>
      </c>
      <c r="E54" s="266">
        <f>G58</f>
        <v>550000</v>
      </c>
      <c r="F54"/>
      <c r="G54" s="303">
        <f>E52</f>
        <v>5500000</v>
      </c>
      <c r="H54" s="304"/>
      <c r="I54" s="305"/>
      <c r="J54" s="201"/>
      <c r="K54" s="201"/>
      <c r="L54" s="201"/>
      <c r="M54" s="201"/>
      <c r="N54" s="201"/>
      <c r="O54" s="201"/>
    </row>
    <row r="55" spans="3:15" x14ac:dyDescent="0.3">
      <c r="C55" s="263" t="s">
        <v>131</v>
      </c>
      <c r="D55" s="244"/>
      <c r="E55" s="267">
        <v>0.3</v>
      </c>
      <c r="F55"/>
      <c r="G55" s="280" t="s">
        <v>134</v>
      </c>
      <c r="H55" s="241">
        <f>D54</f>
        <v>0.1</v>
      </c>
      <c r="I55" s="281"/>
      <c r="J55" s="201"/>
      <c r="K55" s="201"/>
      <c r="L55" s="201"/>
      <c r="M55" s="201"/>
      <c r="N55" s="201"/>
      <c r="O55" s="201"/>
    </row>
    <row r="56" spans="3:15" x14ac:dyDescent="0.3">
      <c r="C56" s="268" t="s">
        <v>128</v>
      </c>
      <c r="D56" s="269"/>
      <c r="E56" s="270">
        <v>0</v>
      </c>
      <c r="F56"/>
      <c r="G56" s="280"/>
      <c r="H56" s="237"/>
      <c r="I56" s="281"/>
      <c r="J56" s="201"/>
      <c r="K56" s="201"/>
      <c r="L56" s="201"/>
      <c r="M56" s="201"/>
      <c r="N56" s="201"/>
      <c r="O56" s="201"/>
    </row>
    <row r="57" spans="3:15" x14ac:dyDescent="0.3">
      <c r="C57" s="271" t="s">
        <v>129</v>
      </c>
      <c r="D57" s="272"/>
      <c r="E57" s="273">
        <v>80000</v>
      </c>
      <c r="F57"/>
      <c r="G57" s="306">
        <f>+G54</f>
        <v>5500000</v>
      </c>
      <c r="H57" s="250" t="s">
        <v>103</v>
      </c>
      <c r="I57" s="238">
        <f>+H55</f>
        <v>0.1</v>
      </c>
      <c r="J57" s="201"/>
      <c r="K57" s="201"/>
      <c r="L57" s="201"/>
      <c r="M57" s="201"/>
      <c r="N57" s="201"/>
      <c r="O57" s="201"/>
    </row>
    <row r="58" spans="3:15" x14ac:dyDescent="0.3">
      <c r="C58" s="202"/>
      <c r="D58" s="201"/>
      <c r="E58" s="201"/>
      <c r="F58"/>
      <c r="G58" s="307">
        <f>+G57*I57</f>
        <v>550000</v>
      </c>
      <c r="H58" s="239"/>
      <c r="I58" s="282"/>
      <c r="J58" s="201"/>
      <c r="K58" s="201"/>
      <c r="L58" s="201"/>
      <c r="M58" s="201"/>
      <c r="N58" s="201"/>
      <c r="O58" s="201"/>
    </row>
    <row r="59" spans="3:15" x14ac:dyDescent="0.3">
      <c r="C59"/>
      <c r="D59"/>
      <c r="E59"/>
      <c r="F59"/>
      <c r="G59" s="201"/>
      <c r="H59" s="201"/>
      <c r="I59" s="201"/>
      <c r="J59" s="201"/>
      <c r="K59" s="201"/>
      <c r="L59" s="201"/>
      <c r="M59" s="201"/>
      <c r="N59" s="201"/>
      <c r="O59" s="201"/>
    </row>
    <row r="60" spans="3:15" ht="15.6" customHeight="1" x14ac:dyDescent="0.3">
      <c r="C60"/>
      <c r="D60"/>
      <c r="E60"/>
      <c r="F60"/>
      <c r="G60" s="201"/>
      <c r="H60" s="201"/>
      <c r="I60" s="201"/>
      <c r="J60" s="201"/>
      <c r="K60" s="201"/>
      <c r="L60" s="201"/>
      <c r="M60" s="201"/>
      <c r="N60" s="201"/>
      <c r="O60" s="201"/>
    </row>
    <row r="61" spans="3:15" ht="20.399999999999999" x14ac:dyDescent="0.35">
      <c r="C61" s="244" t="s">
        <v>125</v>
      </c>
      <c r="D61" s="233" t="s">
        <v>56</v>
      </c>
      <c r="E61" s="235" t="s">
        <v>118</v>
      </c>
      <c r="F61" s="206" t="s">
        <v>126</v>
      </c>
      <c r="G61" s="235" t="s">
        <v>103</v>
      </c>
      <c r="H61" s="234">
        <v>1</v>
      </c>
      <c r="I61" s="234" t="s">
        <v>118</v>
      </c>
      <c r="J61" s="232" t="s">
        <v>127</v>
      </c>
      <c r="K61" s="276" t="s">
        <v>118</v>
      </c>
      <c r="L61" s="286" t="s">
        <v>128</v>
      </c>
      <c r="M61" s="201"/>
      <c r="N61" s="201"/>
      <c r="O61" s="201"/>
    </row>
    <row r="62" spans="3:15" x14ac:dyDescent="0.3">
      <c r="C62" s="244"/>
      <c r="D62" s="287" t="s">
        <v>129</v>
      </c>
      <c r="E62" s="287"/>
      <c r="F62" s="287"/>
      <c r="G62" s="287"/>
      <c r="H62" s="287"/>
      <c r="I62" s="287"/>
      <c r="J62" s="287"/>
      <c r="K62" s="287"/>
      <c r="L62" s="287"/>
      <c r="M62" s="201"/>
      <c r="N62" s="201"/>
      <c r="O62" s="201"/>
    </row>
    <row r="63" spans="3:15" x14ac:dyDescent="0.3">
      <c r="C63" s="245"/>
      <c r="D63" s="288"/>
      <c r="E63" s="289"/>
      <c r="F63" s="289"/>
      <c r="G63" s="289"/>
      <c r="H63" s="289"/>
      <c r="I63" s="289"/>
      <c r="J63" s="289"/>
      <c r="K63" s="289"/>
      <c r="L63" s="289"/>
      <c r="M63" s="201"/>
      <c r="N63" s="201"/>
      <c r="O63" s="201"/>
    </row>
    <row r="64" spans="3:15" ht="20.399999999999999" x14ac:dyDescent="0.35">
      <c r="C64" s="244" t="s">
        <v>125</v>
      </c>
      <c r="D64" s="290">
        <f>E53</f>
        <v>4000000</v>
      </c>
      <c r="E64" s="291" t="s">
        <v>118</v>
      </c>
      <c r="F64" s="310">
        <f>E54</f>
        <v>550000</v>
      </c>
      <c r="G64" s="294" t="s">
        <v>103</v>
      </c>
      <c r="H64" s="291">
        <v>1</v>
      </c>
      <c r="I64" s="291" t="s">
        <v>118</v>
      </c>
      <c r="J64" s="292">
        <f>E55</f>
        <v>0.3</v>
      </c>
      <c r="K64" s="277" t="s">
        <v>118</v>
      </c>
      <c r="L64" s="293">
        <f>+J49</f>
        <v>0</v>
      </c>
      <c r="M64" s="201"/>
      <c r="N64" s="201"/>
      <c r="O64" s="201"/>
    </row>
    <row r="65" spans="3:15" x14ac:dyDescent="0.3">
      <c r="C65" s="244"/>
      <c r="D65" s="287">
        <f>E57</f>
        <v>80000</v>
      </c>
      <c r="E65" s="287"/>
      <c r="F65" s="287"/>
      <c r="G65" s="287"/>
      <c r="H65" s="287"/>
      <c r="I65" s="287"/>
      <c r="J65" s="287"/>
      <c r="K65" s="287"/>
      <c r="L65" s="287"/>
      <c r="M65" s="201"/>
      <c r="N65" s="201"/>
      <c r="O65" s="201"/>
    </row>
    <row r="66" spans="3:15" x14ac:dyDescent="0.3">
      <c r="C66" s="244"/>
      <c r="D66" s="248"/>
      <c r="E66" s="248"/>
      <c r="F66" s="248"/>
      <c r="G66" s="248"/>
      <c r="H66" s="248"/>
      <c r="I66" s="248"/>
      <c r="J66" s="248"/>
      <c r="K66" s="248"/>
      <c r="L66" s="294"/>
      <c r="M66" s="201"/>
      <c r="N66" s="201"/>
      <c r="O66" s="201"/>
    </row>
    <row r="67" spans="3:15" ht="20.399999999999999" x14ac:dyDescent="0.35">
      <c r="C67" s="244" t="s">
        <v>125</v>
      </c>
      <c r="D67" s="295">
        <f>+D64-F64</f>
        <v>3450000</v>
      </c>
      <c r="E67" s="249" t="s">
        <v>103</v>
      </c>
      <c r="F67" s="249">
        <f>+H64-J64</f>
        <v>0.7</v>
      </c>
      <c r="G67" s="277" t="s">
        <v>118</v>
      </c>
      <c r="H67" s="278">
        <f>+L64</f>
        <v>0</v>
      </c>
      <c r="I67" s="248"/>
      <c r="J67" s="248"/>
      <c r="K67" s="248"/>
      <c r="L67" s="294"/>
      <c r="M67" s="201"/>
      <c r="N67" s="201"/>
      <c r="O67" s="201"/>
    </row>
    <row r="68" spans="3:15" x14ac:dyDescent="0.3">
      <c r="C68" s="244"/>
      <c r="D68" s="296">
        <f>+D65</f>
        <v>80000</v>
      </c>
      <c r="E68" s="296"/>
      <c r="F68" s="296"/>
      <c r="G68" s="296"/>
      <c r="H68" s="296"/>
      <c r="I68" s="294"/>
      <c r="J68" s="294"/>
      <c r="K68" s="294"/>
      <c r="L68" s="294"/>
      <c r="M68" s="201"/>
      <c r="N68" s="201"/>
      <c r="O68" s="201"/>
    </row>
    <row r="69" spans="3:15" x14ac:dyDescent="0.3">
      <c r="C69" s="244"/>
      <c r="D69" s="294"/>
      <c r="E69" s="294"/>
      <c r="F69" s="294"/>
      <c r="G69" s="294"/>
      <c r="H69" s="294"/>
      <c r="I69" s="294"/>
      <c r="J69" s="294"/>
      <c r="K69" s="294"/>
      <c r="L69" s="294"/>
    </row>
    <row r="70" spans="3:15" ht="20.399999999999999" x14ac:dyDescent="0.35">
      <c r="C70" s="244" t="s">
        <v>125</v>
      </c>
      <c r="D70" s="295">
        <f>+D67*F67</f>
        <v>2415000</v>
      </c>
      <c r="E70" s="277" t="s">
        <v>118</v>
      </c>
      <c r="F70" s="278">
        <f>+H67</f>
        <v>0</v>
      </c>
      <c r="G70" s="248"/>
      <c r="H70" s="248"/>
      <c r="I70" s="248"/>
      <c r="J70" s="248"/>
      <c r="K70" s="294"/>
      <c r="L70" s="294"/>
    </row>
    <row r="71" spans="3:15" x14ac:dyDescent="0.3">
      <c r="C71" s="244"/>
      <c r="D71" s="205">
        <f>+D68</f>
        <v>80000</v>
      </c>
      <c r="E71" s="205"/>
      <c r="F71" s="205"/>
      <c r="G71" s="248"/>
      <c r="H71" s="248"/>
      <c r="I71" s="248"/>
      <c r="J71" s="248"/>
      <c r="K71" s="294"/>
      <c r="L71" s="294"/>
    </row>
    <row r="72" spans="3:15" x14ac:dyDescent="0.3">
      <c r="C72" s="244"/>
      <c r="D72" s="294"/>
      <c r="E72" s="294"/>
      <c r="F72" s="294"/>
      <c r="G72" s="294"/>
      <c r="H72" s="294"/>
      <c r="I72" s="294"/>
      <c r="J72" s="294"/>
      <c r="K72" s="294"/>
      <c r="L72" s="294"/>
    </row>
    <row r="73" spans="3:15" x14ac:dyDescent="0.3">
      <c r="C73" s="244" t="s">
        <v>125</v>
      </c>
      <c r="D73" s="297">
        <f>+D70-F70</f>
        <v>2415000</v>
      </c>
      <c r="E73" s="294"/>
      <c r="F73" s="294"/>
      <c r="G73" s="294"/>
      <c r="H73" s="294"/>
      <c r="I73" s="294"/>
      <c r="J73" s="294"/>
      <c r="K73" s="294"/>
      <c r="L73" s="294"/>
    </row>
    <row r="74" spans="3:15" x14ac:dyDescent="0.3">
      <c r="C74" s="244"/>
      <c r="D74" s="294">
        <f>+D71</f>
        <v>80000</v>
      </c>
      <c r="E74" s="294"/>
      <c r="F74" s="294"/>
      <c r="G74" s="294"/>
      <c r="H74" s="294"/>
      <c r="I74" s="294"/>
      <c r="J74" s="294"/>
      <c r="K74" s="294"/>
      <c r="L74" s="294"/>
    </row>
    <row r="75" spans="3:15" x14ac:dyDescent="0.3">
      <c r="C75" s="244"/>
      <c r="D75" s="294"/>
      <c r="E75" s="294"/>
      <c r="F75" s="294"/>
      <c r="G75" s="294"/>
      <c r="H75" s="294"/>
      <c r="I75" s="294"/>
      <c r="J75" s="294"/>
      <c r="K75" s="294"/>
      <c r="L75" s="294"/>
    </row>
    <row r="76" spans="3:15" x14ac:dyDescent="0.3">
      <c r="C76" s="245" t="s">
        <v>125</v>
      </c>
      <c r="D76" s="298">
        <f>+D73/D74</f>
        <v>30.1875</v>
      </c>
      <c r="E76" s="289"/>
      <c r="F76" s="289"/>
      <c r="G76" s="289"/>
      <c r="H76" s="289"/>
      <c r="I76" s="289"/>
      <c r="J76" s="289"/>
      <c r="K76" s="289"/>
      <c r="L76" s="289"/>
    </row>
    <row r="80" spans="3:15" x14ac:dyDescent="0.3">
      <c r="C80" s="99" t="s">
        <v>54</v>
      </c>
      <c r="D80" s="99"/>
      <c r="E80" s="99"/>
      <c r="F80" s="99"/>
      <c r="G80" s="99"/>
      <c r="H80" s="99"/>
      <c r="I80" s="99"/>
      <c r="J80" s="99"/>
      <c r="K80" s="99"/>
      <c r="L80" s="99"/>
      <c r="M80" s="99"/>
      <c r="N80" s="99"/>
      <c r="O80" s="99"/>
    </row>
    <row r="81" spans="3:16" x14ac:dyDescent="0.3">
      <c r="C81" s="201"/>
      <c r="D81" s="201"/>
      <c r="E81" s="201"/>
      <c r="F81" s="201"/>
      <c r="G81" s="201"/>
      <c r="H81" s="201"/>
      <c r="I81" s="201"/>
      <c r="J81" s="201"/>
      <c r="K81" s="201"/>
      <c r="L81" s="201"/>
      <c r="M81" s="201"/>
      <c r="N81" s="201"/>
      <c r="O81" s="201"/>
    </row>
    <row r="82" spans="3:16" ht="16.2" thickBot="1" x14ac:dyDescent="0.35">
      <c r="C82" s="201"/>
      <c r="D82" s="201"/>
      <c r="E82" s="201"/>
      <c r="F82" s="201"/>
      <c r="G82" s="201"/>
      <c r="H82" s="201"/>
      <c r="I82" s="201"/>
      <c r="J82" s="201"/>
      <c r="K82" s="201"/>
      <c r="L82" s="201"/>
      <c r="M82" s="201"/>
      <c r="N82" s="201"/>
      <c r="O82" s="201"/>
    </row>
    <row r="83" spans="3:16" ht="15.6" customHeight="1" thickBot="1" x14ac:dyDescent="0.35">
      <c r="C83" s="260" t="s">
        <v>130</v>
      </c>
      <c r="D83" s="261"/>
      <c r="E83" s="262">
        <f>E52</f>
        <v>5500000</v>
      </c>
      <c r="F83"/>
      <c r="G83" s="322" t="s">
        <v>139</v>
      </c>
      <c r="H83" s="322"/>
      <c r="I83" s="322"/>
      <c r="J83" s="322"/>
      <c r="L83" s="311" t="s">
        <v>135</v>
      </c>
      <c r="M83" s="312"/>
      <c r="N83" s="312"/>
      <c r="O83" s="312"/>
      <c r="P83" s="313"/>
    </row>
    <row r="84" spans="3:16" x14ac:dyDescent="0.3">
      <c r="C84" s="263" t="s">
        <v>56</v>
      </c>
      <c r="D84" s="244"/>
      <c r="E84" s="279">
        <v>4000000</v>
      </c>
      <c r="F84"/>
      <c r="G84" s="253" t="s">
        <v>140</v>
      </c>
      <c r="H84" s="254"/>
      <c r="I84" s="254"/>
      <c r="J84" s="323">
        <f>E88</f>
        <v>80000</v>
      </c>
      <c r="L84" s="324" t="s">
        <v>136</v>
      </c>
      <c r="M84" s="325"/>
      <c r="N84" s="325"/>
      <c r="O84" s="316">
        <f>J86</f>
        <v>10000</v>
      </c>
      <c r="P84" s="240"/>
    </row>
    <row r="85" spans="3:16" ht="15.6" customHeight="1" x14ac:dyDescent="0.3">
      <c r="C85" s="264" t="s">
        <v>126</v>
      </c>
      <c r="D85" s="284"/>
      <c r="E85" s="266"/>
      <c r="F85"/>
      <c r="G85" s="255" t="s">
        <v>141</v>
      </c>
      <c r="H85" s="256"/>
      <c r="I85" s="256"/>
      <c r="J85" s="257">
        <v>200</v>
      </c>
      <c r="L85" s="314" t="s">
        <v>137</v>
      </c>
      <c r="M85" s="315"/>
      <c r="N85" s="315"/>
      <c r="O85" s="317">
        <f>J85</f>
        <v>200</v>
      </c>
      <c r="P85" s="240"/>
    </row>
    <row r="86" spans="3:16" ht="16.2" thickBot="1" x14ac:dyDescent="0.35">
      <c r="C86" s="263" t="s">
        <v>131</v>
      </c>
      <c r="D86" s="244"/>
      <c r="E86" s="267">
        <v>0.3</v>
      </c>
      <c r="F86"/>
      <c r="G86" s="258" t="s">
        <v>142</v>
      </c>
      <c r="H86" s="259"/>
      <c r="I86" s="259"/>
      <c r="J86" s="46">
        <v>10000</v>
      </c>
      <c r="L86" s="324" t="s">
        <v>138</v>
      </c>
      <c r="M86" s="325"/>
      <c r="N86" s="325"/>
      <c r="O86" s="241">
        <f>14%</f>
        <v>0.14000000000000001</v>
      </c>
      <c r="P86" s="240"/>
    </row>
    <row r="87" spans="3:16" x14ac:dyDescent="0.3">
      <c r="C87" s="268" t="s">
        <v>128</v>
      </c>
      <c r="D87" s="269"/>
      <c r="E87" s="270">
        <f>N89</f>
        <v>280000</v>
      </c>
      <c r="F87"/>
      <c r="L87" s="318"/>
      <c r="M87" s="247"/>
      <c r="N87" s="317"/>
      <c r="O87" s="251"/>
      <c r="P87" s="240">
        <f>+O86</f>
        <v>0.14000000000000001</v>
      </c>
    </row>
    <row r="88" spans="3:16" x14ac:dyDescent="0.3">
      <c r="C88" s="271" t="s">
        <v>129</v>
      </c>
      <c r="D88" s="272"/>
      <c r="E88" s="273">
        <v>80000</v>
      </c>
      <c r="F88"/>
      <c r="L88" s="314">
        <f>+O84</f>
        <v>10000</v>
      </c>
      <c r="M88" s="319" t="s">
        <v>103</v>
      </c>
      <c r="N88" s="250">
        <f>+O85</f>
        <v>200</v>
      </c>
      <c r="O88" s="238" t="s">
        <v>103</v>
      </c>
      <c r="P88" s="283">
        <f>+O86</f>
        <v>0.14000000000000001</v>
      </c>
    </row>
    <row r="89" spans="3:16" ht="16.2" thickBot="1" x14ac:dyDescent="0.35">
      <c r="C89"/>
      <c r="D89"/>
      <c r="E89"/>
      <c r="F89"/>
      <c r="L89" s="320"/>
      <c r="M89" s="242"/>
      <c r="N89" s="321">
        <f>+L88*N88*P88</f>
        <v>280000</v>
      </c>
      <c r="O89" s="242"/>
      <c r="P89" s="243"/>
    </row>
    <row r="90" spans="3:16" x14ac:dyDescent="0.3">
      <c r="C90"/>
      <c r="D90"/>
      <c r="E90"/>
      <c r="F90"/>
      <c r="G90" s="201"/>
      <c r="H90" s="201"/>
      <c r="I90" s="201"/>
      <c r="J90" s="201"/>
      <c r="K90" s="201"/>
      <c r="L90" s="201"/>
      <c r="M90" s="201"/>
      <c r="N90" s="201"/>
      <c r="O90" s="201"/>
    </row>
    <row r="91" spans="3:16" x14ac:dyDescent="0.3">
      <c r="C91"/>
      <c r="D91"/>
      <c r="E91"/>
      <c r="F91"/>
      <c r="G91" s="201"/>
      <c r="H91" s="201"/>
      <c r="I91" s="201"/>
      <c r="J91" s="201"/>
      <c r="K91" s="201"/>
      <c r="L91" s="201"/>
      <c r="M91" s="201"/>
      <c r="N91" s="201"/>
    </row>
    <row r="92" spans="3:16" ht="20.399999999999999" x14ac:dyDescent="0.35">
      <c r="C92" s="244" t="s">
        <v>125</v>
      </c>
      <c r="D92" s="233" t="s">
        <v>56</v>
      </c>
      <c r="E92" s="235" t="s">
        <v>118</v>
      </c>
      <c r="F92" s="206" t="s">
        <v>126</v>
      </c>
      <c r="G92" s="235" t="s">
        <v>103</v>
      </c>
      <c r="H92" s="234">
        <v>1</v>
      </c>
      <c r="I92" s="234" t="s">
        <v>118</v>
      </c>
      <c r="J92" s="232" t="s">
        <v>127</v>
      </c>
      <c r="K92" s="276" t="s">
        <v>118</v>
      </c>
      <c r="L92" s="286" t="s">
        <v>128</v>
      </c>
      <c r="M92" s="201"/>
      <c r="N92" s="201"/>
    </row>
    <row r="93" spans="3:16" x14ac:dyDescent="0.3">
      <c r="C93" s="244"/>
      <c r="D93" s="287" t="s">
        <v>129</v>
      </c>
      <c r="E93" s="287"/>
      <c r="F93" s="287"/>
      <c r="G93" s="287"/>
      <c r="H93" s="287"/>
      <c r="I93" s="287"/>
      <c r="J93" s="287"/>
      <c r="K93" s="287"/>
      <c r="L93" s="287"/>
      <c r="M93" s="201"/>
      <c r="N93" s="201"/>
    </row>
    <row r="94" spans="3:16" x14ac:dyDescent="0.3">
      <c r="C94" s="245"/>
      <c r="D94" s="288"/>
      <c r="E94" s="289"/>
      <c r="F94" s="289"/>
      <c r="G94" s="289"/>
      <c r="H94" s="289"/>
      <c r="I94" s="289"/>
      <c r="J94" s="289"/>
      <c r="K94" s="289"/>
      <c r="L94" s="289"/>
      <c r="M94" s="201"/>
      <c r="N94" s="201"/>
    </row>
    <row r="95" spans="3:16" ht="20.399999999999999" x14ac:dyDescent="0.35">
      <c r="C95" s="244" t="s">
        <v>125</v>
      </c>
      <c r="D95" s="290">
        <f>E84</f>
        <v>4000000</v>
      </c>
      <c r="E95" s="291" t="s">
        <v>118</v>
      </c>
      <c r="F95" s="310">
        <f>E85</f>
        <v>0</v>
      </c>
      <c r="G95" s="294" t="s">
        <v>103</v>
      </c>
      <c r="H95" s="291">
        <v>1</v>
      </c>
      <c r="I95" s="291" t="s">
        <v>118</v>
      </c>
      <c r="J95" s="292">
        <f>E86</f>
        <v>0.3</v>
      </c>
      <c r="K95" s="277" t="s">
        <v>118</v>
      </c>
      <c r="L95" s="293">
        <f>E87</f>
        <v>280000</v>
      </c>
      <c r="M95" s="201"/>
      <c r="N95" s="201"/>
    </row>
    <row r="96" spans="3:16" x14ac:dyDescent="0.3">
      <c r="C96" s="244"/>
      <c r="D96" s="287">
        <f>E88</f>
        <v>80000</v>
      </c>
      <c r="E96" s="287"/>
      <c r="F96" s="287"/>
      <c r="G96" s="287"/>
      <c r="H96" s="287"/>
      <c r="I96" s="287"/>
      <c r="J96" s="287"/>
      <c r="K96" s="287"/>
      <c r="L96" s="287"/>
      <c r="M96" s="201"/>
      <c r="N96" s="201"/>
    </row>
    <row r="97" spans="3:15" x14ac:dyDescent="0.3">
      <c r="C97" s="244"/>
      <c r="D97" s="248"/>
      <c r="E97" s="248"/>
      <c r="F97" s="248"/>
      <c r="G97" s="248"/>
      <c r="H97" s="248"/>
      <c r="I97" s="248"/>
      <c r="J97" s="248"/>
      <c r="K97" s="248"/>
      <c r="L97" s="294"/>
      <c r="M97" s="201"/>
      <c r="N97" s="201"/>
    </row>
    <row r="98" spans="3:15" ht="20.399999999999999" x14ac:dyDescent="0.35">
      <c r="C98" s="244" t="s">
        <v>125</v>
      </c>
      <c r="D98" s="295">
        <f>+D95-F95</f>
        <v>4000000</v>
      </c>
      <c r="E98" s="249" t="s">
        <v>103</v>
      </c>
      <c r="F98" s="249">
        <f>+H95-J95</f>
        <v>0.7</v>
      </c>
      <c r="G98" s="277" t="s">
        <v>118</v>
      </c>
      <c r="H98" s="278">
        <f>+L95</f>
        <v>280000</v>
      </c>
      <c r="I98" s="248"/>
      <c r="J98" s="248"/>
      <c r="K98" s="248"/>
      <c r="L98" s="294"/>
      <c r="M98" s="201"/>
      <c r="N98" s="201"/>
      <c r="O98" s="201"/>
    </row>
    <row r="99" spans="3:15" x14ac:dyDescent="0.3">
      <c r="C99" s="244"/>
      <c r="D99" s="296">
        <f>+D96</f>
        <v>80000</v>
      </c>
      <c r="E99" s="296"/>
      <c r="F99" s="296"/>
      <c r="G99" s="296"/>
      <c r="H99" s="296"/>
      <c r="I99" s="294"/>
      <c r="J99" s="294"/>
      <c r="K99" s="294"/>
      <c r="L99" s="294"/>
      <c r="M99" s="201"/>
      <c r="N99" s="201"/>
      <c r="O99" s="201"/>
    </row>
    <row r="100" spans="3:15" x14ac:dyDescent="0.3">
      <c r="C100" s="244"/>
      <c r="D100" s="294"/>
      <c r="E100" s="294"/>
      <c r="F100" s="294"/>
      <c r="G100" s="294"/>
      <c r="H100" s="294"/>
      <c r="I100" s="294"/>
      <c r="J100" s="294"/>
      <c r="K100" s="294"/>
      <c r="L100" s="294"/>
      <c r="M100" s="201"/>
      <c r="N100" s="201"/>
      <c r="O100" s="201"/>
    </row>
    <row r="101" spans="3:15" ht="20.399999999999999" x14ac:dyDescent="0.35">
      <c r="C101" s="244" t="s">
        <v>125</v>
      </c>
      <c r="D101" s="295">
        <f>+D98*F98</f>
        <v>2800000</v>
      </c>
      <c r="E101" s="277" t="s">
        <v>118</v>
      </c>
      <c r="F101" s="278">
        <f>+H98</f>
        <v>280000</v>
      </c>
      <c r="G101" s="248"/>
      <c r="H101" s="248"/>
      <c r="I101" s="248"/>
      <c r="J101" s="248"/>
      <c r="K101" s="294"/>
      <c r="L101" s="294"/>
      <c r="M101" s="201"/>
      <c r="N101" s="201"/>
      <c r="O101" s="201"/>
    </row>
    <row r="102" spans="3:15" x14ac:dyDescent="0.3">
      <c r="C102" s="244"/>
      <c r="D102" s="205">
        <f>+D99</f>
        <v>80000</v>
      </c>
      <c r="E102" s="205"/>
      <c r="F102" s="205"/>
      <c r="G102" s="248"/>
      <c r="H102" s="248"/>
      <c r="I102" s="248"/>
      <c r="J102" s="248"/>
      <c r="K102" s="294"/>
      <c r="L102" s="294"/>
      <c r="M102" s="201"/>
      <c r="N102" s="201"/>
      <c r="O102" s="201"/>
    </row>
    <row r="103" spans="3:15" ht="30" customHeight="1" x14ac:dyDescent="0.3">
      <c r="C103" s="244"/>
      <c r="D103" s="294"/>
      <c r="E103" s="294"/>
      <c r="F103" s="294"/>
      <c r="G103" s="294"/>
      <c r="H103" s="294"/>
      <c r="I103" s="294"/>
      <c r="J103" s="294"/>
      <c r="K103" s="294"/>
      <c r="L103" s="294"/>
    </row>
    <row r="104" spans="3:15" x14ac:dyDescent="0.3">
      <c r="C104" s="244" t="s">
        <v>125</v>
      </c>
      <c r="D104" s="297">
        <f>+D101-F101</f>
        <v>2520000</v>
      </c>
      <c r="E104" s="294"/>
      <c r="F104" s="294"/>
      <c r="G104" s="294"/>
      <c r="H104" s="294"/>
      <c r="I104" s="294"/>
      <c r="J104" s="294"/>
      <c r="K104" s="294"/>
      <c r="L104" s="294"/>
    </row>
    <row r="105" spans="3:15" ht="39.6" customHeight="1" x14ac:dyDescent="0.3">
      <c r="C105" s="244"/>
      <c r="D105" s="294">
        <f>+D102</f>
        <v>80000</v>
      </c>
      <c r="E105" s="294"/>
      <c r="F105" s="294"/>
      <c r="G105" s="294">
        <f>D107-D76</f>
        <v>1.3125</v>
      </c>
      <c r="H105" s="294"/>
      <c r="I105" s="294"/>
      <c r="J105" s="294"/>
      <c r="K105" s="294"/>
      <c r="L105" s="294"/>
    </row>
    <row r="106" spans="3:15" x14ac:dyDescent="0.3">
      <c r="C106" s="244"/>
      <c r="D106" s="294"/>
      <c r="E106" s="294"/>
      <c r="F106" s="294"/>
      <c r="G106" s="294"/>
      <c r="H106" s="294"/>
      <c r="I106" s="294"/>
      <c r="J106" s="294"/>
      <c r="K106" s="294"/>
      <c r="L106" s="294"/>
    </row>
    <row r="107" spans="3:15" x14ac:dyDescent="0.3">
      <c r="C107" s="245" t="s">
        <v>125</v>
      </c>
      <c r="D107" s="298">
        <f>+D104/D105</f>
        <v>31.5</v>
      </c>
      <c r="E107" s="289"/>
      <c r="F107" s="289"/>
      <c r="G107" s="289"/>
      <c r="H107" s="289"/>
      <c r="I107" s="289"/>
      <c r="J107" s="289"/>
      <c r="K107" s="289"/>
      <c r="L107" s="289"/>
    </row>
    <row r="110" spans="3:15" x14ac:dyDescent="0.3">
      <c r="C110" s="299" t="s">
        <v>55</v>
      </c>
      <c r="D110" s="299"/>
      <c r="E110" s="299"/>
      <c r="F110" s="299"/>
      <c r="G110" s="299"/>
      <c r="H110" s="299"/>
      <c r="I110" s="299"/>
      <c r="J110" s="299"/>
      <c r="K110" s="299"/>
      <c r="L110" s="299"/>
      <c r="M110" s="299"/>
      <c r="N110" s="299"/>
      <c r="O110" s="299"/>
    </row>
    <row r="111" spans="3:15" x14ac:dyDescent="0.3">
      <c r="C111" s="201"/>
      <c r="D111" s="201"/>
      <c r="E111" s="201"/>
      <c r="F111" s="201"/>
      <c r="G111" s="201"/>
      <c r="H111" s="201"/>
      <c r="I111" s="201"/>
      <c r="J111" s="201"/>
      <c r="K111" s="201"/>
      <c r="L111" s="201"/>
      <c r="M111" s="201"/>
      <c r="N111" s="201"/>
      <c r="O111" s="201"/>
    </row>
    <row r="112" spans="3:15" ht="42.6" customHeight="1" x14ac:dyDescent="0.3">
      <c r="C112" s="204" t="s">
        <v>143</v>
      </c>
      <c r="D112" s="204"/>
      <c r="E112" s="204"/>
      <c r="F112" s="204"/>
      <c r="G112" s="204"/>
      <c r="H112" s="204"/>
      <c r="I112" s="204"/>
      <c r="J112" s="204"/>
      <c r="K112" s="204"/>
      <c r="L112" s="204"/>
      <c r="M112" s="201"/>
      <c r="N112" s="201"/>
      <c r="O112" s="201"/>
    </row>
  </sheetData>
  <mergeCells count="36">
    <mergeCell ref="C110:O110"/>
    <mergeCell ref="C112:L112"/>
    <mergeCell ref="G52:I52"/>
    <mergeCell ref="G54:I54"/>
    <mergeCell ref="G53:H53"/>
    <mergeCell ref="D93:L93"/>
    <mergeCell ref="D96:L96"/>
    <mergeCell ref="D99:H99"/>
    <mergeCell ref="D102:F102"/>
    <mergeCell ref="L83:P83"/>
    <mergeCell ref="G83:J83"/>
    <mergeCell ref="L84:N84"/>
    <mergeCell ref="L86:N86"/>
    <mergeCell ref="D37:L37"/>
    <mergeCell ref="D40:H40"/>
    <mergeCell ref="D62:L62"/>
    <mergeCell ref="D65:L65"/>
    <mergeCell ref="D68:H68"/>
    <mergeCell ref="D71:F71"/>
    <mergeCell ref="C80:O80"/>
    <mergeCell ref="C50:O50"/>
    <mergeCell ref="C17:O18"/>
    <mergeCell ref="C19:O19"/>
    <mergeCell ref="C20:O20"/>
    <mergeCell ref="C22:O22"/>
    <mergeCell ref="D34:L34"/>
    <mergeCell ref="C12:O12"/>
    <mergeCell ref="C13:O13"/>
    <mergeCell ref="C14:O14"/>
    <mergeCell ref="C15:O15"/>
    <mergeCell ref="C16:O16"/>
    <mergeCell ref="C2:O2"/>
    <mergeCell ref="C4:P4"/>
    <mergeCell ref="C6:O6"/>
    <mergeCell ref="C8:O8"/>
    <mergeCell ref="C9:O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2BAC4-FA7B-4D2E-94E0-B95A46E05218}">
  <dimension ref="B1:X76"/>
  <sheetViews>
    <sheetView tabSelected="1" topLeftCell="A45" zoomScale="85" zoomScaleNormal="85" workbookViewId="0">
      <selection activeCell="D77" sqref="D77"/>
    </sheetView>
  </sheetViews>
  <sheetFormatPr baseColWidth="10" defaultColWidth="11.44140625" defaultRowHeight="15.6" x14ac:dyDescent="0.3"/>
  <cols>
    <col min="1" max="1" width="11.44140625" style="1"/>
    <col min="2" max="2" width="5.44140625" style="1" customWidth="1"/>
    <col min="3" max="3" width="39.88671875" style="1" bestFit="1" customWidth="1"/>
    <col min="4" max="4" width="29.88671875" style="1" bestFit="1" customWidth="1"/>
    <col min="5" max="5" width="19.33203125" style="1" bestFit="1" customWidth="1"/>
    <col min="6" max="6" width="16.33203125" style="1" bestFit="1" customWidth="1"/>
    <col min="7" max="7" width="15.88671875" style="1" bestFit="1" customWidth="1"/>
    <col min="8" max="8" width="15.109375" style="1" customWidth="1"/>
    <col min="9" max="9" width="15.88671875" style="1" bestFit="1" customWidth="1"/>
    <col min="10" max="10" width="13.109375" style="1" customWidth="1"/>
    <col min="11" max="11" width="11.44140625" style="1"/>
    <col min="12" max="12" width="15.33203125" style="1" customWidth="1"/>
    <col min="13" max="13" width="14.77734375" style="1" customWidth="1"/>
    <col min="14" max="14" width="11.44140625" style="1"/>
    <col min="15" max="15" width="5.6640625" style="1" customWidth="1"/>
    <col min="16" max="16" width="9" style="1" customWidth="1"/>
    <col min="17" max="17" width="6.88671875" style="1" customWidth="1"/>
    <col min="18" max="18" width="7.77734375" style="1" customWidth="1"/>
    <col min="19" max="19" width="5.33203125" style="1" customWidth="1"/>
    <col min="20" max="20" width="7.33203125" style="1" customWidth="1"/>
    <col min="21" max="21" width="18.88671875" style="1" customWidth="1"/>
    <col min="22" max="22" width="16.33203125" style="1" bestFit="1" customWidth="1"/>
    <col min="23" max="23" width="13.21875" style="1" bestFit="1" customWidth="1"/>
    <col min="24" max="16384" width="11.44140625" style="1"/>
  </cols>
  <sheetData>
    <row r="1" spans="2:24" ht="16.2" thickBot="1" x14ac:dyDescent="0.35">
      <c r="C1" s="67" t="s">
        <v>27</v>
      </c>
      <c r="D1" s="67"/>
      <c r="E1" s="67"/>
      <c r="F1" s="67"/>
      <c r="G1" s="67"/>
      <c r="H1" s="67"/>
      <c r="I1" s="67"/>
      <c r="J1" s="67"/>
      <c r="K1" s="67"/>
      <c r="L1" s="67"/>
      <c r="M1" s="67"/>
      <c r="N1" s="67"/>
      <c r="O1" s="67"/>
      <c r="P1" s="67"/>
      <c r="Q1" s="67"/>
      <c r="R1" s="67"/>
      <c r="S1" s="67"/>
      <c r="T1" s="67"/>
      <c r="U1" s="67"/>
    </row>
    <row r="2" spans="2:24" ht="16.8" thickTop="1" thickBot="1" x14ac:dyDescent="0.35"/>
    <row r="3" spans="2:24" ht="16.2" thickBot="1" x14ac:dyDescent="0.35">
      <c r="C3" s="68" t="s">
        <v>43</v>
      </c>
      <c r="D3" s="69"/>
      <c r="E3" s="69"/>
      <c r="F3" s="69"/>
      <c r="G3" s="69"/>
      <c r="H3" s="69"/>
      <c r="I3" s="69"/>
      <c r="J3" s="69"/>
      <c r="K3" s="69"/>
      <c r="L3" s="69"/>
      <c r="M3" s="69"/>
      <c r="N3" s="69"/>
      <c r="O3" s="69"/>
      <c r="P3" s="70"/>
    </row>
    <row r="5" spans="2:24" x14ac:dyDescent="0.3">
      <c r="C5" s="71" t="s">
        <v>91</v>
      </c>
      <c r="D5" s="71"/>
      <c r="E5" s="71"/>
      <c r="F5" s="71"/>
      <c r="G5" s="71"/>
      <c r="H5" s="71"/>
      <c r="I5" s="71"/>
      <c r="J5" s="71"/>
      <c r="K5" s="71"/>
      <c r="L5" s="71"/>
      <c r="M5" s="71"/>
      <c r="N5" s="71"/>
      <c r="O5" s="71"/>
      <c r="P5" s="71"/>
      <c r="Q5" s="71"/>
      <c r="R5" s="71"/>
      <c r="S5" s="71"/>
      <c r="T5" s="71"/>
      <c r="U5" s="71"/>
    </row>
    <row r="6" spans="2:24" x14ac:dyDescent="0.3">
      <c r="C6" s="6"/>
    </row>
    <row r="7" spans="2:24" x14ac:dyDescent="0.3">
      <c r="C7" s="1" t="s">
        <v>6</v>
      </c>
    </row>
    <row r="9" spans="2:24" x14ac:dyDescent="0.3">
      <c r="C9" s="105" t="s">
        <v>93</v>
      </c>
      <c r="D9" s="105"/>
      <c r="E9" s="105"/>
      <c r="F9" s="105"/>
      <c r="G9" s="105"/>
      <c r="H9" s="105"/>
      <c r="I9" s="105"/>
      <c r="J9" s="105"/>
      <c r="K9" s="7"/>
      <c r="L9" s="7"/>
      <c r="M9" s="7"/>
    </row>
    <row r="10" spans="2:24" ht="16.2" thickBot="1" x14ac:dyDescent="0.35"/>
    <row r="11" spans="2:24" ht="16.2" thickBot="1" x14ac:dyDescent="0.35">
      <c r="C11" s="328" t="s">
        <v>144</v>
      </c>
      <c r="D11" s="329"/>
      <c r="E11" s="329"/>
      <c r="F11" s="327" t="s">
        <v>145</v>
      </c>
      <c r="G11" s="327"/>
      <c r="H11" s="327"/>
      <c r="I11" s="332" t="s">
        <v>118</v>
      </c>
      <c r="J11" s="327" t="s">
        <v>146</v>
      </c>
      <c r="K11" s="327"/>
      <c r="L11" s="334" t="s">
        <v>103</v>
      </c>
      <c r="M11" s="327" t="s">
        <v>147</v>
      </c>
      <c r="N11" s="336"/>
    </row>
    <row r="12" spans="2:24" ht="15.75" customHeight="1" thickBot="1" x14ac:dyDescent="0.35">
      <c r="B12" s="56"/>
      <c r="C12" s="326"/>
      <c r="D12" s="330"/>
      <c r="E12" s="330"/>
      <c r="F12" s="331"/>
      <c r="G12" s="331"/>
      <c r="H12" s="331"/>
      <c r="I12" s="333"/>
      <c r="J12" s="331"/>
      <c r="K12" s="331"/>
      <c r="L12" s="335"/>
      <c r="M12" s="331"/>
      <c r="N12" s="337"/>
      <c r="O12" s="127" t="s">
        <v>63</v>
      </c>
      <c r="P12" s="128"/>
      <c r="Q12" s="128"/>
      <c r="R12" s="128"/>
      <c r="S12" s="128"/>
      <c r="T12" s="128"/>
      <c r="U12" s="128"/>
      <c r="V12" s="128"/>
      <c r="W12" s="128"/>
      <c r="X12" s="129"/>
    </row>
    <row r="13" spans="2:24" ht="12.6" customHeight="1" x14ac:dyDescent="0.3">
      <c r="B13" s="56"/>
      <c r="C13" s="186"/>
      <c r="D13" s="190"/>
      <c r="E13" s="187"/>
      <c r="F13" s="191"/>
      <c r="G13" s="191"/>
      <c r="H13" s="191"/>
      <c r="I13" s="40"/>
      <c r="J13" s="40"/>
      <c r="K13" s="40"/>
      <c r="L13" s="40"/>
      <c r="M13" s="40"/>
      <c r="O13" s="130"/>
      <c r="P13" s="131"/>
      <c r="Q13" s="131"/>
      <c r="R13" s="131"/>
      <c r="S13" s="131"/>
      <c r="T13" s="131"/>
      <c r="U13" s="131"/>
      <c r="V13" s="131"/>
      <c r="W13" s="131"/>
      <c r="X13" s="132"/>
    </row>
    <row r="14" spans="2:24" ht="16.2" thickBot="1" x14ac:dyDescent="0.35">
      <c r="C14" s="185"/>
      <c r="D14" s="192"/>
      <c r="E14" s="187"/>
      <c r="F14" s="194"/>
      <c r="G14" s="189"/>
      <c r="H14" s="189"/>
      <c r="O14" s="8"/>
      <c r="P14" s="124"/>
      <c r="Q14" s="124"/>
      <c r="R14" s="124"/>
      <c r="S14" s="124"/>
      <c r="T14" s="124"/>
      <c r="U14" s="9">
        <v>2022</v>
      </c>
      <c r="V14" s="9"/>
      <c r="W14" s="9">
        <v>2023</v>
      </c>
      <c r="X14" s="10"/>
    </row>
    <row r="15" spans="2:24" ht="20.399999999999999" x14ac:dyDescent="0.35">
      <c r="B15" s="4"/>
      <c r="C15" s="340" t="s">
        <v>144</v>
      </c>
      <c r="D15" s="340"/>
      <c r="E15" s="340"/>
      <c r="F15" s="341">
        <f>W46</f>
        <v>1070000</v>
      </c>
      <c r="G15" s="341"/>
      <c r="H15" s="341"/>
      <c r="I15" s="356" t="s">
        <v>118</v>
      </c>
      <c r="J15" s="338">
        <f>1200</f>
        <v>1200</v>
      </c>
      <c r="K15" s="338"/>
      <c r="L15" s="351" t="s">
        <v>148</v>
      </c>
      <c r="M15" s="341">
        <v>60</v>
      </c>
      <c r="N15" s="341"/>
      <c r="O15" s="8"/>
      <c r="P15" s="125" t="s">
        <v>7</v>
      </c>
      <c r="Q15" s="125"/>
      <c r="R15" s="125"/>
      <c r="S15" s="125"/>
      <c r="T15" s="125"/>
      <c r="U15" s="11">
        <v>1300000</v>
      </c>
      <c r="V15" s="11"/>
      <c r="W15" s="11">
        <v>1100000</v>
      </c>
      <c r="X15" s="10"/>
    </row>
    <row r="16" spans="2:24" x14ac:dyDescent="0.3">
      <c r="B16" s="4"/>
      <c r="C16" s="352"/>
      <c r="D16" s="350"/>
      <c r="E16" s="350"/>
      <c r="F16" s="351"/>
      <c r="G16" s="351"/>
      <c r="H16" s="351"/>
      <c r="I16" s="351"/>
      <c r="J16" s="353"/>
      <c r="K16" s="353"/>
      <c r="L16" s="351"/>
      <c r="M16" s="353"/>
      <c r="N16" s="353"/>
      <c r="O16" s="8"/>
      <c r="P16" s="116" t="s">
        <v>0</v>
      </c>
      <c r="Q16" s="116"/>
      <c r="R16" s="116"/>
      <c r="S16" s="116"/>
      <c r="T16" s="116"/>
      <c r="U16" s="11">
        <v>650000</v>
      </c>
      <c r="V16" s="11"/>
      <c r="W16" s="11">
        <v>500000</v>
      </c>
      <c r="X16" s="10"/>
    </row>
    <row r="17" spans="2:24" ht="15.75" customHeight="1" x14ac:dyDescent="0.3">
      <c r="B17" s="53"/>
      <c r="C17" s="203"/>
      <c r="D17" s="188"/>
      <c r="E17" s="187"/>
      <c r="F17" s="189"/>
      <c r="G17" s="189"/>
      <c r="H17" s="193"/>
      <c r="I17" s="57"/>
      <c r="J17" s="57"/>
      <c r="K17" s="344"/>
      <c r="L17" s="345"/>
      <c r="M17" s="345"/>
      <c r="N17" s="343"/>
      <c r="O17" s="8"/>
      <c r="P17" s="116" t="s">
        <v>1</v>
      </c>
      <c r="Q17" s="116"/>
      <c r="R17" s="116"/>
      <c r="S17" s="116"/>
      <c r="T17" s="116"/>
      <c r="U17" s="12">
        <v>900000</v>
      </c>
      <c r="V17" s="11"/>
      <c r="W17" s="12">
        <v>700000</v>
      </c>
      <c r="X17" s="10"/>
    </row>
    <row r="18" spans="2:24" x14ac:dyDescent="0.3">
      <c r="B18" s="4"/>
      <c r="C18" s="340" t="s">
        <v>144</v>
      </c>
      <c r="D18" s="340"/>
      <c r="E18" s="340"/>
      <c r="F18" s="354">
        <f>F15</f>
        <v>1070000</v>
      </c>
      <c r="G18" s="357" t="s">
        <v>118</v>
      </c>
      <c r="H18" s="354">
        <f>J15*M15</f>
        <v>72000</v>
      </c>
      <c r="I18" s="354"/>
      <c r="J18" s="350"/>
      <c r="K18" s="350"/>
      <c r="L18" s="350"/>
      <c r="M18" s="350"/>
      <c r="N18" s="350"/>
      <c r="O18" s="8"/>
      <c r="P18" s="117" t="s">
        <v>8</v>
      </c>
      <c r="Q18" s="117"/>
      <c r="R18" s="117"/>
      <c r="S18" s="117"/>
      <c r="T18" s="117"/>
      <c r="U18" s="12">
        <f>+U15+U16+U17</f>
        <v>2850000</v>
      </c>
      <c r="V18" s="11"/>
      <c r="W18" s="12">
        <f>+W15+W16+W17</f>
        <v>2300000</v>
      </c>
      <c r="X18" s="10"/>
    </row>
    <row r="19" spans="2:24" x14ac:dyDescent="0.3">
      <c r="C19" s="343"/>
      <c r="D19" s="192"/>
      <c r="E19" s="192"/>
      <c r="F19" s="343"/>
      <c r="G19" s="343"/>
      <c r="H19" s="343"/>
      <c r="I19" s="343"/>
      <c r="J19" s="343"/>
      <c r="K19" s="343"/>
      <c r="L19" s="343"/>
      <c r="M19" s="343"/>
      <c r="N19" s="343"/>
      <c r="O19" s="8"/>
      <c r="P19" s="116" t="s">
        <v>9</v>
      </c>
      <c r="Q19" s="116"/>
      <c r="R19" s="116"/>
      <c r="S19" s="116"/>
      <c r="T19" s="116"/>
      <c r="U19" s="11">
        <v>1500000</v>
      </c>
      <c r="V19" s="11"/>
      <c r="W19" s="11">
        <v>1400000</v>
      </c>
      <c r="X19" s="10"/>
    </row>
    <row r="20" spans="2:24" ht="15.75" customHeight="1" x14ac:dyDescent="0.3">
      <c r="B20" s="53"/>
      <c r="C20" s="342" t="s">
        <v>144</v>
      </c>
      <c r="D20" s="342"/>
      <c r="E20" s="342"/>
      <c r="F20" s="355">
        <f>F18-H18</f>
        <v>998000</v>
      </c>
      <c r="G20" s="350"/>
      <c r="H20" s="350"/>
      <c r="I20" s="350"/>
      <c r="J20" s="350"/>
      <c r="K20" s="350"/>
      <c r="L20" s="350"/>
      <c r="M20" s="350"/>
      <c r="N20" s="350"/>
      <c r="O20" s="8"/>
      <c r="P20" s="119" t="s">
        <v>10</v>
      </c>
      <c r="Q20" s="119"/>
      <c r="R20" s="119"/>
      <c r="S20" s="119"/>
      <c r="T20" s="119"/>
      <c r="U20" s="115">
        <v>1000000</v>
      </c>
      <c r="V20" s="11"/>
      <c r="W20" s="115">
        <v>900000</v>
      </c>
      <c r="X20" s="10"/>
    </row>
    <row r="21" spans="2:24" x14ac:dyDescent="0.3">
      <c r="O21" s="8"/>
      <c r="P21" s="119"/>
      <c r="Q21" s="119"/>
      <c r="R21" s="119"/>
      <c r="S21" s="119"/>
      <c r="T21" s="119"/>
      <c r="U21" s="133"/>
      <c r="V21" s="11"/>
      <c r="W21" s="133"/>
      <c r="X21" s="10"/>
    </row>
    <row r="22" spans="2:24" ht="15.75" customHeight="1" x14ac:dyDescent="0.3">
      <c r="B22" s="54"/>
      <c r="C22" s="54"/>
      <c r="D22" s="54"/>
      <c r="E22" s="55"/>
      <c r="O22" s="8"/>
      <c r="P22" s="123" t="s">
        <v>11</v>
      </c>
      <c r="Q22" s="123"/>
      <c r="R22" s="123"/>
      <c r="S22" s="123"/>
      <c r="T22" s="123"/>
      <c r="U22" s="11">
        <f>+U19+U20</f>
        <v>2500000</v>
      </c>
      <c r="V22" s="11"/>
      <c r="W22" s="11">
        <f>+W19+W20</f>
        <v>2300000</v>
      </c>
      <c r="X22" s="10"/>
    </row>
    <row r="23" spans="2:24" ht="15.75" customHeight="1" x14ac:dyDescent="0.3">
      <c r="O23" s="8"/>
      <c r="P23" s="116" t="s">
        <v>12</v>
      </c>
      <c r="Q23" s="116"/>
      <c r="R23" s="116"/>
      <c r="S23" s="116"/>
      <c r="T23" s="116"/>
      <c r="U23" s="12">
        <v>950000</v>
      </c>
      <c r="V23" s="11"/>
      <c r="W23" s="12">
        <v>1100000</v>
      </c>
      <c r="X23" s="10"/>
    </row>
    <row r="24" spans="2:24" x14ac:dyDescent="0.3">
      <c r="O24" s="8"/>
      <c r="P24" s="117" t="s">
        <v>13</v>
      </c>
      <c r="Q24" s="117"/>
      <c r="R24" s="117"/>
      <c r="S24" s="117"/>
      <c r="T24" s="117"/>
      <c r="U24" s="11">
        <f>+U22-U23</f>
        <v>1550000</v>
      </c>
      <c r="V24" s="11"/>
      <c r="W24" s="11">
        <f>+W22-W23</f>
        <v>1200000</v>
      </c>
      <c r="X24" s="10"/>
    </row>
    <row r="25" spans="2:24" ht="16.2" thickBot="1" x14ac:dyDescent="0.35">
      <c r="C25" s="126" t="s">
        <v>94</v>
      </c>
      <c r="D25" s="126"/>
      <c r="E25" s="126"/>
      <c r="F25" s="126"/>
      <c r="G25" s="126"/>
      <c r="H25" s="126"/>
      <c r="I25" s="126"/>
      <c r="J25" s="126"/>
      <c r="K25" s="126"/>
      <c r="L25" s="126"/>
      <c r="O25" s="8"/>
      <c r="P25" s="118" t="s">
        <v>14</v>
      </c>
      <c r="Q25" s="118"/>
      <c r="R25" s="118"/>
      <c r="S25" s="118"/>
      <c r="T25" s="118"/>
      <c r="U25" s="13">
        <f>++U18+U24</f>
        <v>4400000</v>
      </c>
      <c r="V25" s="14"/>
      <c r="W25" s="13">
        <f>+W18+W24</f>
        <v>3500000</v>
      </c>
      <c r="X25" s="10"/>
    </row>
    <row r="26" spans="2:24" ht="17.25" customHeight="1" thickTop="1" thickBot="1" x14ac:dyDescent="0.35">
      <c r="O26" s="8"/>
      <c r="P26" s="120"/>
      <c r="Q26" s="120"/>
      <c r="R26" s="120"/>
      <c r="S26" s="120"/>
      <c r="T26" s="120"/>
      <c r="U26" s="120"/>
      <c r="V26" s="120"/>
      <c r="W26" s="120"/>
      <c r="X26" s="10"/>
    </row>
    <row r="27" spans="2:24" ht="16.2" thickBot="1" x14ac:dyDescent="0.35">
      <c r="B27" s="34"/>
      <c r="C27" s="339" t="s">
        <v>124</v>
      </c>
      <c r="D27" s="364" t="s">
        <v>149</v>
      </c>
      <c r="E27" s="364"/>
      <c r="F27" s="364"/>
      <c r="G27" s="366" t="s">
        <v>103</v>
      </c>
      <c r="H27" s="367" t="s">
        <v>150</v>
      </c>
      <c r="I27" s="367"/>
      <c r="J27" s="361"/>
      <c r="K27" s="364" t="s">
        <v>149</v>
      </c>
      <c r="L27" s="364"/>
      <c r="M27" s="369"/>
      <c r="O27" s="8"/>
      <c r="P27" s="121" t="s">
        <v>15</v>
      </c>
      <c r="Q27" s="121"/>
      <c r="R27" s="121"/>
      <c r="S27" s="121"/>
      <c r="T27" s="121"/>
      <c r="U27" s="121"/>
      <c r="V27" s="121"/>
      <c r="W27" s="121"/>
      <c r="X27" s="10"/>
    </row>
    <row r="28" spans="2:24" x14ac:dyDescent="0.3">
      <c r="B28" s="34"/>
      <c r="C28" s="349"/>
      <c r="D28" s="365"/>
      <c r="E28" s="365"/>
      <c r="F28" s="365"/>
      <c r="G28" s="199"/>
      <c r="H28" s="368"/>
      <c r="I28" s="368"/>
      <c r="J28" s="359" t="s">
        <v>123</v>
      </c>
      <c r="K28" s="365"/>
      <c r="L28" s="365"/>
      <c r="M28" s="370"/>
      <c r="O28" s="8"/>
      <c r="P28" s="15"/>
      <c r="Q28" s="15"/>
      <c r="R28" s="15"/>
      <c r="S28" s="15"/>
      <c r="T28" s="15"/>
      <c r="U28" s="3"/>
      <c r="V28" s="3"/>
      <c r="W28" s="3"/>
      <c r="X28" s="10"/>
    </row>
    <row r="29" spans="2:24" x14ac:dyDescent="0.3">
      <c r="C29" s="349"/>
      <c r="D29" s="371" t="s">
        <v>150</v>
      </c>
      <c r="E29" s="371"/>
      <c r="F29" s="371"/>
      <c r="G29" s="358"/>
      <c r="H29" s="346" t="s">
        <v>151</v>
      </c>
      <c r="I29" s="346"/>
      <c r="J29" s="358"/>
      <c r="K29" s="372" t="s">
        <v>151</v>
      </c>
      <c r="L29" s="372"/>
      <c r="M29" s="373"/>
      <c r="O29" s="8"/>
      <c r="R29" s="3"/>
      <c r="S29" s="3"/>
      <c r="T29" s="3"/>
      <c r="U29" s="3"/>
      <c r="V29" s="3"/>
      <c r="W29" s="3"/>
      <c r="X29" s="10"/>
    </row>
    <row r="30" spans="2:24" ht="16.2" thickBot="1" x14ac:dyDescent="0.35">
      <c r="C30" s="347"/>
      <c r="D30" s="331"/>
      <c r="E30" s="331"/>
      <c r="F30" s="331"/>
      <c r="G30" s="362"/>
      <c r="H30" s="348"/>
      <c r="I30" s="348"/>
      <c r="J30" s="362"/>
      <c r="K30" s="374"/>
      <c r="L30" s="374"/>
      <c r="M30" s="375"/>
      <c r="O30" s="8"/>
      <c r="P30" s="116" t="s">
        <v>2</v>
      </c>
      <c r="Q30" s="116"/>
      <c r="R30" s="116"/>
      <c r="S30" s="116"/>
      <c r="T30" s="116"/>
      <c r="U30" s="11">
        <v>900000</v>
      </c>
      <c r="V30" s="11"/>
      <c r="W30" s="11">
        <v>750000</v>
      </c>
      <c r="X30" s="10"/>
    </row>
    <row r="31" spans="2:24" ht="15.75" customHeight="1" x14ac:dyDescent="0.3">
      <c r="C31"/>
      <c r="D31"/>
      <c r="E31" s="196"/>
      <c r="F31" s="196"/>
      <c r="G31" s="197"/>
      <c r="K31" s="58"/>
      <c r="L31" s="58"/>
      <c r="M31" s="58"/>
      <c r="O31" s="8"/>
      <c r="P31" s="119" t="s">
        <v>16</v>
      </c>
      <c r="Q31" s="119"/>
      <c r="R31" s="119"/>
      <c r="S31" s="119"/>
      <c r="T31" s="119"/>
      <c r="U31" s="11">
        <v>800000</v>
      </c>
      <c r="V31" s="11"/>
      <c r="W31" s="11">
        <v>830000</v>
      </c>
      <c r="X31" s="10"/>
    </row>
    <row r="32" spans="2:24" x14ac:dyDescent="0.3">
      <c r="C32"/>
      <c r="D32"/>
      <c r="E32" s="187"/>
      <c r="F32" s="196"/>
      <c r="G32" s="197"/>
      <c r="K32" s="58"/>
      <c r="L32" s="58"/>
      <c r="M32" s="58"/>
      <c r="O32" s="8"/>
      <c r="P32" s="116" t="s">
        <v>17</v>
      </c>
      <c r="Q32" s="116"/>
      <c r="R32" s="116"/>
      <c r="S32" s="116"/>
      <c r="T32" s="116"/>
      <c r="U32" s="12">
        <v>195000</v>
      </c>
      <c r="V32" s="11"/>
      <c r="W32" s="12">
        <v>100000</v>
      </c>
      <c r="X32" s="10"/>
    </row>
    <row r="33" spans="2:24" x14ac:dyDescent="0.3">
      <c r="C33" s="383" t="s">
        <v>124</v>
      </c>
      <c r="D33" s="387">
        <f>V68</f>
        <v>170000</v>
      </c>
      <c r="E33" s="383" t="s">
        <v>103</v>
      </c>
      <c r="F33" s="387">
        <f>D34</f>
        <v>3500000</v>
      </c>
      <c r="G33" s="154"/>
      <c r="O33" s="8"/>
      <c r="P33" s="5"/>
      <c r="Q33" s="5"/>
      <c r="R33" s="5"/>
      <c r="S33" s="5"/>
      <c r="T33" s="5"/>
      <c r="U33" s="11"/>
      <c r="V33" s="11"/>
      <c r="W33" s="11"/>
      <c r="X33" s="10"/>
    </row>
    <row r="34" spans="2:24" x14ac:dyDescent="0.3">
      <c r="C34" s="381"/>
      <c r="D34" s="386">
        <f>3500000</f>
        <v>3500000</v>
      </c>
      <c r="E34" s="381"/>
      <c r="F34" s="391">
        <f>F20</f>
        <v>998000</v>
      </c>
      <c r="G34" s="197"/>
      <c r="O34" s="8"/>
      <c r="P34" s="117" t="s">
        <v>18</v>
      </c>
      <c r="Q34" s="117"/>
      <c r="R34" s="117"/>
      <c r="S34" s="117"/>
      <c r="T34" s="117"/>
      <c r="U34" s="11">
        <f>+U30+U31+U32</f>
        <v>1895000</v>
      </c>
      <c r="V34" s="11"/>
      <c r="W34" s="11">
        <f>+W30+W31+W32</f>
        <v>1680000</v>
      </c>
      <c r="X34" s="10"/>
    </row>
    <row r="35" spans="2:24" ht="15.75" customHeight="1" x14ac:dyDescent="0.3">
      <c r="C35" s="363"/>
      <c r="D35" s="198"/>
      <c r="E35" s="193"/>
      <c r="F35" s="195"/>
      <c r="G35" s="197"/>
      <c r="N35" s="16"/>
      <c r="O35" s="8"/>
      <c r="P35" s="116" t="s">
        <v>19</v>
      </c>
      <c r="Q35" s="116"/>
      <c r="R35" s="116"/>
      <c r="S35" s="116"/>
      <c r="T35" s="116"/>
      <c r="U35" s="17">
        <v>850000</v>
      </c>
      <c r="V35" s="11"/>
      <c r="W35" s="17">
        <v>750000</v>
      </c>
      <c r="X35" s="10"/>
    </row>
    <row r="36" spans="2:24" x14ac:dyDescent="0.3">
      <c r="C36" s="383" t="s">
        <v>124</v>
      </c>
      <c r="D36" s="388">
        <f>D33/D34</f>
        <v>4.8571428571428571E-2</v>
      </c>
      <c r="E36" s="383" t="s">
        <v>103</v>
      </c>
      <c r="F36" s="386">
        <f>F33/F34</f>
        <v>3.5070140280561124</v>
      </c>
      <c r="G36" s="197"/>
      <c r="N36" s="16"/>
      <c r="O36" s="8"/>
      <c r="P36" s="118" t="s">
        <v>20</v>
      </c>
      <c r="Q36" s="118"/>
      <c r="R36" s="118"/>
      <c r="S36" s="118"/>
      <c r="T36" s="118"/>
      <c r="U36" s="14">
        <f>+U34+U35</f>
        <v>2745000</v>
      </c>
      <c r="V36" s="14"/>
      <c r="W36" s="14">
        <f>+W34+W35</f>
        <v>2430000</v>
      </c>
      <c r="X36" s="10"/>
    </row>
    <row r="37" spans="2:24" x14ac:dyDescent="0.3">
      <c r="C37" s="363"/>
      <c r="D37" s="360"/>
      <c r="E37" s="360"/>
      <c r="F37" s="195"/>
      <c r="G37" s="197"/>
      <c r="N37" s="16"/>
      <c r="O37" s="8"/>
      <c r="P37" s="119" t="s">
        <v>21</v>
      </c>
      <c r="Q37" s="119"/>
      <c r="R37" s="119"/>
      <c r="S37" s="119"/>
      <c r="T37" s="119"/>
      <c r="U37" s="115">
        <v>150000</v>
      </c>
      <c r="V37" s="14"/>
      <c r="W37" s="115">
        <v>150000</v>
      </c>
      <c r="X37" s="10"/>
    </row>
    <row r="38" spans="2:24" x14ac:dyDescent="0.3">
      <c r="C38" s="392" t="s">
        <v>124</v>
      </c>
      <c r="D38" s="393">
        <f>D36*F36</f>
        <v>0.17034068136272545</v>
      </c>
      <c r="E38" s="381"/>
      <c r="F38" s="381"/>
      <c r="N38" s="16"/>
      <c r="O38" s="8"/>
      <c r="P38" s="119"/>
      <c r="Q38" s="119"/>
      <c r="R38" s="119"/>
      <c r="S38" s="119"/>
      <c r="T38" s="119"/>
      <c r="U38" s="115"/>
      <c r="V38" s="14"/>
      <c r="W38" s="115"/>
      <c r="X38" s="10"/>
    </row>
    <row r="39" spans="2:24" x14ac:dyDescent="0.3">
      <c r="N39" s="16"/>
      <c r="O39" s="8"/>
      <c r="P39" s="119"/>
      <c r="Q39" s="119"/>
      <c r="R39" s="119"/>
      <c r="S39" s="119"/>
      <c r="T39" s="119"/>
      <c r="U39" s="115"/>
      <c r="V39" s="11"/>
      <c r="W39" s="115"/>
      <c r="X39" s="10"/>
    </row>
    <row r="40" spans="2:24" x14ac:dyDescent="0.3">
      <c r="D40" s="32"/>
      <c r="O40" s="8"/>
      <c r="P40" s="119" t="s">
        <v>22</v>
      </c>
      <c r="Q40" s="119"/>
      <c r="R40" s="119"/>
      <c r="S40" s="119"/>
      <c r="T40" s="119"/>
      <c r="U40" s="115">
        <v>170000</v>
      </c>
      <c r="V40" s="11"/>
      <c r="W40" s="115">
        <v>170000</v>
      </c>
      <c r="X40" s="10"/>
    </row>
    <row r="41" spans="2:24" x14ac:dyDescent="0.3">
      <c r="C41" s="122" t="s">
        <v>95</v>
      </c>
      <c r="D41" s="122"/>
      <c r="E41" s="122"/>
      <c r="F41" s="122"/>
      <c r="G41" s="122"/>
      <c r="H41" s="122"/>
      <c r="I41" s="122"/>
      <c r="J41" s="122"/>
      <c r="K41" s="122"/>
      <c r="L41" s="122"/>
      <c r="O41" s="8"/>
      <c r="P41" s="119"/>
      <c r="Q41" s="119"/>
      <c r="R41" s="119"/>
      <c r="S41" s="119"/>
      <c r="T41" s="119"/>
      <c r="U41" s="115"/>
      <c r="V41" s="11"/>
      <c r="W41" s="115"/>
      <c r="X41" s="10"/>
    </row>
    <row r="42" spans="2:24" x14ac:dyDescent="0.3">
      <c r="O42" s="8"/>
      <c r="P42" s="119"/>
      <c r="Q42" s="119"/>
      <c r="R42" s="119"/>
      <c r="S42" s="119"/>
      <c r="T42" s="119"/>
      <c r="U42" s="115"/>
      <c r="V42" s="11"/>
      <c r="W42" s="115"/>
      <c r="X42" s="10"/>
    </row>
    <row r="43" spans="2:24" ht="15.75" customHeight="1" x14ac:dyDescent="0.3">
      <c r="B43" s="59"/>
      <c r="C43" s="108" t="s">
        <v>152</v>
      </c>
      <c r="D43" s="108"/>
      <c r="E43" s="108"/>
      <c r="F43" s="378" t="s">
        <v>153</v>
      </c>
      <c r="G43" s="378"/>
      <c r="H43" s="378"/>
      <c r="I43" s="382"/>
      <c r="J43" s="382"/>
      <c r="K43" s="382"/>
      <c r="O43" s="18"/>
      <c r="P43" s="95" t="s">
        <v>23</v>
      </c>
      <c r="Q43" s="95"/>
      <c r="R43" s="95"/>
      <c r="S43" s="95"/>
      <c r="T43" s="95"/>
      <c r="U43" s="100">
        <v>400000</v>
      </c>
      <c r="V43" s="19"/>
      <c r="W43" s="100">
        <v>350000</v>
      </c>
      <c r="X43" s="20"/>
    </row>
    <row r="44" spans="2:24" ht="15.6" customHeight="1" x14ac:dyDescent="0.3">
      <c r="B44" s="59"/>
      <c r="C44" s="108"/>
      <c r="D44" s="108"/>
      <c r="E44" s="108"/>
      <c r="F44" s="153" t="s">
        <v>154</v>
      </c>
      <c r="G44" s="153"/>
      <c r="H44" s="153"/>
      <c r="I44" s="382"/>
      <c r="J44" s="382"/>
      <c r="K44" s="382"/>
      <c r="O44" s="18"/>
      <c r="P44" s="95"/>
      <c r="Q44" s="95"/>
      <c r="R44" s="95"/>
      <c r="S44" s="95"/>
      <c r="T44" s="95"/>
      <c r="U44" s="100"/>
      <c r="V44" s="19"/>
      <c r="W44" s="100"/>
      <c r="X44" s="20"/>
    </row>
    <row r="45" spans="2:24" x14ac:dyDescent="0.3">
      <c r="C45" s="382"/>
      <c r="D45" s="382"/>
      <c r="E45" s="382"/>
      <c r="F45" s="382"/>
      <c r="G45" s="382"/>
      <c r="H45" s="382"/>
      <c r="I45" s="382"/>
      <c r="J45" s="382"/>
      <c r="K45" s="382"/>
      <c r="O45" s="18"/>
      <c r="P45" s="83" t="s">
        <v>24</v>
      </c>
      <c r="Q45" s="83"/>
      <c r="R45" s="83"/>
      <c r="S45" s="83"/>
      <c r="T45" s="83"/>
      <c r="U45" s="21">
        <v>935000</v>
      </c>
      <c r="V45" s="19"/>
      <c r="W45" s="21">
        <v>400000</v>
      </c>
      <c r="X45" s="20"/>
    </row>
    <row r="46" spans="2:24" x14ac:dyDescent="0.3">
      <c r="C46" s="108" t="s">
        <v>152</v>
      </c>
      <c r="D46" s="108"/>
      <c r="E46" s="108"/>
      <c r="F46" s="389">
        <f>W36</f>
        <v>2430000</v>
      </c>
      <c r="G46" s="382"/>
      <c r="H46" s="382"/>
      <c r="I46" s="382"/>
      <c r="J46" s="382"/>
      <c r="K46" s="382"/>
      <c r="O46" s="18"/>
      <c r="P46" s="96" t="s">
        <v>25</v>
      </c>
      <c r="Q46" s="96"/>
      <c r="R46" s="96"/>
      <c r="S46" s="96"/>
      <c r="T46" s="96"/>
      <c r="U46" s="100">
        <f>+U37+U40+U43+U45</f>
        <v>1655000</v>
      </c>
      <c r="V46" s="19"/>
      <c r="W46" s="100">
        <f>+W37+W40+W43+W45</f>
        <v>1070000</v>
      </c>
      <c r="X46" s="20"/>
    </row>
    <row r="47" spans="2:24" ht="15.6" customHeight="1" x14ac:dyDescent="0.3">
      <c r="C47" s="108"/>
      <c r="D47" s="108"/>
      <c r="E47" s="108"/>
      <c r="F47" s="395">
        <f>+F20</f>
        <v>998000</v>
      </c>
      <c r="G47" s="382"/>
      <c r="H47" s="382"/>
      <c r="I47" s="382"/>
      <c r="J47" s="382"/>
      <c r="K47" s="382"/>
      <c r="O47" s="18"/>
      <c r="P47" s="96"/>
      <c r="Q47" s="96"/>
      <c r="R47" s="96"/>
      <c r="S47" s="96"/>
      <c r="T47" s="96"/>
      <c r="U47" s="100"/>
      <c r="V47" s="19"/>
      <c r="W47" s="100"/>
      <c r="X47" s="20"/>
    </row>
    <row r="48" spans="2:24" x14ac:dyDescent="0.3">
      <c r="C48" s="382"/>
      <c r="D48" s="382"/>
      <c r="E48" s="382"/>
      <c r="F48" s="382"/>
      <c r="G48" s="382"/>
      <c r="H48" s="382"/>
      <c r="I48" s="382"/>
      <c r="J48" s="382"/>
      <c r="K48" s="382"/>
      <c r="O48" s="18"/>
      <c r="P48" s="108" t="s">
        <v>26</v>
      </c>
      <c r="Q48" s="108"/>
      <c r="R48" s="108"/>
      <c r="S48" s="108"/>
      <c r="T48" s="108"/>
      <c r="U48" s="101">
        <f>+U36+U46</f>
        <v>4400000</v>
      </c>
      <c r="V48" s="23"/>
      <c r="W48" s="101">
        <f>+W36+W46</f>
        <v>3500000</v>
      </c>
      <c r="X48" s="20"/>
    </row>
    <row r="49" spans="2:24" ht="16.2" thickBot="1" x14ac:dyDescent="0.35">
      <c r="C49" s="379" t="s">
        <v>152</v>
      </c>
      <c r="D49" s="379"/>
      <c r="E49" s="379"/>
      <c r="F49" s="376">
        <f>+F46/F47</f>
        <v>2.434869739478958</v>
      </c>
      <c r="G49" s="382"/>
      <c r="H49" s="153"/>
      <c r="I49" s="153"/>
      <c r="J49" s="382"/>
      <c r="K49" s="384"/>
      <c r="O49" s="18"/>
      <c r="P49" s="108"/>
      <c r="Q49" s="108"/>
      <c r="R49" s="108"/>
      <c r="S49" s="108"/>
      <c r="T49" s="108"/>
      <c r="U49" s="102"/>
      <c r="V49" s="23"/>
      <c r="W49" s="102"/>
      <c r="X49" s="20"/>
    </row>
    <row r="50" spans="2:24" ht="16.8" customHeight="1" thickTop="1" thickBot="1" x14ac:dyDescent="0.35">
      <c r="C50" s="379"/>
      <c r="D50" s="379"/>
      <c r="E50" s="379"/>
      <c r="F50" s="376"/>
      <c r="G50" s="382"/>
      <c r="H50" s="386"/>
      <c r="I50" s="382"/>
      <c r="J50" s="382"/>
      <c r="K50" s="390"/>
      <c r="O50" s="24"/>
      <c r="P50" s="25"/>
      <c r="Q50" s="25"/>
      <c r="R50" s="25"/>
      <c r="S50" s="25"/>
      <c r="T50" s="25"/>
      <c r="U50" s="26"/>
      <c r="V50" s="26"/>
      <c r="W50" s="26"/>
      <c r="X50" s="27"/>
    </row>
    <row r="51" spans="2:24" x14ac:dyDescent="0.3">
      <c r="C51" s="382"/>
      <c r="D51" s="382"/>
      <c r="E51" s="382"/>
      <c r="F51" s="382"/>
      <c r="G51" s="382"/>
      <c r="H51" s="382"/>
      <c r="I51" s="382"/>
      <c r="J51" s="382"/>
      <c r="K51" s="382"/>
    </row>
    <row r="52" spans="2:24" ht="16.2" thickBot="1" x14ac:dyDescent="0.35">
      <c r="C52" s="78" t="s">
        <v>155</v>
      </c>
      <c r="D52" s="78"/>
      <c r="E52" s="200" t="s">
        <v>156</v>
      </c>
      <c r="F52" s="200"/>
      <c r="G52" s="200"/>
      <c r="H52" s="200"/>
      <c r="I52" s="200"/>
      <c r="J52" s="200"/>
      <c r="K52" s="200"/>
    </row>
    <row r="53" spans="2:24" ht="15.6" customHeight="1" x14ac:dyDescent="0.3">
      <c r="C53" s="382"/>
      <c r="D53" s="382"/>
      <c r="E53" s="200"/>
      <c r="F53" s="200"/>
      <c r="G53" s="200"/>
      <c r="H53" s="200"/>
      <c r="I53" s="200"/>
      <c r="J53" s="200"/>
      <c r="K53" s="200"/>
      <c r="O53" s="109" t="s">
        <v>62</v>
      </c>
      <c r="P53" s="110"/>
      <c r="Q53" s="110"/>
      <c r="R53" s="110"/>
      <c r="S53" s="110"/>
      <c r="T53" s="110"/>
      <c r="U53" s="110"/>
      <c r="V53" s="110"/>
      <c r="W53" s="111"/>
    </row>
    <row r="54" spans="2:24" x14ac:dyDescent="0.3">
      <c r="C54" s="382"/>
      <c r="D54" s="382"/>
      <c r="E54" s="200"/>
      <c r="F54" s="200"/>
      <c r="G54" s="200"/>
      <c r="H54" s="200"/>
      <c r="I54" s="200"/>
      <c r="J54" s="200"/>
      <c r="K54" s="200"/>
      <c r="O54" s="112"/>
      <c r="P54" s="113"/>
      <c r="Q54" s="113"/>
      <c r="R54" s="113"/>
      <c r="S54" s="113"/>
      <c r="T54" s="113"/>
      <c r="U54" s="113"/>
      <c r="V54" s="113"/>
      <c r="W54" s="114"/>
    </row>
    <row r="55" spans="2:24" x14ac:dyDescent="0.3">
      <c r="C55" s="382"/>
      <c r="D55" s="382"/>
      <c r="E55" s="382"/>
      <c r="F55" s="382"/>
      <c r="G55" s="382"/>
      <c r="H55" s="382"/>
      <c r="I55" s="382"/>
      <c r="J55" s="382"/>
      <c r="K55" s="382"/>
      <c r="O55" s="18"/>
      <c r="P55" s="83" t="s">
        <v>3</v>
      </c>
      <c r="Q55" s="83"/>
      <c r="R55" s="83"/>
      <c r="S55" s="83"/>
      <c r="T55" s="83"/>
      <c r="U55" s="83"/>
      <c r="V55" s="28">
        <v>1700000</v>
      </c>
      <c r="W55" s="20"/>
    </row>
    <row r="56" spans="2:24" x14ac:dyDescent="0.3">
      <c r="C56" s="103" t="s">
        <v>96</v>
      </c>
      <c r="D56" s="103"/>
      <c r="E56" s="103"/>
      <c r="F56" s="103"/>
      <c r="G56" s="103"/>
      <c r="H56" s="103"/>
      <c r="I56" s="103"/>
      <c r="J56" s="103"/>
      <c r="K56" s="103"/>
      <c r="L56" s="103"/>
      <c r="O56" s="18"/>
      <c r="P56" s="83" t="s">
        <v>28</v>
      </c>
      <c r="Q56" s="83"/>
      <c r="R56" s="83"/>
      <c r="S56" s="83"/>
      <c r="T56" s="83"/>
      <c r="U56" s="83"/>
      <c r="V56" s="29">
        <v>1000000</v>
      </c>
      <c r="W56" s="20"/>
    </row>
    <row r="57" spans="2:24" x14ac:dyDescent="0.3">
      <c r="C57" s="4"/>
      <c r="O57" s="18"/>
      <c r="P57" s="71" t="s">
        <v>29</v>
      </c>
      <c r="Q57" s="71"/>
      <c r="R57" s="71"/>
      <c r="S57" s="71"/>
      <c r="T57" s="71"/>
      <c r="U57" s="71"/>
      <c r="V57" s="50">
        <f>+V55-V56</f>
        <v>700000</v>
      </c>
      <c r="W57" s="20"/>
    </row>
    <row r="58" spans="2:24" x14ac:dyDescent="0.3">
      <c r="C58" s="4"/>
      <c r="O58" s="18"/>
      <c r="P58" s="83" t="s">
        <v>30</v>
      </c>
      <c r="Q58" s="83"/>
      <c r="R58" s="83"/>
      <c r="S58" s="83"/>
      <c r="T58" s="83"/>
      <c r="U58" s="83"/>
      <c r="V58" s="28"/>
      <c r="W58" s="20"/>
    </row>
    <row r="59" spans="2:24" x14ac:dyDescent="0.3">
      <c r="C59" s="385" t="s">
        <v>157</v>
      </c>
      <c r="D59" s="382"/>
      <c r="E59" s="382"/>
      <c r="F59" s="382"/>
      <c r="G59" s="382"/>
      <c r="H59" s="382"/>
      <c r="I59" s="382"/>
      <c r="J59" s="382"/>
      <c r="K59" s="382"/>
      <c r="L59" s="382"/>
      <c r="M59" s="382"/>
      <c r="O59" s="18"/>
      <c r="P59" s="83" t="s">
        <v>31</v>
      </c>
      <c r="Q59" s="83"/>
      <c r="R59" s="83"/>
      <c r="S59" s="83"/>
      <c r="T59" s="83"/>
      <c r="U59" s="83"/>
      <c r="V59" s="30">
        <v>230000</v>
      </c>
      <c r="W59" s="20"/>
    </row>
    <row r="60" spans="2:24" ht="15.6" customHeight="1" x14ac:dyDescent="0.3">
      <c r="B60" s="59"/>
      <c r="C60" s="385"/>
      <c r="D60" s="382"/>
      <c r="E60" s="382"/>
      <c r="F60" s="382"/>
      <c r="G60" s="382"/>
      <c r="H60" s="382"/>
      <c r="I60" s="382"/>
      <c r="J60" s="382"/>
      <c r="K60" s="382"/>
      <c r="L60" s="382"/>
      <c r="M60" s="382"/>
      <c r="O60" s="18"/>
      <c r="P60" s="83" t="s">
        <v>32</v>
      </c>
      <c r="Q60" s="83"/>
      <c r="R60" s="83"/>
      <c r="S60" s="83"/>
      <c r="T60" s="83"/>
      <c r="U60" s="83"/>
      <c r="V60" s="29">
        <v>100000</v>
      </c>
      <c r="W60" s="20"/>
    </row>
    <row r="61" spans="2:24" x14ac:dyDescent="0.3">
      <c r="B61" s="59"/>
      <c r="C61" s="385"/>
      <c r="D61" s="382"/>
      <c r="E61" s="382"/>
      <c r="F61" s="382"/>
      <c r="G61" s="382"/>
      <c r="H61" s="382"/>
      <c r="I61" s="382"/>
      <c r="J61" s="382"/>
      <c r="K61" s="382"/>
      <c r="L61" s="382"/>
      <c r="M61" s="382"/>
      <c r="O61" s="18"/>
      <c r="P61" s="83" t="s">
        <v>33</v>
      </c>
      <c r="Q61" s="83"/>
      <c r="R61" s="83"/>
      <c r="S61" s="83"/>
      <c r="T61" s="83"/>
      <c r="U61" s="83"/>
      <c r="V61" s="31">
        <f>+V59+V60</f>
        <v>330000</v>
      </c>
      <c r="W61" s="20"/>
    </row>
    <row r="62" spans="2:24" x14ac:dyDescent="0.3">
      <c r="B62" s="59"/>
      <c r="C62" s="385"/>
      <c r="D62" s="380" t="s">
        <v>158</v>
      </c>
      <c r="E62" s="380"/>
      <c r="F62" s="380"/>
      <c r="G62" s="382"/>
      <c r="H62" s="377" t="s">
        <v>159</v>
      </c>
      <c r="I62" s="377"/>
      <c r="J62" s="385"/>
      <c r="K62" s="382"/>
      <c r="L62" s="382"/>
      <c r="M62" s="382"/>
      <c r="O62" s="18"/>
      <c r="P62" s="104" t="s">
        <v>34</v>
      </c>
      <c r="Q62" s="104"/>
      <c r="R62" s="104"/>
      <c r="S62" s="104"/>
      <c r="T62" s="104"/>
      <c r="U62" s="104"/>
      <c r="V62" s="49">
        <f>+V57-V61</f>
        <v>370000</v>
      </c>
      <c r="W62" s="20"/>
    </row>
    <row r="63" spans="2:24" x14ac:dyDescent="0.3">
      <c r="C63" s="382"/>
      <c r="D63" s="394"/>
      <c r="E63" s="394"/>
      <c r="F63" s="394"/>
      <c r="G63" s="382"/>
      <c r="H63" s="377"/>
      <c r="I63" s="377"/>
      <c r="J63" s="382"/>
      <c r="K63" s="382"/>
      <c r="L63" s="382"/>
      <c r="M63" s="382"/>
      <c r="O63" s="18"/>
      <c r="P63" s="83" t="s">
        <v>35</v>
      </c>
      <c r="Q63" s="83"/>
      <c r="R63" s="83"/>
      <c r="S63" s="83"/>
      <c r="T63" s="83"/>
      <c r="U63" s="83"/>
      <c r="V63" s="29">
        <v>70000</v>
      </c>
      <c r="W63" s="20"/>
    </row>
    <row r="64" spans="2:24" ht="15.6" customHeight="1" x14ac:dyDescent="0.3">
      <c r="C64" s="204" t="s">
        <v>160</v>
      </c>
      <c r="D64" s="396" t="s">
        <v>149</v>
      </c>
      <c r="E64" s="396"/>
      <c r="F64" s="396"/>
      <c r="G64" s="199" t="s">
        <v>103</v>
      </c>
      <c r="H64" s="397" t="s">
        <v>3</v>
      </c>
      <c r="I64" s="397"/>
      <c r="J64" s="382"/>
      <c r="K64" s="96" t="s">
        <v>149</v>
      </c>
      <c r="L64" s="96"/>
      <c r="M64" s="96"/>
      <c r="O64" s="18"/>
      <c r="P64" s="83" t="s">
        <v>36</v>
      </c>
      <c r="Q64" s="83"/>
      <c r="R64" s="83"/>
      <c r="S64" s="83"/>
      <c r="T64" s="83"/>
      <c r="U64" s="83"/>
      <c r="V64" s="28">
        <f>+V62-V63</f>
        <v>300000</v>
      </c>
      <c r="W64" s="20"/>
    </row>
    <row r="65" spans="2:23" x14ac:dyDescent="0.3">
      <c r="B65" s="60"/>
      <c r="C65" s="204"/>
      <c r="D65" s="398"/>
      <c r="E65" s="398"/>
      <c r="F65" s="398"/>
      <c r="G65" s="199"/>
      <c r="H65" s="397"/>
      <c r="I65" s="397"/>
      <c r="J65" s="382" t="s">
        <v>123</v>
      </c>
      <c r="K65" s="365"/>
      <c r="L65" s="365"/>
      <c r="M65" s="365"/>
      <c r="O65" s="18"/>
      <c r="P65" s="83" t="s">
        <v>37</v>
      </c>
      <c r="Q65" s="83"/>
      <c r="R65" s="83"/>
      <c r="S65" s="83"/>
      <c r="T65" s="83"/>
      <c r="U65" s="83"/>
      <c r="V65" s="29">
        <f>+V64*0.4</f>
        <v>120000</v>
      </c>
      <c r="W65" s="20"/>
    </row>
    <row r="66" spans="2:23" x14ac:dyDescent="0.3">
      <c r="C66" s="204"/>
      <c r="D66" s="399" t="s">
        <v>3</v>
      </c>
      <c r="E66" s="399"/>
      <c r="F66" s="399"/>
      <c r="G66" s="382"/>
      <c r="H66" s="400" t="s">
        <v>150</v>
      </c>
      <c r="I66" s="400"/>
      <c r="J66" s="382"/>
      <c r="K66" s="401" t="s">
        <v>150</v>
      </c>
      <c r="L66" s="401"/>
      <c r="M66" s="401"/>
      <c r="O66" s="18"/>
      <c r="P66" s="83" t="s">
        <v>38</v>
      </c>
      <c r="Q66" s="83"/>
      <c r="R66" s="83"/>
      <c r="S66" s="83"/>
      <c r="T66" s="83"/>
      <c r="U66" s="83"/>
      <c r="V66" s="28">
        <f>+V64-V65</f>
        <v>180000</v>
      </c>
      <c r="W66" s="20"/>
    </row>
    <row r="67" spans="2:23" ht="15.6" customHeight="1" x14ac:dyDescent="0.3">
      <c r="B67" s="52"/>
      <c r="C67" s="382"/>
      <c r="D67" s="382"/>
      <c r="E67" s="382"/>
      <c r="F67" s="382"/>
      <c r="G67" s="382"/>
      <c r="H67" s="382"/>
      <c r="I67" s="382"/>
      <c r="J67" s="382"/>
      <c r="K67" s="382"/>
      <c r="L67" s="382"/>
      <c r="M67" s="382"/>
      <c r="O67" s="18"/>
      <c r="P67" s="83" t="s">
        <v>39</v>
      </c>
      <c r="Q67" s="83"/>
      <c r="R67" s="83"/>
      <c r="S67" s="83"/>
      <c r="T67" s="83"/>
      <c r="U67" s="83"/>
      <c r="V67" s="30">
        <v>10000</v>
      </c>
      <c r="W67" s="20"/>
    </row>
    <row r="68" spans="2:23" ht="16.2" thickBot="1" x14ac:dyDescent="0.35">
      <c r="C68" s="382"/>
      <c r="D68" s="382"/>
      <c r="E68" s="382"/>
      <c r="F68" s="382"/>
      <c r="G68" s="382"/>
      <c r="H68" s="382"/>
      <c r="I68" s="382"/>
      <c r="J68" s="382"/>
      <c r="K68" s="382"/>
      <c r="L68" s="382"/>
      <c r="M68" s="382"/>
      <c r="O68" s="18"/>
      <c r="P68" s="105" t="s">
        <v>40</v>
      </c>
      <c r="Q68" s="105"/>
      <c r="R68" s="105"/>
      <c r="S68" s="105"/>
      <c r="T68" s="105"/>
      <c r="U68" s="105"/>
      <c r="V68" s="51">
        <f>+V66-V67</f>
        <v>170000</v>
      </c>
      <c r="W68" s="20"/>
    </row>
    <row r="69" spans="2:23" ht="15.6" customHeight="1" thickTop="1" x14ac:dyDescent="0.3">
      <c r="C69" s="79" t="s">
        <v>161</v>
      </c>
      <c r="D69" s="79"/>
      <c r="E69" s="79"/>
      <c r="F69" s="79"/>
      <c r="G69" s="382"/>
      <c r="H69" s="382"/>
      <c r="I69" s="382"/>
      <c r="J69" s="382"/>
      <c r="K69" s="382"/>
      <c r="L69" s="382"/>
      <c r="M69" s="382"/>
      <c r="O69" s="18"/>
      <c r="P69" s="106" t="s">
        <v>41</v>
      </c>
      <c r="Q69" s="106"/>
      <c r="R69" s="106"/>
      <c r="S69" s="106"/>
      <c r="T69" s="106"/>
      <c r="U69" s="106"/>
      <c r="V69" s="28">
        <f>170000/100000</f>
        <v>1.7</v>
      </c>
      <c r="W69" s="20"/>
    </row>
    <row r="70" spans="2:23" x14ac:dyDescent="0.3">
      <c r="B70" s="52"/>
      <c r="C70" s="382"/>
      <c r="D70" s="382"/>
      <c r="E70" s="382"/>
      <c r="F70" s="382"/>
      <c r="G70" s="382"/>
      <c r="H70" s="382"/>
      <c r="I70" s="382"/>
      <c r="J70" s="382"/>
      <c r="K70" s="382"/>
      <c r="L70" s="382"/>
      <c r="M70" s="382"/>
      <c r="O70" s="18"/>
      <c r="P70" s="92" t="s">
        <v>42</v>
      </c>
      <c r="Q70" s="92"/>
      <c r="R70" s="92"/>
      <c r="S70" s="92"/>
      <c r="T70" s="92"/>
      <c r="U70" s="92"/>
      <c r="V70" s="92"/>
      <c r="W70" s="20"/>
    </row>
    <row r="71" spans="2:23" ht="31.2" customHeight="1" x14ac:dyDescent="0.3">
      <c r="C71" s="383" t="s">
        <v>160</v>
      </c>
      <c r="D71" s="387">
        <f>D33</f>
        <v>170000</v>
      </c>
      <c r="E71" s="383" t="s">
        <v>103</v>
      </c>
      <c r="F71" s="387">
        <f>D72</f>
        <v>1700000</v>
      </c>
      <c r="G71" s="382"/>
      <c r="H71" s="382"/>
      <c r="I71" s="382"/>
      <c r="J71" s="382"/>
      <c r="K71" s="382"/>
      <c r="L71" s="382"/>
      <c r="M71" s="382"/>
      <c r="O71" s="18"/>
      <c r="P71" s="92"/>
      <c r="Q71" s="92"/>
      <c r="R71" s="92"/>
      <c r="S71" s="92"/>
      <c r="T71" s="92"/>
      <c r="U71" s="92"/>
      <c r="V71" s="92"/>
      <c r="W71" s="20"/>
    </row>
    <row r="72" spans="2:23" ht="16.2" thickBot="1" x14ac:dyDescent="0.35">
      <c r="B72" s="52"/>
      <c r="C72" s="382"/>
      <c r="D72" s="386">
        <f>V55</f>
        <v>1700000</v>
      </c>
      <c r="E72" s="382"/>
      <c r="F72" s="386">
        <f>D34</f>
        <v>3500000</v>
      </c>
      <c r="G72" s="382"/>
      <c r="H72" s="382"/>
      <c r="I72" s="382"/>
      <c r="J72" s="382"/>
      <c r="K72" s="382"/>
      <c r="L72" s="382"/>
      <c r="M72" s="382"/>
      <c r="O72" s="24"/>
      <c r="P72" s="107"/>
      <c r="Q72" s="107"/>
      <c r="R72" s="107"/>
      <c r="S72" s="107"/>
      <c r="T72" s="107"/>
      <c r="U72" s="107"/>
      <c r="V72" s="107"/>
      <c r="W72" s="27"/>
    </row>
    <row r="73" spans="2:23" x14ac:dyDescent="0.3">
      <c r="C73" s="382"/>
      <c r="D73" s="382"/>
      <c r="E73" s="382"/>
      <c r="F73" s="382"/>
      <c r="G73" s="382"/>
      <c r="H73" s="382"/>
      <c r="I73" s="382"/>
      <c r="J73" s="382"/>
      <c r="K73" s="382"/>
      <c r="L73" s="382"/>
      <c r="M73" s="382"/>
    </row>
    <row r="74" spans="2:23" x14ac:dyDescent="0.3">
      <c r="C74" s="383" t="s">
        <v>160</v>
      </c>
      <c r="D74" s="388">
        <f>D71/D72</f>
        <v>0.1</v>
      </c>
      <c r="E74" s="382" t="s">
        <v>103</v>
      </c>
      <c r="F74" s="386">
        <f>F71/F72</f>
        <v>0.48571428571428571</v>
      </c>
      <c r="G74" s="382"/>
      <c r="H74" s="382"/>
      <c r="I74" s="382"/>
      <c r="J74" s="382"/>
      <c r="K74" s="382"/>
      <c r="L74" s="382"/>
      <c r="M74" s="382"/>
    </row>
    <row r="75" spans="2:23" x14ac:dyDescent="0.3">
      <c r="C75" s="382"/>
      <c r="D75" s="382"/>
      <c r="E75" s="382"/>
      <c r="F75" s="382"/>
      <c r="G75" s="382"/>
      <c r="H75" s="382"/>
      <c r="I75" s="382"/>
      <c r="J75" s="382"/>
      <c r="K75" s="382"/>
      <c r="L75" s="382"/>
      <c r="M75" s="382"/>
    </row>
    <row r="76" spans="2:23" x14ac:dyDescent="0.3">
      <c r="C76" s="383" t="s">
        <v>160</v>
      </c>
      <c r="D76" s="388">
        <f>D74*F74</f>
        <v>4.8571428571428571E-2</v>
      </c>
      <c r="E76" s="382"/>
      <c r="F76" s="382"/>
      <c r="G76" s="382"/>
      <c r="H76" s="382"/>
      <c r="I76" s="382"/>
      <c r="J76" s="382"/>
      <c r="K76" s="382"/>
      <c r="L76" s="382"/>
      <c r="M76" s="382"/>
    </row>
  </sheetData>
  <mergeCells count="102">
    <mergeCell ref="C69:F69"/>
    <mergeCell ref="C64:C66"/>
    <mergeCell ref="D64:F65"/>
    <mergeCell ref="G64:G65"/>
    <mergeCell ref="H64:I65"/>
    <mergeCell ref="K64:M65"/>
    <mergeCell ref="D66:F66"/>
    <mergeCell ref="H66:I66"/>
    <mergeCell ref="K66:M66"/>
    <mergeCell ref="F49:F50"/>
    <mergeCell ref="H49:I49"/>
    <mergeCell ref="C52:D52"/>
    <mergeCell ref="E52:K54"/>
    <mergeCell ref="D62:F62"/>
    <mergeCell ref="H62:I63"/>
    <mergeCell ref="K27:M28"/>
    <mergeCell ref="D29:F30"/>
    <mergeCell ref="K29:M30"/>
    <mergeCell ref="F44:H44"/>
    <mergeCell ref="C43:E44"/>
    <mergeCell ref="F43:H43"/>
    <mergeCell ref="U20:U21"/>
    <mergeCell ref="W20:W21"/>
    <mergeCell ref="C3:P3"/>
    <mergeCell ref="C11:E12"/>
    <mergeCell ref="F11:H12"/>
    <mergeCell ref="I11:I12"/>
    <mergeCell ref="J11:K12"/>
    <mergeCell ref="L11:L12"/>
    <mergeCell ref="M11:N12"/>
    <mergeCell ref="C1:U1"/>
    <mergeCell ref="C5:U5"/>
    <mergeCell ref="C9:J9"/>
    <mergeCell ref="O12:X13"/>
    <mergeCell ref="P19:T19"/>
    <mergeCell ref="C15:E15"/>
    <mergeCell ref="F15:H15"/>
    <mergeCell ref="M15:N15"/>
    <mergeCell ref="J15:K15"/>
    <mergeCell ref="C18:E18"/>
    <mergeCell ref="C41:L41"/>
    <mergeCell ref="P22:T22"/>
    <mergeCell ref="P14:T14"/>
    <mergeCell ref="P15:T15"/>
    <mergeCell ref="P16:T16"/>
    <mergeCell ref="P17:T17"/>
    <mergeCell ref="P18:T18"/>
    <mergeCell ref="C25:L25"/>
    <mergeCell ref="P20:T21"/>
    <mergeCell ref="C20:E20"/>
    <mergeCell ref="C27:C30"/>
    <mergeCell ref="H29:I30"/>
    <mergeCell ref="D27:F28"/>
    <mergeCell ref="G27:G28"/>
    <mergeCell ref="H27:I28"/>
    <mergeCell ref="P23:T23"/>
    <mergeCell ref="P24:T24"/>
    <mergeCell ref="P25:T25"/>
    <mergeCell ref="P37:T39"/>
    <mergeCell ref="P34:T34"/>
    <mergeCell ref="P35:T35"/>
    <mergeCell ref="P36:T36"/>
    <mergeCell ref="P26:W26"/>
    <mergeCell ref="P27:W27"/>
    <mergeCell ref="P30:T30"/>
    <mergeCell ref="P31:T31"/>
    <mergeCell ref="P32:T32"/>
    <mergeCell ref="W37:W39"/>
    <mergeCell ref="U37:U39"/>
    <mergeCell ref="U40:U42"/>
    <mergeCell ref="W40:W42"/>
    <mergeCell ref="P43:T44"/>
    <mergeCell ref="U43:U44"/>
    <mergeCell ref="W43:W44"/>
    <mergeCell ref="P40:T42"/>
    <mergeCell ref="P70:V72"/>
    <mergeCell ref="P45:T45"/>
    <mergeCell ref="P46:T47"/>
    <mergeCell ref="U46:U47"/>
    <mergeCell ref="P48:T49"/>
    <mergeCell ref="U48:U49"/>
    <mergeCell ref="O53:W54"/>
    <mergeCell ref="P55:U55"/>
    <mergeCell ref="P56:U56"/>
    <mergeCell ref="P57:U57"/>
    <mergeCell ref="P58:U58"/>
    <mergeCell ref="P63:U63"/>
    <mergeCell ref="P65:U65"/>
    <mergeCell ref="P66:U66"/>
    <mergeCell ref="P67:U67"/>
    <mergeCell ref="P68:U68"/>
    <mergeCell ref="P69:U69"/>
    <mergeCell ref="W46:W47"/>
    <mergeCell ref="W48:W49"/>
    <mergeCell ref="C56:L56"/>
    <mergeCell ref="P64:U64"/>
    <mergeCell ref="P59:U59"/>
    <mergeCell ref="P60:U60"/>
    <mergeCell ref="P61:U61"/>
    <mergeCell ref="P62:U62"/>
    <mergeCell ref="C46:E47"/>
    <mergeCell ref="C49:E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772F-BAD5-4771-ABE0-657B8D41B576}">
  <dimension ref="B3:S59"/>
  <sheetViews>
    <sheetView topLeftCell="A60" workbookViewId="0">
      <selection activeCell="D71" sqref="D71"/>
    </sheetView>
  </sheetViews>
  <sheetFormatPr baseColWidth="10" defaultRowHeight="15.6" x14ac:dyDescent="0.3"/>
  <cols>
    <col min="1" max="2" width="11.5546875" style="1"/>
    <col min="3" max="3" width="12.6640625" style="1" bestFit="1" customWidth="1"/>
    <col min="4" max="4" width="13.5546875" style="1" customWidth="1"/>
    <col min="5" max="5" width="13.109375" style="1" bestFit="1" customWidth="1"/>
    <col min="6" max="6" width="11.5546875" style="1"/>
    <col min="7" max="8" width="11.88671875" style="1" bestFit="1" customWidth="1"/>
    <col min="9" max="9" width="11.5546875" style="1"/>
    <col min="10" max="10" width="6.33203125" style="62" customWidth="1"/>
    <col min="11" max="11" width="15.109375" style="1" customWidth="1"/>
    <col min="12" max="13" width="14.88671875" style="1" bestFit="1" customWidth="1"/>
    <col min="14" max="14" width="23" style="1" bestFit="1" customWidth="1"/>
    <col min="15" max="15" width="9.6640625" style="1" customWidth="1"/>
    <col min="16" max="16" width="23" style="1" bestFit="1" customWidth="1"/>
    <col min="17" max="16384" width="11.5546875" style="1"/>
  </cols>
  <sheetData>
    <row r="3" spans="2:19" ht="16.2" thickBot="1" x14ac:dyDescent="0.35">
      <c r="B3" s="67" t="s">
        <v>57</v>
      </c>
      <c r="C3" s="67"/>
      <c r="D3" s="67"/>
      <c r="E3" s="67"/>
      <c r="F3" s="67"/>
      <c r="G3" s="67"/>
      <c r="H3" s="67"/>
      <c r="I3" s="67"/>
      <c r="J3" s="67"/>
      <c r="K3" s="67"/>
      <c r="L3" s="67"/>
      <c r="M3" s="67"/>
      <c r="N3" s="67"/>
      <c r="O3" s="67"/>
      <c r="P3" s="67"/>
      <c r="Q3" s="67"/>
    </row>
    <row r="4" spans="2:19" ht="16.8" thickTop="1" thickBot="1" x14ac:dyDescent="0.35"/>
    <row r="5" spans="2:19" ht="16.2" thickBot="1" x14ac:dyDescent="0.35">
      <c r="B5" s="68" t="s">
        <v>43</v>
      </c>
      <c r="C5" s="69"/>
      <c r="D5" s="69"/>
      <c r="E5" s="69"/>
      <c r="F5" s="69"/>
      <c r="G5" s="69"/>
      <c r="H5" s="69"/>
      <c r="I5" s="69"/>
      <c r="J5" s="69"/>
      <c r="K5" s="69"/>
      <c r="L5" s="69"/>
      <c r="M5" s="69"/>
      <c r="N5" s="69"/>
      <c r="O5" s="69"/>
      <c r="P5" s="69"/>
      <c r="Q5" s="69"/>
      <c r="R5" s="70"/>
    </row>
    <row r="6" spans="2:19" x14ac:dyDescent="0.3">
      <c r="L6"/>
      <c r="M6"/>
      <c r="N6"/>
      <c r="O6"/>
      <c r="P6"/>
      <c r="Q6"/>
    </row>
    <row r="7" spans="2:19" x14ac:dyDescent="0.3">
      <c r="B7" s="78" t="s">
        <v>78</v>
      </c>
      <c r="C7" s="78"/>
      <c r="D7" s="78"/>
      <c r="E7" s="78"/>
      <c r="F7" s="78"/>
      <c r="G7" s="168"/>
      <c r="H7" s="168"/>
      <c r="I7" s="168"/>
      <c r="J7" s="168"/>
      <c r="K7" s="168"/>
      <c r="L7"/>
      <c r="M7"/>
      <c r="N7"/>
      <c r="O7"/>
      <c r="P7"/>
      <c r="Q7"/>
    </row>
    <row r="8" spans="2:19" x14ac:dyDescent="0.3">
      <c r="B8" s="2"/>
      <c r="C8" s="2"/>
      <c r="D8" s="2"/>
      <c r="E8" s="2"/>
      <c r="F8" s="2"/>
      <c r="G8" s="2"/>
      <c r="H8" s="2"/>
      <c r="I8" s="2"/>
      <c r="J8" s="63"/>
      <c r="K8" s="2"/>
      <c r="L8"/>
      <c r="M8"/>
      <c r="N8"/>
      <c r="O8"/>
      <c r="P8"/>
      <c r="Q8"/>
    </row>
    <row r="9" spans="2:19" x14ac:dyDescent="0.3">
      <c r="B9" s="1" t="s">
        <v>64</v>
      </c>
      <c r="L9"/>
      <c r="M9"/>
      <c r="N9"/>
      <c r="O9"/>
      <c r="P9"/>
      <c r="Q9"/>
    </row>
    <row r="10" spans="2:19" ht="16.2" thickBot="1" x14ac:dyDescent="0.35">
      <c r="L10"/>
      <c r="M10"/>
      <c r="N10"/>
      <c r="O10"/>
      <c r="P10"/>
      <c r="Q10"/>
    </row>
    <row r="11" spans="2:19" x14ac:dyDescent="0.3">
      <c r="B11" s="72" t="s">
        <v>58</v>
      </c>
      <c r="C11" s="73"/>
      <c r="D11" s="73"/>
      <c r="E11" s="74"/>
      <c r="L11"/>
      <c r="M11"/>
      <c r="N11"/>
      <c r="O11"/>
      <c r="P11"/>
      <c r="Q11"/>
    </row>
    <row r="12" spans="2:19" x14ac:dyDescent="0.3">
      <c r="B12" s="35" t="s">
        <v>59</v>
      </c>
      <c r="C12" s="36"/>
      <c r="D12" s="36"/>
      <c r="E12" s="37"/>
      <c r="R12"/>
      <c r="S12"/>
    </row>
    <row r="13" spans="2:19" x14ac:dyDescent="0.3">
      <c r="B13" s="75" t="s">
        <v>60</v>
      </c>
      <c r="C13" s="76"/>
      <c r="D13" s="76"/>
      <c r="E13" s="77"/>
      <c r="L13" s="167"/>
      <c r="R13"/>
      <c r="S13"/>
    </row>
    <row r="14" spans="2:19" ht="16.2" thickBot="1" x14ac:dyDescent="0.35">
      <c r="B14" s="64" t="s">
        <v>61</v>
      </c>
      <c r="C14" s="65"/>
      <c r="D14" s="65"/>
      <c r="E14" s="66"/>
      <c r="L14"/>
      <c r="M14"/>
      <c r="N14"/>
      <c r="O14"/>
      <c r="P14"/>
      <c r="Q14"/>
    </row>
    <row r="15" spans="2:19" x14ac:dyDescent="0.3">
      <c r="L15"/>
      <c r="M15"/>
      <c r="N15"/>
      <c r="O15"/>
      <c r="P15"/>
      <c r="Q15"/>
    </row>
    <row r="16" spans="2:19" x14ac:dyDescent="0.3">
      <c r="B16" s="34" t="s">
        <v>65</v>
      </c>
    </row>
    <row r="17" spans="2:18" x14ac:dyDescent="0.3">
      <c r="B17" s="34"/>
    </row>
    <row r="18" spans="2:18" x14ac:dyDescent="0.3">
      <c r="B18" s="34" t="s">
        <v>66</v>
      </c>
      <c r="K18" s="34" t="s">
        <v>67</v>
      </c>
    </row>
    <row r="19" spans="2:18" x14ac:dyDescent="0.3">
      <c r="B19" s="40" t="s">
        <v>68</v>
      </c>
      <c r="C19" s="4"/>
      <c r="D19" s="39">
        <v>50000</v>
      </c>
      <c r="E19" s="22"/>
      <c r="F19" s="38"/>
      <c r="K19" s="40" t="s">
        <v>69</v>
      </c>
      <c r="L19" s="4"/>
      <c r="M19" s="39">
        <v>1000000</v>
      </c>
      <c r="N19" s="22"/>
      <c r="O19" s="38"/>
    </row>
    <row r="20" spans="2:18" x14ac:dyDescent="0.3">
      <c r="B20" s="1" t="s">
        <v>70</v>
      </c>
      <c r="C20" s="4"/>
      <c r="D20" s="39">
        <v>83000</v>
      </c>
      <c r="E20" s="22"/>
      <c r="F20" s="22"/>
      <c r="K20" s="1" t="s">
        <v>71</v>
      </c>
      <c r="L20" s="4"/>
      <c r="M20" s="39">
        <v>1150000</v>
      </c>
      <c r="N20" s="22"/>
      <c r="O20" s="22"/>
    </row>
    <row r="21" spans="2:18" ht="16.2" thickBot="1" x14ac:dyDescent="0.35"/>
    <row r="22" spans="2:18" x14ac:dyDescent="0.3">
      <c r="B22" s="160" t="s">
        <v>116</v>
      </c>
      <c r="C22" s="161" t="s">
        <v>70</v>
      </c>
      <c r="D22" s="161"/>
      <c r="E22" s="162" t="s">
        <v>118</v>
      </c>
      <c r="F22" s="161" t="s">
        <v>117</v>
      </c>
      <c r="G22" s="161"/>
      <c r="H22" s="163" t="s">
        <v>103</v>
      </c>
      <c r="I22" s="164">
        <v>1</v>
      </c>
      <c r="K22" s="160" t="s">
        <v>116</v>
      </c>
      <c r="L22" s="161" t="s">
        <v>70</v>
      </c>
      <c r="M22" s="161"/>
      <c r="N22" s="162" t="s">
        <v>118</v>
      </c>
      <c r="O22" s="161" t="s">
        <v>117</v>
      </c>
      <c r="P22" s="161"/>
      <c r="Q22" s="163" t="s">
        <v>103</v>
      </c>
      <c r="R22" s="164">
        <v>1</v>
      </c>
    </row>
    <row r="23" spans="2:18" ht="16.2" thickBot="1" x14ac:dyDescent="0.35">
      <c r="B23" s="165"/>
      <c r="C23" s="169" t="s">
        <v>117</v>
      </c>
      <c r="D23" s="169"/>
      <c r="E23" s="169"/>
      <c r="F23" s="169"/>
      <c r="G23" s="169"/>
      <c r="H23" s="166"/>
      <c r="I23" s="170"/>
      <c r="K23" s="165"/>
      <c r="L23" s="169" t="s">
        <v>117</v>
      </c>
      <c r="M23" s="169"/>
      <c r="N23" s="169"/>
      <c r="O23" s="169"/>
      <c r="P23" s="169"/>
      <c r="Q23" s="166"/>
      <c r="R23" s="170"/>
    </row>
    <row r="24" spans="2:18" x14ac:dyDescent="0.3">
      <c r="B24" s="22"/>
      <c r="C24" s="78"/>
      <c r="D24" s="78"/>
      <c r="E24" s="78"/>
      <c r="F24" s="78"/>
      <c r="G24" s="78"/>
      <c r="H24" s="22"/>
      <c r="I24" s="61"/>
      <c r="K24" s="22"/>
      <c r="L24" s="78"/>
      <c r="M24" s="78"/>
      <c r="N24" s="78"/>
      <c r="O24" s="78"/>
      <c r="P24" s="78"/>
      <c r="Q24" s="22"/>
      <c r="R24" s="61"/>
    </row>
    <row r="25" spans="2:18" x14ac:dyDescent="0.3">
      <c r="B25" s="22"/>
      <c r="C25" s="22"/>
      <c r="E25" s="22"/>
      <c r="F25" s="22"/>
      <c r="G25" s="22"/>
      <c r="H25" s="22"/>
      <c r="I25" s="22"/>
      <c r="K25" s="22"/>
      <c r="L25" s="22"/>
      <c r="N25" s="22"/>
      <c r="O25" s="22"/>
      <c r="P25" s="22"/>
      <c r="Q25" s="22"/>
      <c r="R25" s="22"/>
    </row>
    <row r="26" spans="2:18" x14ac:dyDescent="0.3">
      <c r="B26" s="58" t="s">
        <v>119</v>
      </c>
      <c r="C26" s="174">
        <f>D20</f>
        <v>83000</v>
      </c>
      <c r="D26" s="137" t="s">
        <v>118</v>
      </c>
      <c r="E26" s="174">
        <f>D19</f>
        <v>50000</v>
      </c>
      <c r="F26" s="58" t="s">
        <v>103</v>
      </c>
      <c r="G26" s="175">
        <v>1</v>
      </c>
      <c r="H26" s="58"/>
      <c r="I26" s="58"/>
      <c r="K26" s="58" t="s">
        <v>119</v>
      </c>
      <c r="L26" s="174">
        <f>M20</f>
        <v>1150000</v>
      </c>
      <c r="M26" s="137" t="s">
        <v>118</v>
      </c>
      <c r="N26" s="174">
        <f>M19</f>
        <v>1000000</v>
      </c>
      <c r="O26" s="58" t="s">
        <v>103</v>
      </c>
      <c r="P26" s="175">
        <v>1</v>
      </c>
      <c r="Q26" s="58"/>
      <c r="R26" s="58"/>
    </row>
    <row r="27" spans="2:18" x14ac:dyDescent="0.3">
      <c r="B27" s="58"/>
      <c r="C27" s="172">
        <f>D19</f>
        <v>50000</v>
      </c>
      <c r="D27" s="172"/>
      <c r="E27" s="172"/>
      <c r="F27" s="173"/>
      <c r="G27" s="176"/>
      <c r="H27" s="58"/>
      <c r="I27" s="58"/>
      <c r="K27" s="58"/>
      <c r="L27" s="172">
        <f>M19</f>
        <v>1000000</v>
      </c>
      <c r="M27" s="172"/>
      <c r="N27" s="172"/>
      <c r="O27" s="173"/>
      <c r="P27" s="176"/>
      <c r="Q27" s="58"/>
      <c r="R27" s="58"/>
    </row>
    <row r="28" spans="2:18" x14ac:dyDescent="0.3">
      <c r="B28" s="58"/>
      <c r="C28" s="171"/>
      <c r="D28" s="171"/>
      <c r="E28" s="171"/>
      <c r="F28" s="58"/>
      <c r="G28" s="58"/>
      <c r="H28" s="58"/>
      <c r="I28" s="58"/>
      <c r="K28" s="58"/>
      <c r="L28" s="171"/>
      <c r="M28" s="171"/>
      <c r="N28" s="171"/>
      <c r="O28" s="58"/>
      <c r="P28" s="58"/>
      <c r="Q28" s="58"/>
      <c r="R28" s="58"/>
    </row>
    <row r="29" spans="2:18" x14ac:dyDescent="0.3">
      <c r="B29" s="58" t="str">
        <f>B26</f>
        <v>ROI =</v>
      </c>
      <c r="C29" s="174">
        <f>C26-E26</f>
        <v>33000</v>
      </c>
      <c r="D29" s="58" t="s">
        <v>103</v>
      </c>
      <c r="E29" s="175">
        <v>1</v>
      </c>
      <c r="F29" s="58"/>
      <c r="G29" s="58"/>
      <c r="H29" s="58"/>
      <c r="I29" s="58"/>
      <c r="K29" s="58" t="str">
        <f>K26</f>
        <v>ROI =</v>
      </c>
      <c r="L29" s="174">
        <f>L26-N26</f>
        <v>150000</v>
      </c>
      <c r="M29" s="58" t="s">
        <v>103</v>
      </c>
      <c r="N29" s="175">
        <v>1</v>
      </c>
      <c r="O29" s="58"/>
      <c r="P29" s="58"/>
      <c r="Q29" s="58"/>
      <c r="R29" s="58"/>
    </row>
    <row r="30" spans="2:18" x14ac:dyDescent="0.3">
      <c r="B30" s="58"/>
      <c r="C30" s="173">
        <f>C27</f>
        <v>50000</v>
      </c>
      <c r="D30" s="58"/>
      <c r="E30" s="177"/>
      <c r="F30" s="58"/>
      <c r="G30" s="58"/>
      <c r="H30" s="58"/>
      <c r="I30" s="58"/>
      <c r="K30" s="58"/>
      <c r="L30" s="173">
        <f>L27</f>
        <v>1000000</v>
      </c>
      <c r="M30" s="58"/>
      <c r="N30" s="177"/>
      <c r="O30" s="58"/>
      <c r="P30" s="58"/>
      <c r="Q30" s="58"/>
      <c r="R30" s="58"/>
    </row>
    <row r="31" spans="2:18" x14ac:dyDescent="0.3">
      <c r="B31" s="58"/>
      <c r="C31" s="173"/>
      <c r="D31" s="58"/>
      <c r="E31" s="58"/>
      <c r="F31" s="58"/>
      <c r="G31" s="58"/>
      <c r="H31" s="58"/>
      <c r="I31" s="58"/>
      <c r="K31" s="58"/>
      <c r="L31" s="173"/>
      <c r="M31" s="58"/>
      <c r="N31" s="58"/>
      <c r="O31" s="58"/>
      <c r="P31" s="58"/>
      <c r="Q31" s="58"/>
      <c r="R31" s="58"/>
    </row>
    <row r="32" spans="2:18" x14ac:dyDescent="0.3">
      <c r="B32" s="58" t="str">
        <f>B29</f>
        <v>ROI =</v>
      </c>
      <c r="C32" s="58">
        <f>C29/C30</f>
        <v>0.66</v>
      </c>
      <c r="D32" s="58" t="s">
        <v>103</v>
      </c>
      <c r="E32" s="175">
        <v>1</v>
      </c>
      <c r="F32" s="58"/>
      <c r="G32" s="58"/>
      <c r="H32" s="58"/>
      <c r="I32" s="58"/>
      <c r="K32" s="58" t="str">
        <f>K29</f>
        <v>ROI =</v>
      </c>
      <c r="L32" s="58">
        <f>L29/L30</f>
        <v>0.15</v>
      </c>
      <c r="M32" s="58" t="s">
        <v>103</v>
      </c>
      <c r="N32" s="175">
        <v>1</v>
      </c>
      <c r="O32" s="58"/>
      <c r="P32" s="58"/>
      <c r="Q32" s="58"/>
      <c r="R32" s="58"/>
    </row>
    <row r="33" spans="2:18" x14ac:dyDescent="0.3">
      <c r="B33" s="58"/>
      <c r="C33" s="173"/>
      <c r="D33" s="58"/>
      <c r="E33" s="177"/>
      <c r="F33" s="58"/>
      <c r="G33" s="178"/>
      <c r="H33" s="178"/>
      <c r="I33" s="178"/>
      <c r="K33" s="58"/>
      <c r="L33" s="173"/>
      <c r="M33" s="58"/>
      <c r="N33" s="177"/>
      <c r="O33" s="58"/>
      <c r="P33" s="178"/>
      <c r="Q33" s="178"/>
      <c r="R33" s="178"/>
    </row>
    <row r="34" spans="2:18" x14ac:dyDescent="0.3">
      <c r="B34" s="58"/>
      <c r="C34" s="58"/>
      <c r="D34" s="58"/>
      <c r="E34" s="58"/>
      <c r="F34" s="58"/>
      <c r="G34" s="173"/>
      <c r="H34" s="58"/>
      <c r="I34" s="175"/>
      <c r="K34" s="58"/>
      <c r="L34" s="58"/>
      <c r="M34" s="58"/>
      <c r="N34" s="58"/>
      <c r="O34" s="58"/>
      <c r="P34" s="173"/>
      <c r="Q34" s="58"/>
      <c r="R34" s="175"/>
    </row>
    <row r="35" spans="2:18" ht="17.399999999999999" x14ac:dyDescent="0.3">
      <c r="B35" s="58" t="str">
        <f>B32</f>
        <v>ROI =</v>
      </c>
      <c r="C35" s="179">
        <f>C32*E32</f>
        <v>0.66</v>
      </c>
      <c r="D35" s="182" t="s">
        <v>120</v>
      </c>
      <c r="E35" s="182"/>
      <c r="F35" s="58"/>
      <c r="G35" s="58"/>
      <c r="H35" s="58"/>
      <c r="I35" s="58"/>
      <c r="K35" s="58" t="str">
        <f>K32</f>
        <v>ROI =</v>
      </c>
      <c r="L35" s="180">
        <f>L32*N32</f>
        <v>0.15</v>
      </c>
      <c r="M35" s="184" t="s">
        <v>121</v>
      </c>
      <c r="N35" s="184"/>
      <c r="O35" s="58"/>
      <c r="P35" s="58"/>
      <c r="Q35" s="58"/>
      <c r="R35" s="58"/>
    </row>
    <row r="36" spans="2:18" x14ac:dyDescent="0.3">
      <c r="B36" s="58"/>
      <c r="C36" s="58"/>
      <c r="D36" s="58"/>
      <c r="E36" s="58"/>
      <c r="F36" s="58"/>
      <c r="G36" s="58"/>
      <c r="H36" s="173"/>
      <c r="I36" s="58"/>
      <c r="L36" s="52"/>
      <c r="M36" s="52"/>
      <c r="N36" s="52"/>
      <c r="O36" s="52"/>
      <c r="P36" s="52"/>
      <c r="Q36" s="39"/>
    </row>
    <row r="37" spans="2:18" x14ac:dyDescent="0.3">
      <c r="B37" s="58"/>
      <c r="C37" s="58"/>
      <c r="D37" s="58"/>
      <c r="E37" s="58"/>
      <c r="F37" s="58"/>
      <c r="G37" s="58"/>
      <c r="H37" s="58"/>
      <c r="I37" s="58"/>
    </row>
    <row r="38" spans="2:18" x14ac:dyDescent="0.3">
      <c r="B38" s="58"/>
      <c r="C38" s="58"/>
      <c r="D38" s="58"/>
      <c r="E38" s="58"/>
      <c r="F38" s="58"/>
      <c r="G38" s="58"/>
      <c r="H38" s="58"/>
      <c r="I38" s="58"/>
      <c r="K38" s="4"/>
      <c r="L38" s="4"/>
      <c r="M38" s="4"/>
      <c r="N38" s="4"/>
      <c r="O38" s="4"/>
      <c r="P38" s="4"/>
      <c r="Q38" s="4"/>
    </row>
    <row r="39" spans="2:18" x14ac:dyDescent="0.3">
      <c r="K39" s="4"/>
      <c r="L39" s="4"/>
      <c r="M39" s="4"/>
      <c r="N39" s="4"/>
      <c r="O39" s="4"/>
      <c r="P39" s="4"/>
      <c r="Q39" s="4"/>
    </row>
    <row r="40" spans="2:18" x14ac:dyDescent="0.3">
      <c r="B40" s="34" t="s">
        <v>73</v>
      </c>
      <c r="K40" s="34" t="s">
        <v>74</v>
      </c>
      <c r="Q40" s="4"/>
    </row>
    <row r="41" spans="2:18" x14ac:dyDescent="0.3">
      <c r="B41" s="40" t="s">
        <v>75</v>
      </c>
      <c r="C41" s="4"/>
      <c r="D41" s="39">
        <v>95000</v>
      </c>
      <c r="K41" s="40" t="s">
        <v>72</v>
      </c>
      <c r="L41" s="4"/>
      <c r="M41" s="39">
        <v>500000</v>
      </c>
      <c r="Q41" s="4"/>
    </row>
    <row r="42" spans="2:18" x14ac:dyDescent="0.3">
      <c r="B42" s="1" t="s">
        <v>76</v>
      </c>
      <c r="C42" s="4"/>
      <c r="D42" s="39">
        <v>88000</v>
      </c>
      <c r="K42" s="1" t="s">
        <v>77</v>
      </c>
      <c r="L42" s="4"/>
      <c r="M42" s="39">
        <v>480000</v>
      </c>
      <c r="Q42" s="4"/>
    </row>
    <row r="43" spans="2:18" ht="16.2" thickBot="1" x14ac:dyDescent="0.35">
      <c r="Q43" s="4"/>
    </row>
    <row r="44" spans="2:18" x14ac:dyDescent="0.3">
      <c r="B44" s="160" t="s">
        <v>116</v>
      </c>
      <c r="C44" s="161" t="s">
        <v>70</v>
      </c>
      <c r="D44" s="161"/>
      <c r="E44" s="162" t="s">
        <v>118</v>
      </c>
      <c r="F44" s="161" t="s">
        <v>117</v>
      </c>
      <c r="G44" s="161"/>
      <c r="H44" s="163" t="s">
        <v>103</v>
      </c>
      <c r="I44" s="164">
        <v>1</v>
      </c>
      <c r="K44" s="160" t="s">
        <v>116</v>
      </c>
      <c r="L44" s="161" t="s">
        <v>70</v>
      </c>
      <c r="M44" s="161"/>
      <c r="N44" s="162" t="s">
        <v>118</v>
      </c>
      <c r="O44" s="161" t="s">
        <v>117</v>
      </c>
      <c r="P44" s="161"/>
      <c r="Q44" s="163" t="s">
        <v>103</v>
      </c>
      <c r="R44" s="164">
        <v>1</v>
      </c>
    </row>
    <row r="45" spans="2:18" ht="16.2" thickBot="1" x14ac:dyDescent="0.35">
      <c r="B45" s="165"/>
      <c r="C45" s="169" t="s">
        <v>117</v>
      </c>
      <c r="D45" s="169"/>
      <c r="E45" s="169"/>
      <c r="F45" s="169"/>
      <c r="G45" s="169"/>
      <c r="H45" s="166"/>
      <c r="I45" s="170"/>
      <c r="K45" s="165"/>
      <c r="L45" s="169" t="s">
        <v>117</v>
      </c>
      <c r="M45" s="169"/>
      <c r="N45" s="169"/>
      <c r="O45" s="169"/>
      <c r="P45" s="169"/>
      <c r="Q45" s="166"/>
      <c r="R45" s="170"/>
    </row>
    <row r="46" spans="2:18" x14ac:dyDescent="0.3">
      <c r="B46" s="22"/>
      <c r="C46" s="78"/>
      <c r="D46" s="78"/>
      <c r="E46" s="78"/>
      <c r="F46" s="78"/>
      <c r="G46" s="78"/>
      <c r="H46" s="22"/>
      <c r="I46" s="61"/>
      <c r="K46" s="22"/>
      <c r="L46" s="78"/>
      <c r="M46" s="78"/>
      <c r="N46" s="78"/>
      <c r="O46" s="78"/>
      <c r="P46" s="78"/>
      <c r="Q46" s="22"/>
      <c r="R46" s="61"/>
    </row>
    <row r="47" spans="2:18" x14ac:dyDescent="0.3">
      <c r="B47" s="22"/>
      <c r="C47" s="22"/>
      <c r="E47" s="22"/>
      <c r="F47" s="22"/>
      <c r="G47" s="22"/>
      <c r="H47" s="22"/>
      <c r="I47" s="22"/>
      <c r="K47" s="22"/>
      <c r="L47" s="22"/>
      <c r="N47" s="22"/>
      <c r="O47" s="22"/>
      <c r="P47" s="22"/>
      <c r="Q47" s="22"/>
      <c r="R47" s="22"/>
    </row>
    <row r="48" spans="2:18" x14ac:dyDescent="0.3">
      <c r="B48" s="58" t="s">
        <v>119</v>
      </c>
      <c r="C48" s="174">
        <f>D42</f>
        <v>88000</v>
      </c>
      <c r="D48" s="137" t="s">
        <v>118</v>
      </c>
      <c r="E48" s="174">
        <f>D41</f>
        <v>95000</v>
      </c>
      <c r="F48" s="58" t="s">
        <v>103</v>
      </c>
      <c r="G48" s="175">
        <v>1</v>
      </c>
      <c r="H48" s="58"/>
      <c r="I48" s="58"/>
      <c r="K48" s="58" t="s">
        <v>119</v>
      </c>
      <c r="L48" s="174">
        <f>M42</f>
        <v>480000</v>
      </c>
      <c r="M48" s="137" t="s">
        <v>118</v>
      </c>
      <c r="N48" s="174">
        <f>M41</f>
        <v>500000</v>
      </c>
      <c r="O48" s="58" t="s">
        <v>103</v>
      </c>
      <c r="P48" s="175">
        <v>1</v>
      </c>
      <c r="Q48" s="58"/>
      <c r="R48" s="58"/>
    </row>
    <row r="49" spans="2:18" x14ac:dyDescent="0.3">
      <c r="B49" s="58"/>
      <c r="C49" s="172">
        <f>D41</f>
        <v>95000</v>
      </c>
      <c r="D49" s="172"/>
      <c r="E49" s="172"/>
      <c r="F49" s="173"/>
      <c r="G49" s="176"/>
      <c r="H49" s="58"/>
      <c r="I49" s="58"/>
      <c r="K49" s="58"/>
      <c r="L49" s="172">
        <f>M41</f>
        <v>500000</v>
      </c>
      <c r="M49" s="172"/>
      <c r="N49" s="172"/>
      <c r="O49" s="173"/>
      <c r="P49" s="176"/>
      <c r="Q49" s="58"/>
      <c r="R49" s="58"/>
    </row>
    <row r="50" spans="2:18" x14ac:dyDescent="0.3">
      <c r="B50" s="58"/>
      <c r="C50" s="171"/>
      <c r="D50" s="171"/>
      <c r="E50" s="171"/>
      <c r="F50" s="58"/>
      <c r="G50" s="58"/>
      <c r="H50" s="58"/>
      <c r="I50" s="58"/>
      <c r="K50" s="58"/>
      <c r="L50" s="171"/>
      <c r="M50" s="171"/>
      <c r="N50" s="171"/>
      <c r="O50" s="58"/>
      <c r="P50" s="58"/>
      <c r="Q50" s="58"/>
      <c r="R50" s="58"/>
    </row>
    <row r="51" spans="2:18" x14ac:dyDescent="0.3">
      <c r="B51" s="58" t="str">
        <f>B48</f>
        <v>ROI =</v>
      </c>
      <c r="C51" s="174">
        <f>C48-E48</f>
        <v>-7000</v>
      </c>
      <c r="D51" s="58" t="s">
        <v>103</v>
      </c>
      <c r="E51" s="175">
        <v>1</v>
      </c>
      <c r="F51" s="58"/>
      <c r="G51" s="58"/>
      <c r="H51" s="58"/>
      <c r="I51" s="58"/>
      <c r="K51" s="58" t="str">
        <f>K48</f>
        <v>ROI =</v>
      </c>
      <c r="L51" s="174">
        <f>L48-N48</f>
        <v>-20000</v>
      </c>
      <c r="M51" s="58" t="s">
        <v>103</v>
      </c>
      <c r="N51" s="175">
        <v>1</v>
      </c>
      <c r="O51" s="58"/>
      <c r="P51" s="58"/>
      <c r="Q51" s="58"/>
      <c r="R51" s="58"/>
    </row>
    <row r="52" spans="2:18" x14ac:dyDescent="0.3">
      <c r="B52" s="58"/>
      <c r="C52" s="173">
        <f>C49</f>
        <v>95000</v>
      </c>
      <c r="D52" s="58"/>
      <c r="E52" s="177"/>
      <c r="F52" s="58"/>
      <c r="G52" s="58"/>
      <c r="H52" s="58"/>
      <c r="I52" s="58"/>
      <c r="K52" s="58"/>
      <c r="L52" s="173">
        <f>L49</f>
        <v>500000</v>
      </c>
      <c r="M52" s="58"/>
      <c r="N52" s="177"/>
      <c r="O52" s="58"/>
      <c r="P52" s="58"/>
      <c r="Q52" s="58"/>
      <c r="R52" s="58"/>
    </row>
    <row r="53" spans="2:18" x14ac:dyDescent="0.3">
      <c r="B53" s="58"/>
      <c r="C53" s="173"/>
      <c r="D53" s="58"/>
      <c r="E53" s="58"/>
      <c r="F53" s="58"/>
      <c r="G53" s="58"/>
      <c r="H53" s="58"/>
      <c r="I53" s="58"/>
      <c r="K53" s="58"/>
      <c r="L53" s="173"/>
      <c r="M53" s="58"/>
      <c r="N53" s="58"/>
      <c r="O53" s="58"/>
      <c r="P53" s="58"/>
      <c r="Q53" s="58"/>
      <c r="R53" s="58"/>
    </row>
    <row r="54" spans="2:18" x14ac:dyDescent="0.3">
      <c r="B54" s="58" t="str">
        <f>B51</f>
        <v>ROI =</v>
      </c>
      <c r="C54" s="58">
        <f>C51/C52</f>
        <v>-7.3684210526315783E-2</v>
      </c>
      <c r="D54" s="58" t="s">
        <v>103</v>
      </c>
      <c r="E54" s="175">
        <v>1</v>
      </c>
      <c r="F54" s="58"/>
      <c r="G54" s="58"/>
      <c r="H54" s="58"/>
      <c r="I54" s="58"/>
      <c r="K54" s="58" t="str">
        <f>K51</f>
        <v>ROI =</v>
      </c>
      <c r="L54" s="58">
        <f>L51/L52</f>
        <v>-0.04</v>
      </c>
      <c r="M54" s="58" t="s">
        <v>103</v>
      </c>
      <c r="N54" s="175">
        <v>1</v>
      </c>
      <c r="O54" s="58"/>
      <c r="P54" s="58"/>
      <c r="Q54" s="58"/>
      <c r="R54" s="58"/>
    </row>
    <row r="55" spans="2:18" x14ac:dyDescent="0.3">
      <c r="B55" s="58"/>
      <c r="C55" s="173"/>
      <c r="D55" s="58"/>
      <c r="E55" s="177"/>
      <c r="F55" s="58"/>
      <c r="G55" s="178"/>
      <c r="H55" s="178"/>
      <c r="I55" s="178"/>
      <c r="K55" s="58"/>
      <c r="L55" s="173"/>
      <c r="M55" s="58"/>
      <c r="N55" s="177"/>
      <c r="O55" s="58"/>
      <c r="P55" s="178"/>
      <c r="Q55" s="178"/>
      <c r="R55" s="178"/>
    </row>
    <row r="56" spans="2:18" x14ac:dyDescent="0.3">
      <c r="B56" s="58"/>
      <c r="C56" s="58"/>
      <c r="D56" s="58"/>
      <c r="E56" s="58"/>
      <c r="F56" s="58"/>
      <c r="G56" s="173"/>
      <c r="H56" s="58"/>
      <c r="I56" s="175"/>
      <c r="K56" s="58"/>
      <c r="L56" s="58"/>
      <c r="M56" s="58"/>
      <c r="N56" s="58"/>
      <c r="O56" s="58"/>
      <c r="P56" s="173"/>
      <c r="Q56" s="58"/>
      <c r="R56" s="175"/>
    </row>
    <row r="57" spans="2:18" ht="17.399999999999999" x14ac:dyDescent="0.3">
      <c r="B57" s="58" t="str">
        <f>B54</f>
        <v>ROI =</v>
      </c>
      <c r="C57" s="181">
        <f>C54*E54</f>
        <v>-7.3684210526315783E-2</v>
      </c>
      <c r="D57" s="183" t="s">
        <v>122</v>
      </c>
      <c r="E57" s="183"/>
      <c r="F57" s="58"/>
      <c r="G57" s="58"/>
      <c r="H57" s="58"/>
      <c r="I57" s="58"/>
      <c r="K57" s="58" t="str">
        <f>K54</f>
        <v>ROI =</v>
      </c>
      <c r="L57" s="181">
        <f>L54*N54</f>
        <v>-0.04</v>
      </c>
      <c r="M57" s="183" t="s">
        <v>122</v>
      </c>
      <c r="N57" s="183"/>
      <c r="O57" s="58"/>
      <c r="P57" s="58"/>
      <c r="Q57" s="58"/>
      <c r="R57" s="58"/>
    </row>
    <row r="58" spans="2:18" x14ac:dyDescent="0.3">
      <c r="K58" s="4"/>
      <c r="L58" s="4"/>
      <c r="M58" s="4"/>
      <c r="N58" s="4"/>
      <c r="O58" s="4"/>
      <c r="P58" s="4"/>
      <c r="Q58" s="4"/>
    </row>
    <row r="59" spans="2:18" x14ac:dyDescent="0.3">
      <c r="K59" s="4"/>
      <c r="L59" s="4"/>
      <c r="M59" s="4"/>
      <c r="N59" s="4"/>
      <c r="O59" s="4"/>
      <c r="P59" s="4"/>
      <c r="Q59" s="4"/>
    </row>
  </sheetData>
  <mergeCells count="34">
    <mergeCell ref="D57:E57"/>
    <mergeCell ref="M57:N57"/>
    <mergeCell ref="G55:I55"/>
    <mergeCell ref="L44:M44"/>
    <mergeCell ref="O44:P44"/>
    <mergeCell ref="L45:P45"/>
    <mergeCell ref="L46:P46"/>
    <mergeCell ref="L49:N49"/>
    <mergeCell ref="P55:R55"/>
    <mergeCell ref="O22:P22"/>
    <mergeCell ref="L23:P23"/>
    <mergeCell ref="L27:N27"/>
    <mergeCell ref="C44:D44"/>
    <mergeCell ref="F44:G44"/>
    <mergeCell ref="D35:E35"/>
    <mergeCell ref="C22:D22"/>
    <mergeCell ref="F22:G22"/>
    <mergeCell ref="C23:G23"/>
    <mergeCell ref="C27:E27"/>
    <mergeCell ref="L22:M22"/>
    <mergeCell ref="G33:I33"/>
    <mergeCell ref="C45:G45"/>
    <mergeCell ref="C46:G46"/>
    <mergeCell ref="C49:E49"/>
    <mergeCell ref="P33:R33"/>
    <mergeCell ref="M35:N35"/>
    <mergeCell ref="C24:G24"/>
    <mergeCell ref="L24:P24"/>
    <mergeCell ref="B14:E14"/>
    <mergeCell ref="B3:Q3"/>
    <mergeCell ref="B5:R5"/>
    <mergeCell ref="B11:E11"/>
    <mergeCell ref="B13:E13"/>
    <mergeCell ref="B7:F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PREGUNTA 1</vt:lpstr>
      <vt:lpstr>PREGUNTA 2</vt:lpstr>
      <vt:lpstr>PREGUNTA 3</vt:lpstr>
      <vt:lpstr>PREGUNTA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ESPINOZA FERNANDA VALENTINA</dc:creator>
  <cp:lastModifiedBy>Alex Roblero</cp:lastModifiedBy>
  <dcterms:created xsi:type="dcterms:W3CDTF">2025-11-19T02:22:42Z</dcterms:created>
  <dcterms:modified xsi:type="dcterms:W3CDTF">2026-03-25T19:04:04Z</dcterms:modified>
</cp:coreProperties>
</file>