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ble\OneDrive\Documentos\Universidad Hispanoamerica - Archivos\Finanzas\"/>
    </mc:Choice>
  </mc:AlternateContent>
  <xr:revisionPtr revIDLastSave="0" documentId="13_ncr:1_{0CF39740-A1E3-4848-9159-434B601D9C01}" xr6:coauthVersionLast="47" xr6:coauthVersionMax="47" xr10:uidLastSave="{00000000-0000-0000-0000-000000000000}"/>
  <bookViews>
    <workbookView xWindow="-108" yWindow="-108" windowWidth="23976" windowHeight="14016" xr2:uid="{00000000-000D-0000-FFFF-FFFF00000000}"/>
  </bookViews>
  <sheets>
    <sheet name="RAZONES FINANCIERAS" sheetId="12" r:id="rId1"/>
    <sheet name="EJERCICIO 2" sheetId="15" r:id="rId2"/>
    <sheet name="EJERCICIO 3" sheetId="14" r:id="rId3"/>
  </sheets>
  <definedNames>
    <definedName name="_xlnm.Print_Area" localSheetId="1">'EJERCICIO 2'!$B$118:$N$143</definedName>
    <definedName name="_xlnm.Print_Area" localSheetId="0">'RAZONES FINANCIERAS'!$B$44:$S$91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12" l="1"/>
  <c r="P77" i="12"/>
  <c r="L77" i="12"/>
  <c r="L61" i="12"/>
  <c r="P90" i="12"/>
  <c r="L90" i="12"/>
  <c r="N89" i="12" s="1"/>
  <c r="P89" i="12"/>
  <c r="R89" i="12" s="1"/>
  <c r="L89" i="12"/>
  <c r="P86" i="12"/>
  <c r="P85" i="12"/>
  <c r="L86" i="12"/>
  <c r="L85" i="12"/>
  <c r="N85" i="12" s="1"/>
  <c r="P82" i="12"/>
  <c r="P81" i="12"/>
  <c r="R81" i="12" s="1"/>
  <c r="L82" i="12"/>
  <c r="L81" i="12"/>
  <c r="N81" i="12" s="1"/>
  <c r="P78" i="12"/>
  <c r="L78" i="12"/>
  <c r="N77" i="12"/>
  <c r="P73" i="12"/>
  <c r="P72" i="12"/>
  <c r="R72" i="12" s="1"/>
  <c r="L73" i="12"/>
  <c r="L72" i="12"/>
  <c r="N72" i="12" s="1"/>
  <c r="P66" i="12"/>
  <c r="P65" i="12"/>
  <c r="L66" i="12"/>
  <c r="L65" i="12"/>
  <c r="P62" i="12"/>
  <c r="R61" i="12"/>
  <c r="L62" i="12"/>
  <c r="P59" i="12"/>
  <c r="P58" i="12"/>
  <c r="R58" i="12" s="1"/>
  <c r="L59" i="12"/>
  <c r="N58" i="12" s="1"/>
  <c r="L58" i="12"/>
  <c r="P55" i="12"/>
  <c r="R54" i="12" s="1"/>
  <c r="P54" i="12"/>
  <c r="L55" i="12"/>
  <c r="L54" i="12"/>
  <c r="P50" i="12"/>
  <c r="R49" i="12" s="1"/>
  <c r="P49" i="12"/>
  <c r="L50" i="12"/>
  <c r="L49" i="12"/>
  <c r="N49" i="12" s="1"/>
  <c r="R85" i="12"/>
  <c r="R65" i="12"/>
  <c r="E14" i="12"/>
  <c r="D14" i="12"/>
  <c r="E10" i="12"/>
  <c r="D10" i="12"/>
  <c r="R77" i="12" l="1"/>
  <c r="N65" i="12"/>
  <c r="N61" i="12"/>
  <c r="N54" i="12"/>
  <c r="D15" i="12"/>
  <c r="D17" i="12" s="1"/>
  <c r="E15" i="12"/>
  <c r="E17" i="12" s="1"/>
  <c r="E18" i="12" s="1"/>
  <c r="E19" i="12" s="1"/>
  <c r="T66" i="15"/>
  <c r="N69" i="15"/>
  <c r="M21" i="15"/>
  <c r="M25" i="15" s="1"/>
  <c r="M28" i="15" s="1"/>
  <c r="M29" i="15" s="1"/>
  <c r="M30" i="15" s="1"/>
  <c r="N21" i="15"/>
  <c r="N25" i="15" s="1"/>
  <c r="N28" i="15" s="1"/>
  <c r="N29" i="15" s="1"/>
  <c r="N30" i="15" s="1"/>
  <c r="L21" i="15"/>
  <c r="L25" i="15" s="1"/>
  <c r="L28" i="15" s="1"/>
  <c r="G44" i="15"/>
  <c r="G38" i="15"/>
  <c r="G34" i="15"/>
  <c r="G27" i="15"/>
  <c r="G24" i="15"/>
  <c r="F44" i="15"/>
  <c r="F38" i="15"/>
  <c r="F34" i="15"/>
  <c r="F27" i="15"/>
  <c r="F24" i="15"/>
  <c r="E44" i="15"/>
  <c r="E38" i="15"/>
  <c r="E34" i="15"/>
  <c r="E27" i="15"/>
  <c r="E24" i="15"/>
  <c r="D18" i="12" l="1"/>
  <c r="D19" i="12" s="1"/>
  <c r="T69" i="15"/>
  <c r="T73" i="15"/>
  <c r="Q69" i="15"/>
  <c r="Q94" i="15"/>
  <c r="Q66" i="15"/>
  <c r="Q73" i="15"/>
  <c r="T90" i="15"/>
  <c r="N62" i="15"/>
  <c r="Q90" i="15"/>
  <c r="T94" i="15"/>
  <c r="N90" i="15"/>
  <c r="Q57" i="15"/>
  <c r="T102" i="15"/>
  <c r="N66" i="15"/>
  <c r="L29" i="15"/>
  <c r="L30" i="15" s="1"/>
  <c r="G28" i="15"/>
  <c r="E39" i="15"/>
  <c r="E46" i="15" s="1"/>
  <c r="F28" i="15"/>
  <c r="G39" i="15"/>
  <c r="G46" i="15" s="1"/>
  <c r="E28" i="15"/>
  <c r="F39" i="15"/>
  <c r="F46" i="15" s="1"/>
  <c r="T57" i="15" l="1"/>
  <c r="N57" i="15"/>
  <c r="T62" i="15"/>
  <c r="Q102" i="15"/>
  <c r="Q62" i="15"/>
  <c r="N94" i="15"/>
  <c r="N102" i="15"/>
  <c r="N80" i="15"/>
  <c r="Q80" i="15"/>
  <c r="T80" i="15"/>
  <c r="Q98" i="15"/>
  <c r="T98" i="15"/>
  <c r="Q85" i="15" l="1"/>
  <c r="T85" i="15"/>
  <c r="N85" i="15"/>
  <c r="N98" i="15"/>
  <c r="N73" i="15" l="1"/>
</calcChain>
</file>

<file path=xl/sharedStrings.xml><?xml version="1.0" encoding="utf-8"?>
<sst xmlns="http://schemas.openxmlformats.org/spreadsheetml/2006/main" count="363" uniqueCount="197">
  <si>
    <t>Año 2022</t>
  </si>
  <si>
    <t>Año 2023</t>
  </si>
  <si>
    <t>Ventas Netas</t>
  </si>
  <si>
    <t>Inventario</t>
  </si>
  <si>
    <t xml:space="preserve">Costo de Mercaderías Vendidas </t>
  </si>
  <si>
    <t>(En millones de colones)</t>
  </si>
  <si>
    <t xml:space="preserve">Estado de Resultados Santa Bárbara S.A </t>
  </si>
  <si>
    <t>Del 1 enero al 31 de diciembre</t>
  </si>
  <si>
    <t>Utilidad Bruta</t>
  </si>
  <si>
    <t>Gastos de operación</t>
  </si>
  <si>
    <t>Gastos Administrativos y generales</t>
  </si>
  <si>
    <t>Gastos por depreciaciación</t>
  </si>
  <si>
    <t>Total gastos de operación</t>
  </si>
  <si>
    <t>Utilidad de Operación</t>
  </si>
  <si>
    <t>Gastos por intereses</t>
  </si>
  <si>
    <t>Utilidad antes de impuestos</t>
  </si>
  <si>
    <t>Impuestos 21.80%</t>
  </si>
  <si>
    <t>Utilidad después de impuestos</t>
  </si>
  <si>
    <t xml:space="preserve">Balances Generales </t>
  </si>
  <si>
    <t>Santa Barbara S.A</t>
  </si>
  <si>
    <t>Al 31 de diciembre</t>
  </si>
  <si>
    <t>Activos</t>
  </si>
  <si>
    <t xml:space="preserve">Activos Circulantes </t>
  </si>
  <si>
    <t>Efectivo</t>
  </si>
  <si>
    <t>Valores negociables</t>
  </si>
  <si>
    <t>Cuentas por cobrar</t>
  </si>
  <si>
    <t>Inventarios</t>
  </si>
  <si>
    <t>Total Activos circulantes</t>
  </si>
  <si>
    <t>Activos Fijos</t>
  </si>
  <si>
    <t>Activo fijos brutos</t>
  </si>
  <si>
    <t>Depreciación acumulada</t>
  </si>
  <si>
    <t>Total activos fijos</t>
  </si>
  <si>
    <t>Activo Total</t>
  </si>
  <si>
    <t>Pasivo y capital contable</t>
  </si>
  <si>
    <t>Pasivo</t>
  </si>
  <si>
    <t>Pasivo Circulante</t>
  </si>
  <si>
    <t>Cuentas por pagar</t>
  </si>
  <si>
    <t>Documento por pagar</t>
  </si>
  <si>
    <t>Otros pasivos circulantes</t>
  </si>
  <si>
    <t>Total pasivo circulante</t>
  </si>
  <si>
    <t>Pasivo a largo plazo</t>
  </si>
  <si>
    <t>Hipotecas a largo plazo</t>
  </si>
  <si>
    <t>Total pasivos</t>
  </si>
  <si>
    <t>Capital Contable</t>
  </si>
  <si>
    <t>Acciones comunes (100.000 acciones)</t>
  </si>
  <si>
    <t>Capital pagado en exceso de valor nominal</t>
  </si>
  <si>
    <t>Utilidades retenidas</t>
  </si>
  <si>
    <t>Total capital contable</t>
  </si>
  <si>
    <t>Total pasivos y capital contable</t>
  </si>
  <si>
    <t>AÑO 2022</t>
  </si>
  <si>
    <t>AÑO2023</t>
  </si>
  <si>
    <t>AÑO 2023</t>
  </si>
  <si>
    <t xml:space="preserve">Razon circulante </t>
  </si>
  <si>
    <t>Activos circulantes</t>
  </si>
  <si>
    <t>Veces</t>
  </si>
  <si>
    <t xml:space="preserve">Razon prueba de ácido </t>
  </si>
  <si>
    <t>Activos circulantes-Inventarios</t>
  </si>
  <si>
    <t>Apalancamiento (endeudamiento)</t>
  </si>
  <si>
    <t>Razon endeudamiento</t>
  </si>
  <si>
    <t xml:space="preserve">Mide la proporción de una empresa en la cual utiliza deudas (pasivos) para financiar sus activos </t>
  </si>
  <si>
    <t>Pasivos totales</t>
  </si>
  <si>
    <t>%</t>
  </si>
  <si>
    <t>Patrimonio Total</t>
  </si>
  <si>
    <t>Actividad (activos)</t>
  </si>
  <si>
    <t>Razon periodo promedio de cobro</t>
  </si>
  <si>
    <t>Cuentas por cobrar*días del año</t>
  </si>
  <si>
    <t>días</t>
  </si>
  <si>
    <t>Mide el tiempo en que tarda una empresa para recuperar sus ventas a crédito</t>
  </si>
  <si>
    <t xml:space="preserve">Ventas anuales a crédito </t>
  </si>
  <si>
    <t>Razon rotación de inventarios</t>
  </si>
  <si>
    <t>Costo de la mercadería vendida</t>
  </si>
  <si>
    <t>Mide la liquidez de los inventarios de una empresa</t>
  </si>
  <si>
    <t>Muestra la capacidad de una empresa para cubrir sus pasivos corrientes (circulantes) con sus activos circulantes (corrientes)</t>
  </si>
  <si>
    <t>=</t>
  </si>
  <si>
    <t>RAZONES FINANCIERAS</t>
  </si>
  <si>
    <t>INDICE O RAZÓN</t>
  </si>
  <si>
    <t>20.2 días</t>
  </si>
  <si>
    <t>15 días</t>
  </si>
  <si>
    <t>Rotación activos total</t>
  </si>
  <si>
    <t>Ventas</t>
  </si>
  <si>
    <t>Mide la eficiencia con que una empresa puede emplear todos sus activos para generar ventas</t>
  </si>
  <si>
    <t>Activos totales</t>
  </si>
  <si>
    <t>Rentabilidad</t>
  </si>
  <si>
    <t>Promedio Industria 2022</t>
  </si>
  <si>
    <t>Promedio Industria 2023</t>
  </si>
  <si>
    <t>Margen de utilidad bruta</t>
  </si>
  <si>
    <t>Utilidad bruta</t>
  </si>
  <si>
    <t>Margen de utilidad neta</t>
  </si>
  <si>
    <t>Utilidad neta</t>
  </si>
  <si>
    <t xml:space="preserve">Rentabilidad sobre activos </t>
  </si>
  <si>
    <t>Activo total</t>
  </si>
  <si>
    <t xml:space="preserve">Rentabilidad sobre patrimonio </t>
  </si>
  <si>
    <t>Indica el porcentaje de utilidad bruta que estan generando las ventas de una empresa</t>
  </si>
  <si>
    <t>Indica el porcentaje de utilidad neta que estan generando las ventas de una empresa</t>
  </si>
  <si>
    <t>Mide la eficiencia total de la administración en obtener utilidades a partir de los activos disponibles de una empresa</t>
  </si>
  <si>
    <t>Mide el rendimiento de la inversión de los propietarioas (dueños) Accionistas de la empresa (comunes o preferentes)</t>
  </si>
  <si>
    <t>Usted es el analista de crédito del Banco El Quebrao S.A y le presentan las siguientes razones financieras de la compañía Tvfeo con el objeto de que dicha compañía dese solicitar un crédito para ampliar su planta de producción de equipo eléctrico por la suma de ¢100.0 millones, la producción podría incrementarse en un 25%, el precio de venta se mantendrá y los costos de producción pueden disminuir un 4%.</t>
  </si>
  <si>
    <t>Razón circulante</t>
  </si>
  <si>
    <t>Razón de endeudamiento</t>
  </si>
  <si>
    <t>Periodo promedio de cobro</t>
  </si>
  <si>
    <t>Razón de apalancamiento</t>
  </si>
  <si>
    <t>Rotación de inventarios</t>
  </si>
  <si>
    <t>Rotación de activo total</t>
  </si>
  <si>
    <t>Rentabilidad sobre activos</t>
  </si>
  <si>
    <t>Razón Financiera</t>
  </si>
  <si>
    <t>Promedio de la industria año 2022</t>
  </si>
  <si>
    <t>Promedio de la industria año 2023</t>
  </si>
  <si>
    <t>1.30 veces</t>
  </si>
  <si>
    <t>1.15 veces</t>
  </si>
  <si>
    <t>1.95 veces</t>
  </si>
  <si>
    <t>2.05 veces</t>
  </si>
  <si>
    <t xml:space="preserve">45 días </t>
  </si>
  <si>
    <t>40 días</t>
  </si>
  <si>
    <t>30 días</t>
  </si>
  <si>
    <t>2.25 veces</t>
  </si>
  <si>
    <t>2.35 veces</t>
  </si>
  <si>
    <t>2.50 veces</t>
  </si>
  <si>
    <t>2.75 veces</t>
  </si>
  <si>
    <t>0.70 veces</t>
  </si>
  <si>
    <t>0.65 veces</t>
  </si>
  <si>
    <t>0.85 veces</t>
  </si>
  <si>
    <t>0.95 veces</t>
  </si>
  <si>
    <t>Rotación de activos fijos</t>
  </si>
  <si>
    <t>Rentabilidad sobre patrimonio</t>
  </si>
  <si>
    <t>Prueba de ácido</t>
  </si>
  <si>
    <t>3.2 veces</t>
  </si>
  <si>
    <t>3.6 veces</t>
  </si>
  <si>
    <t>5 veces</t>
  </si>
  <si>
    <t>7 veces</t>
  </si>
  <si>
    <t>1.75 veces</t>
  </si>
  <si>
    <t>1.90 veces</t>
  </si>
  <si>
    <t>*</t>
  </si>
  <si>
    <t>Prepare un informe de las fortalezas y debilidades de la compañía Tcfeo, en función de las razones financieras y el promedio de la industria</t>
  </si>
  <si>
    <t>Fortalezas</t>
  </si>
  <si>
    <t>Debilidades</t>
  </si>
  <si>
    <t>Permite conocer la capacidad de una empresa para cubrir sus pasivos corrientes (circulantes) con sus activos circulantes mas líquidos.</t>
  </si>
  <si>
    <t>Emita su recomendación con relación a otorgar el crédito sí o no a la compañía Tvfeo.</t>
  </si>
  <si>
    <t>Que recomendación le brindaría a la compañía Tvfeo, para mejorar su situación financiera</t>
  </si>
  <si>
    <t>Rubros</t>
  </si>
  <si>
    <t>Empresa A</t>
  </si>
  <si>
    <t>Empresa B</t>
  </si>
  <si>
    <t>Empresa C</t>
  </si>
  <si>
    <t xml:space="preserve">Balance General </t>
  </si>
  <si>
    <t>(En millones de colones</t>
  </si>
  <si>
    <t xml:space="preserve">Activos Corrientes </t>
  </si>
  <si>
    <t>Disponibilidades</t>
  </si>
  <si>
    <t>Total Activos corrientes</t>
  </si>
  <si>
    <t>Bienes de Uso (neto de amortizaciones)</t>
  </si>
  <si>
    <t>PASIVO</t>
  </si>
  <si>
    <t>ACTIVO</t>
  </si>
  <si>
    <t>Pasivo Corriente</t>
  </si>
  <si>
    <t>Cuentas y Documentos por pagar</t>
  </si>
  <si>
    <t>Impuestos Fiscales</t>
  </si>
  <si>
    <t>Total Pasivo Corriente</t>
  </si>
  <si>
    <t>Pasivo no corriente</t>
  </si>
  <si>
    <t>Deuda por pagar L.P</t>
  </si>
  <si>
    <t>Préstamo bancario L.P</t>
  </si>
  <si>
    <t>Total Pasivo Largo Plazo</t>
  </si>
  <si>
    <t>Total del Pasivo</t>
  </si>
  <si>
    <t>PATRIMONIO NETO</t>
  </si>
  <si>
    <t>Capital social</t>
  </si>
  <si>
    <t>Utilidades Acumuladas</t>
  </si>
  <si>
    <t>Total Patrimonio Neto</t>
  </si>
  <si>
    <t>Total del Pasivo más Patrimonio Neto</t>
  </si>
  <si>
    <t>Usted labora en el departemento de análisis de crédito del Bnaco Yanomiro Mizuzuki S.A., como función principal es deber otorgar los criterios y análisis financieros de las diferentes compañías que solicitan crédito, a continuación, se presentan tres empresas para la solicitud de crédito con los estados financieros al 31 de diciembre 2023.</t>
  </si>
  <si>
    <t>a.</t>
  </si>
  <si>
    <t>En el caso de compañía A su solicitud de préstamo es por ¢425.0 millones para la expansión geográfica de sus actividades, el préstamo sería a 5 años plazo, y sus ventas se incrementan un 15%, la vida útil del nuevo edificio y los equipos en promedio sería a 10 años</t>
  </si>
  <si>
    <t>b.</t>
  </si>
  <si>
    <t>En el caso de compañía B su solicitud de préstamo es por ¢325.0 millones para la expansión de nuevos productos, el préstamo sería a 3 años plazo, y sus ventas se incrementan un 12%, la vida útil del nuevo equipo de producción sería a 6 años</t>
  </si>
  <si>
    <t>c.</t>
  </si>
  <si>
    <t>En el caso de compañía C su solicitud de préstamo es por ¢225.0 millones para capital de trabajo de corto plazo a utilizar en la operativa normal de la compañía, el préstamo sería a 1 años plazo, y sus ventas se incrementan un 8%, estos recursos se utilizarán para la compra de materia prima.</t>
  </si>
  <si>
    <t>Estado de Resultados</t>
  </si>
  <si>
    <t>Margen Bruto</t>
  </si>
  <si>
    <t>Gasto de Administración</t>
  </si>
  <si>
    <t>Gasto de Fabricación</t>
  </si>
  <si>
    <t>Gasto de comercialización</t>
  </si>
  <si>
    <t>Utilidades antes de intereses e impuestos</t>
  </si>
  <si>
    <t>Gastos Financieros</t>
  </si>
  <si>
    <t>Impuestos a las Ganancias (50%)</t>
  </si>
  <si>
    <t>Utilidad Neta</t>
  </si>
  <si>
    <t>Fortalezas financieras</t>
  </si>
  <si>
    <t>Debilidades Financieras</t>
  </si>
  <si>
    <t>Cálcule las tazones solicitadas anteriormente, prepare el informe de análisis financiero de cada una de las empresas</t>
  </si>
  <si>
    <t>Razon periodo promedio de pago</t>
  </si>
  <si>
    <t>Mide la duración promedio en que se tarda en pagar una compra a crédito</t>
  </si>
  <si>
    <t>Cuentas por pagar*días del año</t>
  </si>
  <si>
    <t xml:space="preserve">compras anuales a crédito </t>
  </si>
  <si>
    <t>Razon apalancamiento</t>
  </si>
  <si>
    <t xml:space="preserve">Mide la relación de pasivos a patrimonio y evalúa cuanto financian terceros en relación a los dueños </t>
  </si>
  <si>
    <t>En caso de determinar debilidades de las diferentes empresas, elabore recomendaciones y de qué form,a se podrían aplicar dichas recomendaciones</t>
  </si>
  <si>
    <t>Recomendaciones</t>
  </si>
  <si>
    <t>Cómo se podrían aplicar</t>
  </si>
  <si>
    <t>Con base en los aspectos anteriores emita criterio como analista financiero con relación a la toma de decisiones de otorgar crédito a cada una de las empresas del caso en análisis</t>
  </si>
  <si>
    <t>Decisión</t>
  </si>
  <si>
    <t>Criterio</t>
  </si>
  <si>
    <t xml:space="preserve">Pasivos circulantes </t>
  </si>
  <si>
    <t>Actividad y Liquidez (activos)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</si>
</sst>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_-;\-* #,##0_-;_-* &quot;-&quot;??_-;_-@_-"/>
    <numFmt numFmtId="165" formatCode="0.0%"/>
  </numFmts>
  <fonts count="29" x14ac:knownFonts="1">
    <font>
      <sz val="11"/>
      <color theme="1"/>
      <name val="Calibri"/>
      <family val="2"/>
      <scheme val="minor"/>
    </font>
    <font>
      <sz val="11"/>
      <color theme="1"/>
      <name val="Calibri"/>
      <family val="2"/>
      <scheme val="minor"/>
    </font>
    <font>
      <b/>
      <sz val="11"/>
      <color theme="1"/>
      <name val="Arial Nova"/>
      <family val="2"/>
    </font>
    <font>
      <sz val="11"/>
      <color theme="1"/>
      <name val="Arial Nova"/>
      <family val="2"/>
    </font>
    <font>
      <sz val="11"/>
      <color rgb="FFFF0000"/>
      <name val="Arial Nova"/>
      <family val="2"/>
    </font>
    <font>
      <sz val="11"/>
      <name val="Arial Nova"/>
      <family val="2"/>
    </font>
    <font>
      <sz val="11"/>
      <color rgb="FF000000"/>
      <name val="Arial Nova"/>
      <family val="2"/>
    </font>
    <font>
      <b/>
      <sz val="11"/>
      <color rgb="FF000000"/>
      <name val="Arial Nova"/>
      <family val="2"/>
    </font>
    <font>
      <b/>
      <sz val="11"/>
      <name val="Arial Nova"/>
      <family val="2"/>
    </font>
    <font>
      <b/>
      <sz val="12"/>
      <color theme="1"/>
      <name val="Arial Nova"/>
      <family val="2"/>
    </font>
    <font>
      <b/>
      <sz val="14"/>
      <color theme="1"/>
      <name val="Arial Nova"/>
      <family val="2"/>
    </font>
    <font>
      <sz val="11"/>
      <color rgb="FF0000CC"/>
      <name val="Arial Nova"/>
      <family val="2"/>
    </font>
    <font>
      <b/>
      <sz val="12"/>
      <color rgb="FF000000"/>
      <name val="Arial Nova"/>
      <family val="2"/>
    </font>
    <font>
      <b/>
      <i/>
      <sz val="11"/>
      <color theme="1"/>
      <name val="Arial Nova"/>
      <family val="2"/>
    </font>
    <font>
      <b/>
      <sz val="11"/>
      <color rgb="FF0000CC"/>
      <name val="Arial Nova"/>
      <family val="2"/>
    </font>
    <font>
      <b/>
      <sz val="24"/>
      <color theme="1"/>
      <name val="Arial Nova"/>
      <family val="2"/>
    </font>
    <font>
      <sz val="11"/>
      <color theme="1"/>
      <name val="Arial Nova"/>
      <family val="2"/>
    </font>
    <font>
      <sz val="11"/>
      <color rgb="FF9C0006"/>
      <name val="Calibri"/>
      <family val="2"/>
      <scheme val="minor"/>
    </font>
    <font>
      <b/>
      <sz val="11"/>
      <color theme="1"/>
      <name val="Arial Nova"/>
      <family val="2"/>
    </font>
    <font>
      <sz val="11"/>
      <color rgb="FF0000CC"/>
      <name val="Arial Nova"/>
      <family val="2"/>
    </font>
    <font>
      <sz val="11"/>
      <color rgb="FF9C0006"/>
      <name val="Arial Nova"/>
      <family val="2"/>
    </font>
    <font>
      <b/>
      <sz val="11"/>
      <color rgb="FF0000CC"/>
      <name val="Arial Nova"/>
      <family val="2"/>
    </font>
    <font>
      <b/>
      <sz val="12"/>
      <color theme="1"/>
      <name val="Arial Nova"/>
      <family val="2"/>
    </font>
    <font>
      <b/>
      <i/>
      <sz val="11"/>
      <color theme="1"/>
      <name val="Arial Nova"/>
      <family val="2"/>
    </font>
    <font>
      <sz val="11"/>
      <color rgb="FF000000"/>
      <name val="Arial Nova"/>
      <family val="2"/>
    </font>
    <font>
      <b/>
      <sz val="11"/>
      <color rgb="FF000000"/>
      <name val="Arial Nova"/>
      <family val="2"/>
    </font>
    <font>
      <b/>
      <i/>
      <sz val="11"/>
      <color rgb="FF000000"/>
      <name val="Arial Nova"/>
      <family val="2"/>
    </font>
    <font>
      <b/>
      <sz val="11"/>
      <name val="Arial Nova"/>
      <family val="2"/>
    </font>
    <font>
      <sz val="11"/>
      <color rgb="FFFF0000"/>
      <name val="Arial Nova"/>
      <family val="2"/>
    </font>
  </fonts>
  <fills count="9">
    <fill>
      <patternFill patternType="none"/>
    </fill>
    <fill>
      <patternFill patternType="gray125"/>
    </fill>
    <fill>
      <patternFill patternType="solid">
        <fgColor rgb="FFCCCCFF"/>
        <bgColor indexed="64"/>
      </patternFill>
    </fill>
    <fill>
      <patternFill patternType="solid">
        <fgColor rgb="FFCCFF99"/>
        <bgColor indexed="64"/>
      </patternFill>
    </fill>
    <fill>
      <patternFill patternType="solid">
        <fgColor rgb="FFCCFFFF"/>
        <bgColor indexed="64"/>
      </patternFill>
    </fill>
    <fill>
      <patternFill patternType="solid">
        <fgColor rgb="FFFFC7CE"/>
      </patternFill>
    </fill>
    <fill>
      <patternFill patternType="solid">
        <fgColor rgb="FFCCFFCC"/>
        <bgColor indexed="64"/>
      </patternFill>
    </fill>
    <fill>
      <patternFill patternType="solid">
        <fgColor rgb="FFFF99CC"/>
        <bgColor indexed="64"/>
      </patternFill>
    </fill>
    <fill>
      <patternFill patternType="solid">
        <fgColor theme="8" tint="0.39997558519241921"/>
        <bgColor indexed="64"/>
      </patternFill>
    </fill>
  </fills>
  <borders count="35">
    <border>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64"/>
      </right>
      <top/>
      <bottom/>
      <diagonal/>
    </border>
    <border>
      <left style="thin">
        <color auto="1"/>
      </left>
      <right style="thin">
        <color indexed="64"/>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style="double">
        <color indexed="64"/>
      </bottom>
      <diagonal/>
    </border>
    <border>
      <left style="thin">
        <color auto="1"/>
      </left>
      <right style="thin">
        <color auto="1"/>
      </right>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thin">
        <color auto="1"/>
      </left>
      <right/>
      <top style="double">
        <color indexed="64"/>
      </top>
      <bottom/>
      <diagonal/>
    </border>
    <border>
      <left/>
      <right/>
      <top style="double">
        <color indexed="64"/>
      </top>
      <bottom/>
      <diagonal/>
    </border>
    <border>
      <left/>
      <right style="thin">
        <color auto="1"/>
      </right>
      <top style="double">
        <color indexed="64"/>
      </top>
      <bottom/>
      <diagonal/>
    </border>
  </borders>
  <cellStyleXfs count="5">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17" fillId="5" borderId="0" applyNumberFormat="0" applyBorder="0" applyAlignment="0" applyProtection="0"/>
  </cellStyleXfs>
  <cellXfs count="282">
    <xf numFmtId="0" fontId="0" fillId="0" borderId="0" xfId="0"/>
    <xf numFmtId="0" fontId="2" fillId="0" borderId="0" xfId="0" applyFont="1"/>
    <xf numFmtId="0" fontId="3" fillId="0" borderId="0" xfId="0" applyFont="1"/>
    <xf numFmtId="0" fontId="3" fillId="0" borderId="0" xfId="0" applyFont="1" applyAlignment="1">
      <alignment horizontal="center"/>
    </xf>
    <xf numFmtId="41" fontId="2" fillId="0" borderId="6" xfId="2" applyFont="1" applyBorder="1"/>
    <xf numFmtId="41" fontId="3" fillId="0" borderId="6" xfId="2" applyFont="1" applyBorder="1"/>
    <xf numFmtId="0" fontId="3" fillId="0" borderId="6" xfId="0" applyFont="1" applyBorder="1" applyAlignment="1">
      <alignment horizontal="center"/>
    </xf>
    <xf numFmtId="0" fontId="3" fillId="0" borderId="6" xfId="0" applyFont="1" applyBorder="1"/>
    <xf numFmtId="0" fontId="3" fillId="0" borderId="4" xfId="0" applyFont="1" applyBorder="1"/>
    <xf numFmtId="164" fontId="3" fillId="0" borderId="6" xfId="1" applyNumberFormat="1" applyFont="1" applyFill="1" applyBorder="1"/>
    <xf numFmtId="164" fontId="3" fillId="0" borderId="3" xfId="1" applyNumberFormat="1" applyFont="1" applyFill="1" applyBorder="1"/>
    <xf numFmtId="43" fontId="3" fillId="0" borderId="3" xfId="1" applyFont="1" applyFill="1" applyBorder="1"/>
    <xf numFmtId="164" fontId="3" fillId="0" borderId="6" xfId="1" applyNumberFormat="1" applyFont="1" applyBorder="1"/>
    <xf numFmtId="164" fontId="3" fillId="0" borderId="7" xfId="1" applyNumberFormat="1" applyFont="1" applyBorder="1"/>
    <xf numFmtId="0" fontId="6" fillId="0" borderId="0" xfId="0" applyFont="1"/>
    <xf numFmtId="41" fontId="2" fillId="0" borderId="9" xfId="2" applyFont="1" applyBorder="1"/>
    <xf numFmtId="41" fontId="2" fillId="0" borderId="3" xfId="2" applyFont="1" applyBorder="1"/>
    <xf numFmtId="0" fontId="2" fillId="2" borderId="0" xfId="0" applyFont="1" applyFill="1"/>
    <xf numFmtId="0" fontId="7" fillId="0" borderId="0" xfId="0" applyFont="1"/>
    <xf numFmtId="9" fontId="3" fillId="0" borderId="0" xfId="3" applyFont="1"/>
    <xf numFmtId="0" fontId="2" fillId="0" borderId="0" xfId="0" applyFont="1" applyAlignment="1">
      <alignment horizontal="center"/>
    </xf>
    <xf numFmtId="164" fontId="3" fillId="0" borderId="6" xfId="0" applyNumberFormat="1" applyFont="1" applyBorder="1"/>
    <xf numFmtId="164" fontId="3" fillId="0" borderId="0" xfId="0" applyNumberFormat="1" applyFont="1"/>
    <xf numFmtId="164" fontId="5" fillId="0" borderId="6" xfId="1" applyNumberFormat="1" applyFont="1" applyFill="1" applyBorder="1"/>
    <xf numFmtId="164" fontId="3" fillId="0" borderId="7" xfId="1" applyNumberFormat="1" applyFont="1" applyFill="1" applyBorder="1"/>
    <xf numFmtId="164" fontId="3" fillId="0" borderId="5" xfId="0" applyNumberFormat="1" applyFont="1" applyBorder="1"/>
    <xf numFmtId="164" fontId="4" fillId="0" borderId="7" xfId="0" applyNumberFormat="1" applyFont="1" applyBorder="1"/>
    <xf numFmtId="0" fontId="9" fillId="2" borderId="0" xfId="0" applyFont="1" applyFill="1"/>
    <xf numFmtId="0" fontId="3" fillId="2" borderId="0" xfId="0" applyFont="1" applyFill="1"/>
    <xf numFmtId="164" fontId="2" fillId="2" borderId="6" xfId="0" applyNumberFormat="1" applyFont="1" applyFill="1" applyBorder="1"/>
    <xf numFmtId="164" fontId="2" fillId="0" borderId="9" xfId="1" applyNumberFormat="1" applyFont="1" applyFill="1" applyBorder="1"/>
    <xf numFmtId="164" fontId="2" fillId="0" borderId="9" xfId="0" applyNumberFormat="1" applyFont="1" applyBorder="1"/>
    <xf numFmtId="0" fontId="3" fillId="0" borderId="3" xfId="0" applyFont="1" applyBorder="1"/>
    <xf numFmtId="0" fontId="3" fillId="0" borderId="1" xfId="0" applyFont="1" applyBorder="1"/>
    <xf numFmtId="0" fontId="3" fillId="0" borderId="2" xfId="0" applyFont="1" applyBorder="1"/>
    <xf numFmtId="43" fontId="2" fillId="0" borderId="9" xfId="1" applyFont="1" applyFill="1" applyBorder="1"/>
    <xf numFmtId="164" fontId="2" fillId="3" borderId="7" xfId="1" applyNumberFormat="1" applyFont="1" applyFill="1" applyBorder="1"/>
    <xf numFmtId="43" fontId="3" fillId="0" borderId="3" xfId="1" applyFont="1" applyBorder="1"/>
    <xf numFmtId="43" fontId="3" fillId="0" borderId="2" xfId="1" applyFont="1" applyBorder="1"/>
    <xf numFmtId="164" fontId="2" fillId="4" borderId="9" xfId="1" applyNumberFormat="1" applyFont="1" applyFill="1" applyBorder="1"/>
    <xf numFmtId="10" fontId="3" fillId="0" borderId="0" xfId="3" applyNumberFormat="1" applyFont="1"/>
    <xf numFmtId="10" fontId="2" fillId="0" borderId="0" xfId="3" applyNumberFormat="1" applyFont="1"/>
    <xf numFmtId="0" fontId="2" fillId="2" borderId="6" xfId="0" applyFont="1" applyFill="1" applyBorder="1"/>
    <xf numFmtId="0" fontId="6" fillId="0" borderId="6" xfId="0" applyFont="1" applyBorder="1"/>
    <xf numFmtId="0" fontId="2" fillId="0" borderId="6" xfId="0" applyFont="1" applyBorder="1"/>
    <xf numFmtId="0" fontId="7" fillId="0" borderId="6" xfId="0" applyFont="1" applyBorder="1"/>
    <xf numFmtId="0" fontId="2" fillId="0" borderId="6"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41" fontId="2" fillId="0" borderId="13" xfId="2" applyFont="1" applyBorder="1"/>
    <xf numFmtId="41" fontId="3" fillId="0" borderId="13" xfId="2" applyFont="1" applyBorder="1"/>
    <xf numFmtId="41" fontId="2" fillId="0" borderId="14" xfId="2" applyFont="1" applyBorder="1"/>
    <xf numFmtId="41" fontId="8" fillId="0" borderId="12" xfId="2" applyFont="1" applyBorder="1"/>
    <xf numFmtId="41" fontId="8" fillId="0" borderId="14" xfId="2" applyFont="1" applyBorder="1"/>
    <xf numFmtId="0" fontId="2" fillId="0" borderId="3" xfId="0" applyFont="1" applyBorder="1" applyAlignment="1">
      <alignment horizontal="center"/>
    </xf>
    <xf numFmtId="164" fontId="3" fillId="0" borderId="4" xfId="1" applyNumberFormat="1" applyFont="1" applyFill="1" applyBorder="1"/>
    <xf numFmtId="164" fontId="5" fillId="0" borderId="4" xfId="1" applyNumberFormat="1" applyFont="1" applyFill="1" applyBorder="1"/>
    <xf numFmtId="164" fontId="3" fillId="0" borderId="8" xfId="1" applyNumberFormat="1" applyFont="1" applyFill="1" applyBorder="1"/>
    <xf numFmtId="164" fontId="13" fillId="0" borderId="10" xfId="1" applyNumberFormat="1" applyFont="1" applyFill="1" applyBorder="1"/>
    <xf numFmtId="164" fontId="3" fillId="0" borderId="2" xfId="1" applyNumberFormat="1" applyFont="1" applyFill="1" applyBorder="1"/>
    <xf numFmtId="164" fontId="3" fillId="0" borderId="4" xfId="0" applyNumberFormat="1" applyFont="1" applyBorder="1"/>
    <xf numFmtId="164" fontId="4" fillId="0" borderId="8" xfId="0" applyNumberFormat="1" applyFont="1" applyBorder="1"/>
    <xf numFmtId="164" fontId="2" fillId="0" borderId="12" xfId="0" applyNumberFormat="1" applyFont="1" applyBorder="1"/>
    <xf numFmtId="164" fontId="2" fillId="2" borderId="13" xfId="0" applyNumberFormat="1" applyFont="1" applyFill="1" applyBorder="1"/>
    <xf numFmtId="0" fontId="3" fillId="0" borderId="13" xfId="0" applyFont="1" applyBorder="1"/>
    <xf numFmtId="43" fontId="8" fillId="0" borderId="10" xfId="1" applyFont="1" applyFill="1" applyBorder="1"/>
    <xf numFmtId="43" fontId="5" fillId="0" borderId="2" xfId="1" applyFont="1" applyFill="1" applyBorder="1"/>
    <xf numFmtId="164" fontId="3" fillId="0" borderId="8" xfId="1" applyNumberFormat="1" applyFont="1" applyBorder="1"/>
    <xf numFmtId="164" fontId="2" fillId="3" borderId="8" xfId="1" applyNumberFormat="1" applyFont="1" applyFill="1" applyBorder="1"/>
    <xf numFmtId="164" fontId="3" fillId="0" borderId="4" xfId="1" applyNumberFormat="1" applyFont="1" applyBorder="1"/>
    <xf numFmtId="164" fontId="2" fillId="4" borderId="12" xfId="1" applyNumberFormat="1" applyFont="1" applyFill="1" applyBorder="1"/>
    <xf numFmtId="164" fontId="2" fillId="0" borderId="6" xfId="1" applyNumberFormat="1" applyFont="1" applyFill="1" applyBorder="1"/>
    <xf numFmtId="164" fontId="2" fillId="0" borderId="4" xfId="1" applyNumberFormat="1" applyFont="1" applyFill="1" applyBorder="1"/>
    <xf numFmtId="164" fontId="2" fillId="2" borderId="7" xfId="1" applyNumberFormat="1" applyFont="1" applyFill="1" applyBorder="1"/>
    <xf numFmtId="164" fontId="2" fillId="2" borderId="8" xfId="1" applyNumberFormat="1" applyFont="1" applyFill="1" applyBorder="1"/>
    <xf numFmtId="164" fontId="2" fillId="0" borderId="0" xfId="0" applyNumberFormat="1" applyFont="1"/>
    <xf numFmtId="9" fontId="2" fillId="0" borderId="0" xfId="3" applyFont="1"/>
    <xf numFmtId="0" fontId="3" fillId="0" borderId="5" xfId="0" applyFont="1" applyBorder="1"/>
    <xf numFmtId="0" fontId="3" fillId="0" borderId="8" xfId="0" applyFont="1" applyBorder="1"/>
    <xf numFmtId="41" fontId="3" fillId="0" borderId="5" xfId="0" applyNumberFormat="1" applyFont="1" applyBorder="1"/>
    <xf numFmtId="0" fontId="14" fillId="0" borderId="0" xfId="0" applyFont="1" applyAlignment="1">
      <alignment horizontal="center"/>
    </xf>
    <xf numFmtId="43" fontId="3" fillId="0" borderId="0" xfId="0" applyNumberFormat="1" applyFont="1" applyAlignment="1">
      <alignment horizontal="center"/>
    </xf>
    <xf numFmtId="2" fontId="14" fillId="0" borderId="0" xfId="0" applyNumberFormat="1" applyFont="1" applyAlignment="1">
      <alignment horizontal="center"/>
    </xf>
    <xf numFmtId="41" fontId="3" fillId="0" borderId="0" xfId="0" applyNumberFormat="1" applyFont="1"/>
    <xf numFmtId="0" fontId="14" fillId="0" borderId="1" xfId="0" applyFont="1" applyBorder="1" applyAlignment="1">
      <alignment horizontal="center"/>
    </xf>
    <xf numFmtId="0" fontId="14" fillId="0" borderId="2" xfId="0" applyFont="1" applyBorder="1" applyAlignment="1">
      <alignment horizontal="center"/>
    </xf>
    <xf numFmtId="0" fontId="14" fillId="0" borderId="4" xfId="0" applyFont="1" applyBorder="1" applyAlignment="1">
      <alignment horizontal="center"/>
    </xf>
    <xf numFmtId="2" fontId="14" fillId="0" borderId="4" xfId="0" applyNumberFormat="1" applyFont="1" applyBorder="1" applyAlignment="1">
      <alignment horizontal="center"/>
    </xf>
    <xf numFmtId="0" fontId="2" fillId="0" borderId="6" xfId="0" applyFont="1" applyBorder="1" applyAlignment="1">
      <alignment vertical="center"/>
    </xf>
    <xf numFmtId="9" fontId="14" fillId="0" borderId="4" xfId="3" applyFont="1" applyBorder="1" applyAlignment="1">
      <alignment horizontal="center"/>
    </xf>
    <xf numFmtId="0" fontId="10" fillId="0" borderId="3" xfId="0" applyFont="1" applyBorder="1"/>
    <xf numFmtId="9" fontId="14" fillId="0" borderId="4" xfId="0" applyNumberFormat="1" applyFont="1" applyBorder="1" applyAlignment="1">
      <alignment horizontal="center"/>
    </xf>
    <xf numFmtId="165" fontId="14" fillId="0" borderId="4" xfId="0" applyNumberFormat="1" applyFont="1" applyBorder="1" applyAlignment="1">
      <alignment horizontal="center"/>
    </xf>
    <xf numFmtId="0" fontId="16" fillId="0" borderId="0" xfId="0" applyFont="1"/>
    <xf numFmtId="0" fontId="16" fillId="0" borderId="0" xfId="0" applyFont="1" applyAlignment="1">
      <alignment horizontal="left" vertical="center" wrapText="1"/>
    </xf>
    <xf numFmtId="0" fontId="18" fillId="0" borderId="0" xfId="0" applyFont="1"/>
    <xf numFmtId="0" fontId="18" fillId="0" borderId="0" xfId="0" applyFont="1" applyAlignment="1">
      <alignment vertical="center" wrapText="1"/>
    </xf>
    <xf numFmtId="0" fontId="18" fillId="0" borderId="0" xfId="0" applyFont="1" applyAlignment="1">
      <alignment vertical="center"/>
    </xf>
    <xf numFmtId="43" fontId="20" fillId="5" borderId="0" xfId="4" applyNumberFormat="1" applyFont="1" applyAlignment="1">
      <alignment horizontal="center"/>
    </xf>
    <xf numFmtId="164" fontId="3" fillId="0" borderId="5" xfId="0" applyNumberFormat="1" applyFont="1" applyBorder="1" applyAlignment="1">
      <alignment horizontal="center"/>
    </xf>
    <xf numFmtId="9" fontId="20" fillId="5" borderId="0" xfId="4" applyNumberFormat="1" applyFont="1" applyBorder="1"/>
    <xf numFmtId="9" fontId="20" fillId="5" borderId="0" xfId="4" applyNumberFormat="1" applyFont="1" applyAlignment="1">
      <alignment horizontal="center"/>
    </xf>
    <xf numFmtId="165" fontId="20" fillId="5" borderId="0" xfId="4" applyNumberFormat="1" applyFont="1" applyAlignment="1">
      <alignment horizontal="center"/>
    </xf>
    <xf numFmtId="9" fontId="21" fillId="0" borderId="0" xfId="4" applyNumberFormat="1" applyFont="1" applyFill="1" applyBorder="1" applyAlignment="1">
      <alignment horizontal="center"/>
    </xf>
    <xf numFmtId="0" fontId="21" fillId="0" borderId="5" xfId="0" applyFont="1" applyBorder="1" applyAlignment="1">
      <alignment horizontal="center"/>
    </xf>
    <xf numFmtId="0" fontId="21" fillId="0" borderId="0" xfId="0" applyFont="1" applyAlignment="1">
      <alignment horizontal="center"/>
    </xf>
    <xf numFmtId="0" fontId="21" fillId="0" borderId="1" xfId="0" applyFont="1" applyBorder="1" applyAlignment="1">
      <alignment horizontal="center"/>
    </xf>
    <xf numFmtId="9" fontId="21" fillId="0" borderId="0" xfId="4" applyNumberFormat="1" applyFont="1" applyFill="1" applyAlignment="1">
      <alignment horizontal="center"/>
    </xf>
    <xf numFmtId="165" fontId="21" fillId="0" borderId="0" xfId="4" applyNumberFormat="1" applyFont="1" applyFill="1" applyAlignment="1">
      <alignment horizontal="center"/>
    </xf>
    <xf numFmtId="0" fontId="16" fillId="0" borderId="0" xfId="0" applyFont="1" applyAlignment="1">
      <alignment horizontal="center"/>
    </xf>
    <xf numFmtId="0" fontId="16" fillId="0" borderId="0" xfId="0" applyFont="1" applyAlignment="1">
      <alignment horizontal="center" vertical="center"/>
    </xf>
    <xf numFmtId="9" fontId="16" fillId="0" borderId="0" xfId="0" applyNumberFormat="1" applyFont="1" applyAlignment="1">
      <alignment horizontal="center"/>
    </xf>
    <xf numFmtId="10" fontId="16" fillId="0" borderId="0" xfId="0" applyNumberFormat="1" applyFont="1" applyAlignment="1">
      <alignment horizontal="center"/>
    </xf>
    <xf numFmtId="0" fontId="16" fillId="0" borderId="0" xfId="0" applyFont="1" applyAlignment="1">
      <alignment vertical="center" wrapText="1"/>
    </xf>
    <xf numFmtId="0" fontId="21" fillId="0" borderId="0" xfId="0" applyFont="1"/>
    <xf numFmtId="0" fontId="21" fillId="0" borderId="0" xfId="0" applyFont="1" applyAlignment="1">
      <alignment horizontal="center" vertical="center"/>
    </xf>
    <xf numFmtId="0" fontId="23" fillId="0" borderId="0" xfId="0" applyFont="1"/>
    <xf numFmtId="0" fontId="21" fillId="0" borderId="0" xfId="0" applyFont="1" applyAlignment="1">
      <alignment horizontal="left" vertical="center" wrapText="1"/>
    </xf>
    <xf numFmtId="0" fontId="27"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wrapText="1"/>
    </xf>
    <xf numFmtId="0" fontId="22" fillId="0" borderId="19" xfId="0" applyFont="1" applyBorder="1"/>
    <xf numFmtId="0" fontId="16" fillId="0" borderId="18" xfId="0" applyFont="1" applyBorder="1"/>
    <xf numFmtId="0" fontId="16" fillId="0" borderId="20" xfId="0" applyFont="1" applyBorder="1"/>
    <xf numFmtId="0" fontId="22" fillId="0" borderId="21" xfId="0" applyFont="1" applyBorder="1"/>
    <xf numFmtId="0" fontId="16" fillId="0" borderId="22" xfId="0" applyFont="1" applyBorder="1"/>
    <xf numFmtId="0" fontId="16" fillId="0" borderId="21" xfId="0" applyFont="1" applyBorder="1"/>
    <xf numFmtId="0" fontId="18" fillId="0" borderId="22" xfId="0" applyFont="1" applyBorder="1"/>
    <xf numFmtId="0" fontId="18" fillId="2" borderId="21" xfId="0" applyFont="1" applyFill="1" applyBorder="1"/>
    <xf numFmtId="0" fontId="16" fillId="2" borderId="0" xfId="0" applyFont="1" applyFill="1"/>
    <xf numFmtId="0" fontId="23" fillId="0" borderId="21" xfId="0" applyFont="1" applyBorder="1"/>
    <xf numFmtId="0" fontId="23" fillId="0" borderId="22" xfId="0" applyFont="1" applyBorder="1"/>
    <xf numFmtId="0" fontId="18" fillId="2" borderId="0" xfId="0" applyFont="1" applyFill="1"/>
    <xf numFmtId="0" fontId="26" fillId="0" borderId="21" xfId="0" applyFont="1" applyBorder="1"/>
    <xf numFmtId="0" fontId="25" fillId="0" borderId="21" xfId="0" applyFont="1" applyBorder="1"/>
    <xf numFmtId="0" fontId="24" fillId="0" borderId="21" xfId="0" applyFont="1" applyBorder="1"/>
    <xf numFmtId="0" fontId="18" fillId="6" borderId="21" xfId="0" applyFont="1" applyFill="1" applyBorder="1"/>
    <xf numFmtId="0" fontId="16" fillId="6" borderId="0" xfId="0" applyFont="1" applyFill="1"/>
    <xf numFmtId="0" fontId="18" fillId="6" borderId="0" xfId="0" applyFont="1" applyFill="1"/>
    <xf numFmtId="0" fontId="16" fillId="6" borderId="22" xfId="0" applyFont="1" applyFill="1" applyBorder="1"/>
    <xf numFmtId="0" fontId="18" fillId="6" borderId="22" xfId="0" applyFont="1" applyFill="1" applyBorder="1"/>
    <xf numFmtId="0" fontId="16" fillId="2" borderId="22" xfId="0" applyFont="1" applyFill="1" applyBorder="1"/>
    <xf numFmtId="0" fontId="25" fillId="2" borderId="21" xfId="0" applyFont="1" applyFill="1" applyBorder="1"/>
    <xf numFmtId="0" fontId="18" fillId="2" borderId="22" xfId="0" applyFont="1" applyFill="1" applyBorder="1"/>
    <xf numFmtId="0" fontId="25" fillId="7" borderId="21" xfId="0" applyFont="1" applyFill="1" applyBorder="1" applyAlignment="1">
      <alignment horizontal="justify" vertical="center"/>
    </xf>
    <xf numFmtId="0" fontId="16" fillId="7" borderId="0" xfId="0" applyFont="1" applyFill="1"/>
    <xf numFmtId="0" fontId="16" fillId="7" borderId="22" xfId="0" applyFont="1" applyFill="1" applyBorder="1"/>
    <xf numFmtId="0" fontId="25" fillId="7" borderId="21" xfId="0" applyFont="1" applyFill="1" applyBorder="1"/>
    <xf numFmtId="0" fontId="18" fillId="7" borderId="0" xfId="0" applyFont="1" applyFill="1"/>
    <xf numFmtId="0" fontId="18" fillId="7" borderId="22" xfId="0" applyFont="1" applyFill="1" applyBorder="1"/>
    <xf numFmtId="0" fontId="25" fillId="3" borderId="23" xfId="0" applyFont="1" applyFill="1" applyBorder="1"/>
    <xf numFmtId="0" fontId="18" fillId="3" borderId="24" xfId="0" applyFont="1" applyFill="1" applyBorder="1"/>
    <xf numFmtId="0" fontId="18" fillId="3" borderId="25" xfId="0" applyFont="1" applyFill="1" applyBorder="1"/>
    <xf numFmtId="0" fontId="3" fillId="0" borderId="21" xfId="0" applyFont="1" applyBorder="1"/>
    <xf numFmtId="0" fontId="16" fillId="0" borderId="22" xfId="0" applyFont="1" applyBorder="1" applyAlignment="1">
      <alignment horizontal="center"/>
    </xf>
    <xf numFmtId="0" fontId="28" fillId="0" borderId="0" xfId="0" applyFont="1" applyAlignment="1">
      <alignment horizontal="center"/>
    </xf>
    <xf numFmtId="0" fontId="28" fillId="0" borderId="22" xfId="0" applyFont="1" applyBorder="1" applyAlignment="1">
      <alignment horizontal="center"/>
    </xf>
    <xf numFmtId="0" fontId="18" fillId="0" borderId="0" xfId="0" applyFont="1" applyAlignment="1">
      <alignment horizontal="center"/>
    </xf>
    <xf numFmtId="0" fontId="18" fillId="0" borderId="22" xfId="0" applyFont="1" applyBorder="1" applyAlignment="1">
      <alignment horizontal="center"/>
    </xf>
    <xf numFmtId="0" fontId="18" fillId="4" borderId="24" xfId="0" applyFont="1" applyFill="1" applyBorder="1" applyAlignment="1">
      <alignment horizontal="center"/>
    </xf>
    <xf numFmtId="0" fontId="18" fillId="4" borderId="25" xfId="0" applyFont="1" applyFill="1" applyBorder="1" applyAlignment="1">
      <alignment horizontal="center"/>
    </xf>
    <xf numFmtId="0" fontId="3" fillId="0" borderId="30" xfId="0" applyFont="1" applyBorder="1"/>
    <xf numFmtId="164" fontId="3" fillId="0" borderId="26" xfId="0" applyNumberFormat="1" applyFont="1" applyBorder="1" applyAlignment="1">
      <alignment horizontal="center"/>
    </xf>
    <xf numFmtId="43" fontId="11" fillId="0" borderId="22" xfId="4" applyNumberFormat="1" applyFont="1" applyFill="1" applyBorder="1" applyAlignment="1">
      <alignment horizontal="center"/>
    </xf>
    <xf numFmtId="43" fontId="3" fillId="0" borderId="21" xfId="0" applyNumberFormat="1" applyFont="1" applyBorder="1" applyAlignment="1">
      <alignment horizontal="center"/>
    </xf>
    <xf numFmtId="0" fontId="11" fillId="0" borderId="22" xfId="0" applyFont="1" applyBorder="1" applyAlignment="1">
      <alignment horizontal="center"/>
    </xf>
    <xf numFmtId="0" fontId="3" fillId="0" borderId="21" xfId="0" applyFont="1" applyBorder="1" applyAlignment="1">
      <alignment horizontal="center"/>
    </xf>
    <xf numFmtId="41" fontId="3" fillId="0" borderId="26" xfId="0" applyNumberFormat="1" applyFont="1" applyBorder="1"/>
    <xf numFmtId="164" fontId="3" fillId="0" borderId="21" xfId="0" applyNumberFormat="1" applyFont="1" applyBorder="1"/>
    <xf numFmtId="0" fontId="3" fillId="0" borderId="26" xfId="0" applyFont="1" applyBorder="1"/>
    <xf numFmtId="41" fontId="3" fillId="0" borderId="21" xfId="0" applyNumberFormat="1" applyFont="1" applyBorder="1"/>
    <xf numFmtId="164" fontId="3" fillId="0" borderId="26" xfId="0" applyNumberFormat="1" applyFont="1" applyBorder="1"/>
    <xf numFmtId="9" fontId="11" fillId="0" borderId="22" xfId="4" applyNumberFormat="1" applyFont="1" applyFill="1" applyBorder="1" applyAlignment="1">
      <alignment horizontal="center"/>
    </xf>
    <xf numFmtId="165" fontId="11" fillId="0" borderId="22" xfId="4" applyNumberFormat="1" applyFont="1" applyFill="1" applyBorder="1" applyAlignment="1">
      <alignment horizontal="center"/>
    </xf>
    <xf numFmtId="0" fontId="3" fillId="0" borderId="23" xfId="0" applyFont="1" applyBorder="1"/>
    <xf numFmtId="0" fontId="3" fillId="0" borderId="24" xfId="0" applyFont="1" applyBorder="1"/>
    <xf numFmtId="0" fontId="3" fillId="0" borderId="31" xfId="0" applyFont="1" applyBorder="1" applyAlignment="1">
      <alignment horizontal="center"/>
    </xf>
    <xf numFmtId="0" fontId="3" fillId="0" borderId="22" xfId="0" applyFont="1" applyBorder="1" applyAlignment="1">
      <alignment horizontal="center"/>
    </xf>
    <xf numFmtId="0" fontId="11" fillId="0" borderId="27" xfId="0" applyFont="1" applyBorder="1" applyAlignment="1">
      <alignment horizontal="center"/>
    </xf>
    <xf numFmtId="0" fontId="11" fillId="0" borderId="31" xfId="0" applyFont="1" applyBorder="1" applyAlignment="1">
      <alignment horizontal="center"/>
    </xf>
    <xf numFmtId="0" fontId="3" fillId="0" borderId="25" xfId="0" applyFont="1" applyBorder="1" applyAlignment="1">
      <alignment horizontal="center"/>
    </xf>
    <xf numFmtId="9" fontId="11" fillId="0" borderId="22" xfId="3" applyFont="1" applyFill="1" applyBorder="1" applyAlignment="1">
      <alignment horizontal="center"/>
    </xf>
    <xf numFmtId="0" fontId="7" fillId="3" borderId="0" xfId="0" applyFont="1" applyFill="1" applyAlignment="1">
      <alignment horizontal="left"/>
    </xf>
    <xf numFmtId="164" fontId="2" fillId="3" borderId="6" xfId="1" applyNumberFormat="1" applyFont="1" applyFill="1" applyBorder="1"/>
    <xf numFmtId="164" fontId="2" fillId="3" borderId="4" xfId="1" applyNumberFormat="1" applyFont="1" applyFill="1" applyBorder="1"/>
    <xf numFmtId="0" fontId="7" fillId="0" borderId="7" xfId="0" applyFont="1" applyBorder="1"/>
    <xf numFmtId="0" fontId="7" fillId="0" borderId="5" xfId="0" applyFont="1" applyBorder="1"/>
    <xf numFmtId="41" fontId="2" fillId="0" borderId="0" xfId="0" applyNumberFormat="1" applyFont="1"/>
    <xf numFmtId="2" fontId="20" fillId="5" borderId="0" xfId="4" applyNumberFormat="1" applyFont="1" applyAlignment="1">
      <alignment horizontal="center"/>
    </xf>
    <xf numFmtId="165" fontId="11" fillId="8" borderId="0" xfId="4" applyNumberFormat="1" applyFont="1" applyFill="1" applyAlignment="1">
      <alignment horizontal="center"/>
    </xf>
    <xf numFmtId="0" fontId="2" fillId="0" borderId="18" xfId="0" applyFont="1" applyBorder="1" applyAlignment="1">
      <alignment horizontal="center" vertical="center"/>
    </xf>
    <xf numFmtId="0" fontId="2" fillId="0" borderId="0" xfId="0" applyFont="1" applyAlignment="1">
      <alignment horizontal="center" vertical="center"/>
    </xf>
    <xf numFmtId="0" fontId="3" fillId="0" borderId="5" xfId="0" applyFont="1" applyBorder="1" applyAlignment="1">
      <alignment horizontal="center" wrapText="1"/>
    </xf>
    <xf numFmtId="0" fontId="15" fillId="0" borderId="15" xfId="0" applyFont="1" applyBorder="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14" fillId="0" borderId="18" xfId="0" applyFont="1" applyBorder="1" applyAlignment="1">
      <alignment horizontal="center" vertical="center" wrapText="1"/>
    </xf>
    <xf numFmtId="0" fontId="14" fillId="0" borderId="5" xfId="0" applyFont="1" applyBorder="1" applyAlignment="1">
      <alignment horizontal="center" vertical="center" wrapText="1"/>
    </xf>
    <xf numFmtId="0" fontId="3" fillId="0" borderId="6" xfId="0" applyFont="1" applyBorder="1" applyAlignment="1">
      <alignment horizontal="left" vertical="center" wrapText="1"/>
    </xf>
    <xf numFmtId="0" fontId="3" fillId="0" borderId="0" xfId="0" applyFont="1" applyAlignment="1">
      <alignment horizontal="left" vertical="center" wrapText="1"/>
    </xf>
    <xf numFmtId="0" fontId="3" fillId="0" borderId="5" xfId="0" applyFont="1" applyBorder="1" applyAlignment="1">
      <alignment horizontal="center"/>
    </xf>
    <xf numFmtId="0" fontId="3" fillId="0" borderId="6" xfId="0" applyFont="1" applyBorder="1" applyAlignment="1">
      <alignment horizontal="left" wrapText="1"/>
    </xf>
    <xf numFmtId="0" fontId="3" fillId="0" borderId="0" xfId="0" applyFont="1" applyAlignment="1">
      <alignment horizontal="left" wrapText="1"/>
    </xf>
    <xf numFmtId="0" fontId="3" fillId="0" borderId="7" xfId="0" applyFont="1" applyBorder="1" applyAlignment="1">
      <alignment horizontal="left" wrapText="1"/>
    </xf>
    <xf numFmtId="0" fontId="3" fillId="0" borderId="5" xfId="0" applyFont="1" applyBorder="1" applyAlignment="1">
      <alignment horizontal="left" wrapText="1"/>
    </xf>
    <xf numFmtId="0" fontId="10" fillId="0" borderId="9" xfId="0" applyFont="1" applyBorder="1" applyAlignment="1">
      <alignment horizontal="left"/>
    </xf>
    <xf numFmtId="0" fontId="10" fillId="0" borderId="11" xfId="0" applyFont="1" applyBorder="1" applyAlignment="1">
      <alignment horizontal="left"/>
    </xf>
    <xf numFmtId="0" fontId="10" fillId="0" borderId="10" xfId="0" applyFont="1" applyBorder="1" applyAlignment="1">
      <alignment horizontal="left"/>
    </xf>
    <xf numFmtId="0" fontId="10" fillId="0" borderId="3" xfId="0" applyFont="1" applyBorder="1" applyAlignment="1">
      <alignment horizontal="left"/>
    </xf>
    <xf numFmtId="0" fontId="10" fillId="0" borderId="1" xfId="0" applyFont="1" applyBorder="1" applyAlignment="1">
      <alignment horizontal="left"/>
    </xf>
    <xf numFmtId="0" fontId="3" fillId="0" borderId="0" xfId="0" applyFont="1" applyAlignment="1">
      <alignment horizontal="center"/>
    </xf>
    <xf numFmtId="0" fontId="3" fillId="0" borderId="6" xfId="0" applyFont="1" applyBorder="1" applyAlignment="1">
      <alignment wrapText="1"/>
    </xf>
    <xf numFmtId="0" fontId="3" fillId="0" borderId="0" xfId="0" applyFont="1" applyAlignment="1">
      <alignment wrapText="1"/>
    </xf>
    <xf numFmtId="0" fontId="3" fillId="0" borderId="1" xfId="0" applyFont="1" applyBorder="1" applyAlignment="1">
      <alignment horizontal="center"/>
    </xf>
    <xf numFmtId="0" fontId="2" fillId="2" borderId="0" xfId="0" applyFont="1" applyFill="1" applyAlignment="1">
      <alignment horizontal="left"/>
    </xf>
    <xf numFmtId="0" fontId="3" fillId="0" borderId="11" xfId="0" applyFont="1" applyBorder="1" applyAlignment="1">
      <alignment horizontal="center"/>
    </xf>
    <xf numFmtId="0" fontId="9" fillId="3" borderId="0" xfId="0" applyFont="1" applyFill="1" applyAlignment="1">
      <alignment horizontal="left"/>
    </xf>
    <xf numFmtId="0" fontId="3" fillId="0" borderId="0" xfId="0" applyFont="1" applyAlignment="1">
      <alignment horizontal="left"/>
    </xf>
    <xf numFmtId="0" fontId="2" fillId="0" borderId="0" xfId="0" applyFont="1" applyAlignment="1">
      <alignment horizontal="left"/>
    </xf>
    <xf numFmtId="0" fontId="6" fillId="0" borderId="0" xfId="0" applyFont="1" applyAlignment="1">
      <alignment horizontal="left"/>
    </xf>
    <xf numFmtId="0" fontId="13" fillId="0" borderId="0" xfId="0" applyFont="1" applyAlignment="1">
      <alignment horizontal="left"/>
    </xf>
    <xf numFmtId="0" fontId="4" fillId="0" borderId="0" xfId="0" applyFont="1" applyAlignment="1">
      <alignment horizontal="left"/>
    </xf>
    <xf numFmtId="0" fontId="7" fillId="3" borderId="0" xfId="0" applyFont="1" applyFill="1" applyAlignment="1">
      <alignment horizontal="left"/>
    </xf>
    <xf numFmtId="0" fontId="7" fillId="0" borderId="0" xfId="0" applyFont="1" applyAlignment="1">
      <alignment horizontal="center" wrapText="1"/>
    </xf>
    <xf numFmtId="0" fontId="7" fillId="2" borderId="0" xfId="0" applyFont="1" applyFill="1" applyAlignment="1">
      <alignment horizontal="left"/>
    </xf>
    <xf numFmtId="0" fontId="12" fillId="4" borderId="0" xfId="0" applyFont="1" applyFill="1" applyAlignment="1">
      <alignment horizontal="left" vertical="center"/>
    </xf>
    <xf numFmtId="0" fontId="6" fillId="0" borderId="0" xfId="0" applyFont="1"/>
    <xf numFmtId="0" fontId="6" fillId="0" borderId="0" xfId="0" applyFont="1" applyAlignment="1">
      <alignment horizontal="left" wrapText="1"/>
    </xf>
    <xf numFmtId="0" fontId="7" fillId="4" borderId="0" xfId="0" applyFont="1" applyFill="1"/>
    <xf numFmtId="0" fontId="2" fillId="0" borderId="0" xfId="0" applyFont="1" applyAlignment="1">
      <alignment horizontal="center"/>
    </xf>
    <xf numFmtId="0" fontId="2" fillId="0" borderId="0" xfId="0" applyFont="1" applyAlignment="1">
      <alignment horizontal="left" vertical="center" wrapText="1"/>
    </xf>
    <xf numFmtId="0" fontId="9" fillId="0" borderId="28" xfId="0" applyFont="1" applyBorder="1" applyAlignment="1">
      <alignment horizontal="center"/>
    </xf>
    <xf numFmtId="0" fontId="2" fillId="0" borderId="12" xfId="0" applyFont="1" applyBorder="1" applyAlignment="1">
      <alignment horizontal="center" vertical="center" wrapText="1"/>
    </xf>
    <xf numFmtId="0" fontId="16" fillId="0" borderId="29" xfId="0" applyFont="1" applyBorder="1" applyAlignment="1">
      <alignment horizontal="left" vertical="center" wrapText="1"/>
    </xf>
    <xf numFmtId="0" fontId="16" fillId="0" borderId="12" xfId="0" applyFont="1" applyBorder="1" applyAlignment="1">
      <alignment horizontal="left" vertical="center" wrapText="1"/>
    </xf>
    <xf numFmtId="0" fontId="16" fillId="0" borderId="12" xfId="0" applyFont="1" applyBorder="1" applyAlignment="1">
      <alignment horizontal="left" wrapText="1"/>
    </xf>
    <xf numFmtId="0" fontId="16" fillId="0" borderId="32"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34"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0" xfId="0" applyFont="1" applyAlignment="1">
      <alignment horizontal="center" vertical="center" wrapText="1"/>
    </xf>
    <xf numFmtId="0" fontId="16" fillId="0" borderId="4"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29" xfId="0" applyFont="1" applyBorder="1" applyAlignment="1">
      <alignment horizontal="left"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1" fillId="0" borderId="0" xfId="0" applyFont="1" applyAlignment="1">
      <alignment horizontal="center" vertical="center"/>
    </xf>
    <xf numFmtId="0" fontId="2" fillId="4" borderId="21" xfId="0" applyFont="1" applyFill="1" applyBorder="1" applyAlignment="1">
      <alignment horizontal="left"/>
    </xf>
    <xf numFmtId="0" fontId="2" fillId="4" borderId="0" xfId="0" applyFont="1" applyFill="1" applyAlignment="1">
      <alignment horizontal="left"/>
    </xf>
    <xf numFmtId="0" fontId="6" fillId="0" borderId="21" xfId="0" applyFont="1" applyBorder="1" applyAlignment="1">
      <alignment horizontal="left"/>
    </xf>
    <xf numFmtId="0" fontId="27" fillId="0" borderId="0" xfId="0" applyFont="1" applyAlignment="1">
      <alignment horizontal="center" vertical="center"/>
    </xf>
    <xf numFmtId="0" fontId="27" fillId="0" borderId="0" xfId="0" applyFont="1" applyAlignment="1">
      <alignment horizontal="left" vertical="center" wrapText="1"/>
    </xf>
    <xf numFmtId="0" fontId="21" fillId="0" borderId="0" xfId="0" applyFont="1" applyAlignment="1">
      <alignment horizontal="left" vertical="center" wrapText="1"/>
    </xf>
    <xf numFmtId="0" fontId="18" fillId="4" borderId="23" xfId="0" applyFont="1" applyFill="1" applyBorder="1" applyAlignment="1">
      <alignment horizontal="left"/>
    </xf>
    <xf numFmtId="0" fontId="18" fillId="4" borderId="24" xfId="0" applyFont="1" applyFill="1" applyBorder="1" applyAlignment="1">
      <alignment horizontal="left"/>
    </xf>
    <xf numFmtId="0" fontId="25" fillId="0" borderId="21" xfId="0" applyFont="1" applyBorder="1" applyAlignment="1">
      <alignment horizontal="left" wrapText="1"/>
    </xf>
    <xf numFmtId="0" fontId="25" fillId="0" borderId="0" xfId="0" applyFont="1" applyAlignment="1">
      <alignment horizontal="left" wrapText="1"/>
    </xf>
    <xf numFmtId="0" fontId="18" fillId="0" borderId="0" xfId="0" applyFont="1" applyAlignment="1">
      <alignment horizontal="center" vertical="center" wrapText="1"/>
    </xf>
    <xf numFmtId="0" fontId="18" fillId="0" borderId="22" xfId="0" applyFont="1" applyBorder="1" applyAlignment="1">
      <alignment horizontal="center" vertical="center" wrapText="1"/>
    </xf>
    <xf numFmtId="0" fontId="18" fillId="0" borderId="21" xfId="0" applyFont="1" applyBorder="1" applyAlignment="1">
      <alignment horizontal="left"/>
    </xf>
    <xf numFmtId="0" fontId="18" fillId="0" borderId="0" xfId="0" applyFont="1" applyAlignment="1">
      <alignment horizontal="left"/>
    </xf>
    <xf numFmtId="0" fontId="7" fillId="0" borderId="21" xfId="0" applyFont="1" applyBorder="1" applyAlignment="1">
      <alignment horizontal="left"/>
    </xf>
    <xf numFmtId="0" fontId="7" fillId="0" borderId="0" xfId="0" applyFont="1" applyAlignment="1">
      <alignment horizontal="left"/>
    </xf>
    <xf numFmtId="0" fontId="18" fillId="0" borderId="0" xfId="0" applyFont="1" applyAlignment="1">
      <alignment horizontal="center" vertical="center"/>
    </xf>
    <xf numFmtId="0" fontId="21" fillId="0" borderId="0" xfId="0" applyFont="1" applyAlignment="1">
      <alignment horizontal="center" wrapText="1"/>
    </xf>
    <xf numFmtId="0" fontId="21" fillId="0" borderId="0" xfId="0" applyFont="1" applyAlignment="1">
      <alignment horizontal="center" vertical="center" wrapText="1"/>
    </xf>
    <xf numFmtId="0" fontId="18" fillId="0" borderId="0" xfId="0" applyFont="1" applyAlignment="1">
      <alignment horizontal="left" vertical="center" wrapText="1"/>
    </xf>
    <xf numFmtId="0" fontId="16" fillId="6" borderId="12" xfId="0" applyFont="1" applyFill="1" applyBorder="1" applyAlignment="1">
      <alignment horizontal="left" wrapText="1"/>
    </xf>
    <xf numFmtId="0" fontId="21" fillId="0" borderId="0" xfId="0" applyFont="1" applyAlignment="1">
      <alignment horizontal="left" wrapText="1"/>
    </xf>
    <xf numFmtId="0" fontId="16" fillId="6" borderId="12" xfId="0" applyFont="1" applyFill="1" applyBorder="1" applyAlignment="1">
      <alignment horizontal="center"/>
    </xf>
    <xf numFmtId="0" fontId="16" fillId="6" borderId="12" xfId="0" applyFont="1" applyFill="1" applyBorder="1" applyAlignment="1">
      <alignment horizontal="left" vertical="center" wrapText="1"/>
    </xf>
    <xf numFmtId="0" fontId="18" fillId="6" borderId="12" xfId="0" applyFont="1" applyFill="1" applyBorder="1" applyAlignment="1">
      <alignment horizontal="left" vertical="center"/>
    </xf>
    <xf numFmtId="0" fontId="21" fillId="6" borderId="12" xfId="0" applyFont="1" applyFill="1" applyBorder="1" applyAlignment="1">
      <alignment horizontal="center" vertical="center" wrapText="1"/>
    </xf>
    <xf numFmtId="0" fontId="16" fillId="6" borderId="12" xfId="0" applyFont="1" applyFill="1" applyBorder="1" applyAlignment="1">
      <alignment horizontal="left" vertical="top" wrapText="1"/>
    </xf>
    <xf numFmtId="0" fontId="16" fillId="6" borderId="12" xfId="0" applyFont="1" applyFill="1" applyBorder="1" applyAlignment="1">
      <alignment horizontal="center" vertical="center" wrapText="1"/>
    </xf>
    <xf numFmtId="0" fontId="16" fillId="0" borderId="0" xfId="0" applyFont="1" applyAlignment="1">
      <alignment horizontal="left" wrapText="1"/>
    </xf>
    <xf numFmtId="0" fontId="16" fillId="0" borderId="0" xfId="0" applyFont="1" applyAlignment="1">
      <alignment horizontal="left" vertical="top" wrapText="1"/>
    </xf>
    <xf numFmtId="9" fontId="11" fillId="8" borderId="0" xfId="4" applyNumberFormat="1" applyFont="1" applyFill="1" applyBorder="1"/>
  </cellXfs>
  <cellStyles count="5">
    <cellStyle name="Incorrecto" xfId="4" builtinId="27"/>
    <cellStyle name="Millares" xfId="1" builtinId="3"/>
    <cellStyle name="Millares [0]" xfId="2" builtinId="6"/>
    <cellStyle name="Normal" xfId="0" builtinId="0"/>
    <cellStyle name="Porcentaje" xfId="3" builtinId="5"/>
  </cellStyles>
  <dxfs count="0"/>
  <tableStyles count="0" defaultTableStyle="TableStyleMedium2" defaultPivotStyle="PivotStyleLight16"/>
  <colors>
    <mruColors>
      <color rgb="FF0000CC"/>
      <color rgb="FFCCFFCC"/>
      <color rgb="FFCCFFFF"/>
      <color rgb="FFFFCCFF"/>
      <color rgb="FFCCFF99"/>
      <color rgb="FFCCCC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FF99"/>
    <pageSetUpPr fitToPage="1"/>
  </sheetPr>
  <dimension ref="B2:S91"/>
  <sheetViews>
    <sheetView tabSelected="1" topLeftCell="A51" zoomScale="70" zoomScaleNormal="70" workbookViewId="0">
      <selection activeCell="R89" sqref="R89"/>
    </sheetView>
  </sheetViews>
  <sheetFormatPr baseColWidth="10" defaultColWidth="9.109375" defaultRowHeight="13.8" x14ac:dyDescent="0.25"/>
  <cols>
    <col min="1" max="1" width="9.109375" style="2"/>
    <col min="2" max="2" width="36.109375" style="2" bestFit="1" customWidth="1"/>
    <col min="3" max="3" width="9.88671875" style="2" bestFit="1" customWidth="1"/>
    <col min="4" max="4" width="10.33203125" style="2" bestFit="1" customWidth="1"/>
    <col min="5" max="5" width="9.88671875" style="2" bestFit="1" customWidth="1"/>
    <col min="6" max="6" width="10.109375" style="2" bestFit="1" customWidth="1"/>
    <col min="7" max="8" width="10.33203125" style="2" bestFit="1" customWidth="1"/>
    <col min="9" max="9" width="10.33203125" style="2" customWidth="1"/>
    <col min="10" max="10" width="10.44140625" style="2" customWidth="1"/>
    <col min="11" max="11" width="10.109375" style="2" bestFit="1" customWidth="1"/>
    <col min="12" max="12" width="15.5546875" style="2" customWidth="1"/>
    <col min="13" max="13" width="14.109375" style="2" customWidth="1"/>
    <col min="14" max="14" width="11.33203125" style="2" customWidth="1"/>
    <col min="15" max="15" width="15.109375" style="2" customWidth="1"/>
    <col min="16" max="16" width="12.44140625" style="2" customWidth="1"/>
    <col min="17" max="17" width="12" style="2" customWidth="1"/>
    <col min="18" max="18" width="11.33203125" style="2" customWidth="1"/>
    <col min="19" max="19" width="13" style="2" customWidth="1"/>
    <col min="20" max="20" width="11.33203125" style="2" customWidth="1"/>
    <col min="21" max="21" width="13.109375" style="2" customWidth="1"/>
    <col min="22" max="16384" width="9.109375" style="2"/>
  </cols>
  <sheetData>
    <row r="2" spans="2:16" x14ac:dyDescent="0.25">
      <c r="I2" s="229" t="s">
        <v>18</v>
      </c>
      <c r="J2" s="229"/>
      <c r="K2" s="229"/>
      <c r="L2" s="229"/>
      <c r="M2" s="229"/>
      <c r="N2" s="1"/>
      <c r="O2" s="1"/>
      <c r="P2" s="1"/>
    </row>
    <row r="3" spans="2:16" x14ac:dyDescent="0.25">
      <c r="B3" s="229" t="s">
        <v>6</v>
      </c>
      <c r="C3" s="229"/>
      <c r="D3" s="229"/>
      <c r="E3" s="229"/>
      <c r="F3" s="1"/>
      <c r="G3" s="1"/>
      <c r="I3" s="229" t="s">
        <v>19</v>
      </c>
      <c r="J3" s="229"/>
      <c r="K3" s="229"/>
      <c r="L3" s="229"/>
      <c r="M3" s="229"/>
      <c r="N3" s="1"/>
      <c r="O3" s="1"/>
      <c r="P3" s="1"/>
    </row>
    <row r="4" spans="2:16" x14ac:dyDescent="0.25">
      <c r="B4" s="229" t="s">
        <v>7</v>
      </c>
      <c r="C4" s="229"/>
      <c r="D4" s="229"/>
      <c r="E4" s="229"/>
      <c r="F4" s="1"/>
      <c r="G4" s="1"/>
      <c r="I4" s="229" t="s">
        <v>20</v>
      </c>
      <c r="J4" s="229"/>
      <c r="K4" s="229"/>
      <c r="L4" s="229"/>
      <c r="M4" s="229"/>
      <c r="N4" s="1"/>
      <c r="O4" s="1"/>
      <c r="P4" s="1"/>
    </row>
    <row r="5" spans="2:16" x14ac:dyDescent="0.25">
      <c r="B5" s="229" t="s">
        <v>5</v>
      </c>
      <c r="C5" s="229"/>
      <c r="D5" s="229"/>
      <c r="E5" s="229"/>
      <c r="F5" s="1"/>
      <c r="G5" s="1"/>
      <c r="I5" s="229" t="s">
        <v>5</v>
      </c>
      <c r="J5" s="229"/>
      <c r="K5" s="229"/>
      <c r="L5" s="229"/>
      <c r="M5" s="229"/>
      <c r="N5" s="1"/>
      <c r="O5" s="1"/>
      <c r="P5" s="1"/>
    </row>
    <row r="6" spans="2:16" x14ac:dyDescent="0.25">
      <c r="G6" s="20"/>
      <c r="N6" s="20"/>
      <c r="O6" s="20"/>
      <c r="P6" s="1"/>
    </row>
    <row r="7" spans="2:16" ht="15.6" x14ac:dyDescent="0.3">
      <c r="B7" s="32"/>
      <c r="C7" s="33"/>
      <c r="D7" s="47" t="s">
        <v>49</v>
      </c>
      <c r="E7" s="48" t="s">
        <v>50</v>
      </c>
      <c r="G7" s="20"/>
      <c r="I7" s="27" t="s">
        <v>21</v>
      </c>
      <c r="J7" s="28"/>
      <c r="K7" s="28"/>
      <c r="L7" s="54" t="s">
        <v>49</v>
      </c>
      <c r="M7" s="48" t="s">
        <v>51</v>
      </c>
      <c r="N7" s="46"/>
      <c r="O7" s="20"/>
      <c r="P7" s="20"/>
    </row>
    <row r="8" spans="2:16" x14ac:dyDescent="0.25">
      <c r="B8" s="42" t="s">
        <v>2</v>
      </c>
      <c r="C8" s="17"/>
      <c r="D8" s="4">
        <v>1550</v>
      </c>
      <c r="E8" s="49">
        <v>2000</v>
      </c>
      <c r="G8" s="187"/>
      <c r="I8" s="217" t="s">
        <v>22</v>
      </c>
      <c r="J8" s="217"/>
      <c r="K8" s="217"/>
      <c r="L8" s="6"/>
      <c r="M8" s="8"/>
    </row>
    <row r="9" spans="2:16" x14ac:dyDescent="0.25">
      <c r="B9" s="43" t="s">
        <v>4</v>
      </c>
      <c r="C9" s="14"/>
      <c r="D9" s="5">
        <v>1030</v>
      </c>
      <c r="E9" s="50">
        <v>1200</v>
      </c>
      <c r="G9" s="83"/>
      <c r="I9" s="217" t="s">
        <v>23</v>
      </c>
      <c r="J9" s="217"/>
      <c r="K9" s="217"/>
      <c r="L9" s="9">
        <v>12</v>
      </c>
      <c r="M9" s="55">
        <v>39</v>
      </c>
      <c r="N9" s="22"/>
      <c r="O9" s="19"/>
      <c r="P9" s="40"/>
    </row>
    <row r="10" spans="2:16" x14ac:dyDescent="0.25">
      <c r="B10" s="45" t="s">
        <v>8</v>
      </c>
      <c r="C10" s="18"/>
      <c r="D10" s="16">
        <f>+D8-D9</f>
        <v>520</v>
      </c>
      <c r="E10" s="51">
        <f>+E8-E9</f>
        <v>800</v>
      </c>
      <c r="G10" s="187"/>
      <c r="I10" s="217" t="s">
        <v>24</v>
      </c>
      <c r="J10" s="217"/>
      <c r="K10" s="217"/>
      <c r="L10" s="9">
        <v>66</v>
      </c>
      <c r="M10" s="55">
        <v>92</v>
      </c>
      <c r="N10" s="22"/>
      <c r="O10" s="19"/>
      <c r="P10" s="40"/>
    </row>
    <row r="11" spans="2:16" x14ac:dyDescent="0.25">
      <c r="B11" s="43" t="s">
        <v>9</v>
      </c>
      <c r="C11" s="14"/>
      <c r="D11" s="5">
        <v>150</v>
      </c>
      <c r="E11" s="50">
        <v>165</v>
      </c>
      <c r="G11" s="83"/>
      <c r="I11" s="217" t="s">
        <v>25</v>
      </c>
      <c r="J11" s="217"/>
      <c r="K11" s="217"/>
      <c r="L11" s="23">
        <v>152</v>
      </c>
      <c r="M11" s="56">
        <v>194</v>
      </c>
      <c r="N11" s="22"/>
      <c r="O11" s="19"/>
      <c r="P11" s="40"/>
    </row>
    <row r="12" spans="2:16" x14ac:dyDescent="0.25">
      <c r="B12" s="43" t="s">
        <v>10</v>
      </c>
      <c r="C12" s="14"/>
      <c r="D12" s="5">
        <v>270</v>
      </c>
      <c r="E12" s="50">
        <v>285</v>
      </c>
      <c r="G12" s="83"/>
      <c r="I12" s="217" t="s">
        <v>26</v>
      </c>
      <c r="J12" s="217"/>
      <c r="K12" s="217"/>
      <c r="L12" s="24">
        <v>191</v>
      </c>
      <c r="M12" s="57">
        <v>245</v>
      </c>
      <c r="N12" s="22"/>
      <c r="O12" s="19"/>
      <c r="P12" s="40"/>
    </row>
    <row r="13" spans="2:16" x14ac:dyDescent="0.25">
      <c r="B13" s="43" t="s">
        <v>11</v>
      </c>
      <c r="C13" s="14"/>
      <c r="D13" s="5">
        <v>16</v>
      </c>
      <c r="E13" s="50">
        <v>20</v>
      </c>
      <c r="G13" s="83"/>
      <c r="I13" s="220" t="s">
        <v>27</v>
      </c>
      <c r="J13" s="220"/>
      <c r="K13" s="220"/>
      <c r="L13" s="30">
        <v>421</v>
      </c>
      <c r="M13" s="58">
        <v>570</v>
      </c>
      <c r="N13" s="75"/>
      <c r="O13" s="76"/>
      <c r="P13" s="41"/>
    </row>
    <row r="14" spans="2:16" x14ac:dyDescent="0.25">
      <c r="B14" s="45" t="s">
        <v>12</v>
      </c>
      <c r="C14" s="18"/>
      <c r="D14" s="15">
        <f>+D11+D12+D13</f>
        <v>436</v>
      </c>
      <c r="E14" s="52">
        <f>+E11+E12+E13</f>
        <v>470</v>
      </c>
      <c r="G14" s="187"/>
      <c r="I14" s="217" t="s">
        <v>28</v>
      </c>
      <c r="J14" s="217"/>
      <c r="K14" s="217"/>
      <c r="L14" s="10"/>
      <c r="M14" s="59"/>
      <c r="N14" s="22"/>
      <c r="O14" s="19"/>
      <c r="P14" s="40"/>
    </row>
    <row r="15" spans="2:16" x14ac:dyDescent="0.25">
      <c r="B15" s="43" t="s">
        <v>13</v>
      </c>
      <c r="C15" s="14"/>
      <c r="D15" s="5">
        <f>+D10-D14</f>
        <v>84</v>
      </c>
      <c r="E15" s="50">
        <f>+E10-E14</f>
        <v>330</v>
      </c>
      <c r="G15" s="83"/>
      <c r="I15" s="217" t="s">
        <v>29</v>
      </c>
      <c r="J15" s="217"/>
      <c r="K15" s="217"/>
      <c r="L15" s="21">
        <v>195</v>
      </c>
      <c r="M15" s="60">
        <v>220</v>
      </c>
      <c r="N15" s="22"/>
      <c r="O15" s="19"/>
      <c r="P15" s="40"/>
    </row>
    <row r="16" spans="2:16" x14ac:dyDescent="0.25">
      <c r="B16" s="43" t="s">
        <v>14</v>
      </c>
      <c r="C16" s="14"/>
      <c r="D16" s="5">
        <v>29</v>
      </c>
      <c r="E16" s="50">
        <v>59</v>
      </c>
      <c r="G16" s="83"/>
      <c r="I16" s="221" t="s">
        <v>30</v>
      </c>
      <c r="J16" s="221"/>
      <c r="K16" s="221"/>
      <c r="L16" s="26">
        <v>-63</v>
      </c>
      <c r="M16" s="61">
        <v>-72</v>
      </c>
      <c r="N16" s="22"/>
      <c r="O16" s="19"/>
      <c r="P16" s="40"/>
    </row>
    <row r="17" spans="2:16" x14ac:dyDescent="0.25">
      <c r="B17" s="45" t="s">
        <v>15</v>
      </c>
      <c r="C17" s="18"/>
      <c r="D17" s="16">
        <f>+D15-D16</f>
        <v>55</v>
      </c>
      <c r="E17" s="53">
        <f>+E15-E16</f>
        <v>271</v>
      </c>
      <c r="G17" s="187"/>
      <c r="I17" s="218" t="s">
        <v>31</v>
      </c>
      <c r="J17" s="218"/>
      <c r="K17" s="218"/>
      <c r="L17" s="31">
        <v>132</v>
      </c>
      <c r="M17" s="62">
        <v>148</v>
      </c>
      <c r="N17" s="22"/>
      <c r="O17" s="19"/>
      <c r="P17" s="40"/>
    </row>
    <row r="18" spans="2:16" x14ac:dyDescent="0.25">
      <c r="B18" s="43" t="s">
        <v>16</v>
      </c>
      <c r="C18" s="14"/>
      <c r="D18" s="5">
        <f>+D17*21.8%</f>
        <v>11.99</v>
      </c>
      <c r="E18" s="50">
        <f>+E17*21.8%</f>
        <v>59.078000000000003</v>
      </c>
      <c r="G18" s="83"/>
      <c r="I18" s="214" t="s">
        <v>32</v>
      </c>
      <c r="J18" s="214"/>
      <c r="K18" s="214"/>
      <c r="L18" s="29">
        <v>553</v>
      </c>
      <c r="M18" s="63">
        <v>718</v>
      </c>
      <c r="N18" s="75"/>
      <c r="O18" s="76"/>
      <c r="P18" s="41"/>
    </row>
    <row r="19" spans="2:16" x14ac:dyDescent="0.25">
      <c r="B19" s="185" t="s">
        <v>17</v>
      </c>
      <c r="C19" s="186"/>
      <c r="D19" s="15">
        <f>+D17-D18</f>
        <v>43.01</v>
      </c>
      <c r="E19" s="52">
        <f>+E17-E18</f>
        <v>211.922</v>
      </c>
      <c r="G19" s="187"/>
      <c r="L19" s="7"/>
      <c r="M19" s="64"/>
      <c r="N19" s="22"/>
      <c r="O19" s="19"/>
      <c r="P19" s="40"/>
    </row>
    <row r="20" spans="2:16" ht="15.6" x14ac:dyDescent="0.3">
      <c r="I20" s="216" t="s">
        <v>33</v>
      </c>
      <c r="J20" s="216"/>
      <c r="K20" s="216"/>
      <c r="L20" s="32"/>
      <c r="M20" s="34"/>
      <c r="N20" s="22"/>
      <c r="O20" s="19"/>
      <c r="P20" s="40"/>
    </row>
    <row r="21" spans="2:16" x14ac:dyDescent="0.25">
      <c r="I21" s="217" t="s">
        <v>34</v>
      </c>
      <c r="J21" s="217"/>
      <c r="K21" s="217"/>
      <c r="L21" s="7"/>
      <c r="M21" s="8"/>
      <c r="N21" s="22"/>
      <c r="O21" s="19"/>
      <c r="P21" s="40"/>
    </row>
    <row r="22" spans="2:16" x14ac:dyDescent="0.25">
      <c r="I22" s="217" t="s">
        <v>35</v>
      </c>
      <c r="J22" s="217"/>
      <c r="K22" s="217"/>
      <c r="L22" s="9"/>
      <c r="M22" s="55"/>
      <c r="N22" s="22"/>
      <c r="O22" s="19"/>
      <c r="P22" s="40"/>
    </row>
    <row r="23" spans="2:16" x14ac:dyDescent="0.25">
      <c r="I23" s="217" t="s">
        <v>36</v>
      </c>
      <c r="J23" s="217"/>
      <c r="K23" s="217"/>
      <c r="L23" s="9">
        <v>136</v>
      </c>
      <c r="M23" s="55">
        <v>156</v>
      </c>
      <c r="N23" s="22"/>
      <c r="O23" s="19"/>
      <c r="P23" s="40"/>
    </row>
    <row r="24" spans="2:16" x14ac:dyDescent="0.25">
      <c r="I24" s="217" t="s">
        <v>37</v>
      </c>
      <c r="J24" s="217"/>
      <c r="K24" s="217"/>
      <c r="L24" s="9">
        <v>200</v>
      </c>
      <c r="M24" s="55">
        <v>220</v>
      </c>
      <c r="N24" s="22"/>
      <c r="O24" s="19"/>
      <c r="P24" s="40"/>
    </row>
    <row r="25" spans="2:16" x14ac:dyDescent="0.25">
      <c r="I25" s="217" t="s">
        <v>38</v>
      </c>
      <c r="J25" s="217"/>
      <c r="K25" s="217"/>
      <c r="L25" s="24">
        <v>27</v>
      </c>
      <c r="M25" s="57">
        <v>35</v>
      </c>
      <c r="N25" s="22"/>
      <c r="O25" s="19"/>
      <c r="P25" s="40"/>
    </row>
    <row r="26" spans="2:16" x14ac:dyDescent="0.25">
      <c r="I26" s="218" t="s">
        <v>39</v>
      </c>
      <c r="J26" s="218"/>
      <c r="K26" s="218"/>
      <c r="L26" s="35">
        <v>363</v>
      </c>
      <c r="M26" s="65">
        <v>411</v>
      </c>
      <c r="N26" s="75"/>
      <c r="O26" s="76"/>
      <c r="P26" s="41"/>
    </row>
    <row r="27" spans="2:16" x14ac:dyDescent="0.25">
      <c r="I27" s="217" t="s">
        <v>40</v>
      </c>
      <c r="J27" s="217"/>
      <c r="K27" s="217"/>
      <c r="L27" s="11"/>
      <c r="M27" s="66"/>
      <c r="N27" s="22"/>
      <c r="O27" s="19"/>
      <c r="P27" s="40"/>
    </row>
    <row r="28" spans="2:16" x14ac:dyDescent="0.25">
      <c r="I28" s="219" t="s">
        <v>41</v>
      </c>
      <c r="J28" s="219"/>
      <c r="K28" s="219"/>
      <c r="L28" s="13">
        <v>38</v>
      </c>
      <c r="M28" s="67">
        <v>48</v>
      </c>
      <c r="N28" s="22"/>
      <c r="O28" s="19"/>
      <c r="P28" s="40"/>
    </row>
    <row r="29" spans="2:16" x14ac:dyDescent="0.25">
      <c r="I29" s="222" t="s">
        <v>42</v>
      </c>
      <c r="J29" s="222"/>
      <c r="K29" s="222"/>
      <c r="L29" s="36">
        <v>401</v>
      </c>
      <c r="M29" s="68">
        <v>459</v>
      </c>
      <c r="N29" s="75"/>
      <c r="O29" s="76"/>
      <c r="P29" s="41"/>
    </row>
    <row r="30" spans="2:16" x14ac:dyDescent="0.25">
      <c r="I30" s="182"/>
      <c r="J30" s="182"/>
      <c r="K30" s="182"/>
      <c r="L30" s="183"/>
      <c r="M30" s="184"/>
      <c r="N30" s="75"/>
      <c r="O30" s="76"/>
      <c r="P30" s="41"/>
    </row>
    <row r="31" spans="2:16" x14ac:dyDescent="0.25">
      <c r="I31" s="18"/>
      <c r="L31" s="12"/>
      <c r="M31" s="69"/>
      <c r="N31" s="22"/>
      <c r="O31" s="19"/>
      <c r="P31" s="40"/>
    </row>
    <row r="32" spans="2:16" ht="15.6" x14ac:dyDescent="0.25">
      <c r="I32" s="225" t="s">
        <v>43</v>
      </c>
      <c r="J32" s="225"/>
      <c r="K32" s="225"/>
      <c r="L32" s="37"/>
      <c r="M32" s="38"/>
      <c r="N32" s="22"/>
      <c r="O32" s="19"/>
      <c r="P32" s="40"/>
    </row>
    <row r="33" spans="2:19" x14ac:dyDescent="0.25">
      <c r="I33" s="226" t="s">
        <v>44</v>
      </c>
      <c r="J33" s="226"/>
      <c r="K33" s="226"/>
      <c r="L33" s="12">
        <v>20</v>
      </c>
      <c r="M33" s="69">
        <v>20</v>
      </c>
      <c r="N33" s="22"/>
      <c r="O33" s="19"/>
      <c r="P33" s="40"/>
    </row>
    <row r="34" spans="2:19" x14ac:dyDescent="0.25">
      <c r="I34" s="227" t="s">
        <v>45</v>
      </c>
      <c r="J34" s="227"/>
      <c r="K34" s="227"/>
      <c r="L34" s="12">
        <v>30</v>
      </c>
      <c r="M34" s="69">
        <v>30</v>
      </c>
      <c r="N34" s="22"/>
      <c r="O34" s="19"/>
      <c r="P34" s="40"/>
    </row>
    <row r="35" spans="2:19" x14ac:dyDescent="0.25">
      <c r="I35" s="219" t="s">
        <v>46</v>
      </c>
      <c r="J35" s="219"/>
      <c r="K35" s="219"/>
      <c r="L35" s="13">
        <v>102</v>
      </c>
      <c r="M35" s="67">
        <v>209</v>
      </c>
      <c r="N35" s="22"/>
      <c r="O35" s="19"/>
      <c r="P35" s="40"/>
    </row>
    <row r="36" spans="2:19" x14ac:dyDescent="0.25">
      <c r="I36" s="228" t="s">
        <v>47</v>
      </c>
      <c r="J36" s="228"/>
      <c r="K36" s="228"/>
      <c r="L36" s="39">
        <v>152</v>
      </c>
      <c r="M36" s="70">
        <v>259</v>
      </c>
      <c r="N36" s="75"/>
      <c r="O36" s="76"/>
      <c r="P36" s="41"/>
    </row>
    <row r="37" spans="2:19" x14ac:dyDescent="0.25">
      <c r="I37" s="223"/>
      <c r="J37" s="223"/>
      <c r="K37" s="223"/>
      <c r="L37" s="71"/>
      <c r="M37" s="72"/>
      <c r="N37" s="22"/>
      <c r="O37" s="19"/>
      <c r="P37" s="40"/>
    </row>
    <row r="38" spans="2:19" x14ac:dyDescent="0.25">
      <c r="I38" s="224" t="s">
        <v>48</v>
      </c>
      <c r="J38" s="224"/>
      <c r="K38" s="224"/>
      <c r="L38" s="73">
        <v>553</v>
      </c>
      <c r="M38" s="74">
        <v>718</v>
      </c>
      <c r="N38" s="75"/>
      <c r="O38" s="76"/>
      <c r="P38" s="41"/>
    </row>
    <row r="43" spans="2:19" ht="14.4" thickBot="1" x14ac:dyDescent="0.3"/>
    <row r="44" spans="2:19" ht="30.6" thickBot="1" x14ac:dyDescent="0.55000000000000004">
      <c r="B44" s="193" t="s">
        <v>74</v>
      </c>
      <c r="C44" s="194"/>
      <c r="D44" s="194"/>
      <c r="E44" s="194"/>
      <c r="F44" s="194"/>
      <c r="G44" s="194"/>
      <c r="H44" s="194"/>
      <c r="I44" s="194"/>
      <c r="J44" s="194"/>
      <c r="K44" s="194"/>
      <c r="L44" s="194"/>
      <c r="M44" s="194"/>
      <c r="N44" s="194"/>
      <c r="O44" s="194"/>
      <c r="P44" s="194"/>
      <c r="Q44" s="194"/>
      <c r="R44" s="194"/>
      <c r="S44" s="195"/>
    </row>
    <row r="45" spans="2:19" ht="30" customHeight="1" x14ac:dyDescent="0.25">
      <c r="B45" s="191" t="s">
        <v>75</v>
      </c>
      <c r="C45" s="191"/>
      <c r="D45" s="191"/>
      <c r="E45" s="191"/>
      <c r="F45" s="191"/>
      <c r="G45" s="191"/>
      <c r="H45" s="191"/>
      <c r="I45" s="191"/>
      <c r="J45" s="191"/>
      <c r="K45" s="191"/>
      <c r="L45" s="190" t="s">
        <v>0</v>
      </c>
      <c r="M45" s="190"/>
      <c r="N45" s="190"/>
      <c r="O45" s="196" t="s">
        <v>83</v>
      </c>
      <c r="P45" s="190" t="s">
        <v>1</v>
      </c>
      <c r="Q45" s="190"/>
      <c r="R45" s="190"/>
      <c r="S45" s="196" t="s">
        <v>84</v>
      </c>
    </row>
    <row r="46" spans="2:19" ht="17.399999999999999" x14ac:dyDescent="0.3">
      <c r="B46" s="205" t="s">
        <v>196</v>
      </c>
      <c r="C46" s="206"/>
      <c r="D46" s="206"/>
      <c r="E46" s="206"/>
      <c r="F46" s="206"/>
      <c r="G46" s="206"/>
      <c r="H46" s="206"/>
      <c r="I46" s="206"/>
      <c r="J46" s="206"/>
      <c r="K46" s="207"/>
      <c r="L46" s="191"/>
      <c r="M46" s="191"/>
      <c r="N46" s="191"/>
      <c r="O46" s="197"/>
      <c r="P46" s="191"/>
      <c r="Q46" s="191"/>
      <c r="R46" s="191"/>
      <c r="S46" s="197"/>
    </row>
    <row r="47" spans="2:19" x14ac:dyDescent="0.25">
      <c r="B47" s="32"/>
      <c r="C47" s="33"/>
      <c r="D47" s="33"/>
      <c r="E47" s="33"/>
      <c r="F47" s="33"/>
      <c r="G47" s="33"/>
      <c r="H47" s="33"/>
      <c r="I47" s="33"/>
      <c r="J47" s="33"/>
      <c r="K47" s="33"/>
      <c r="L47" s="33"/>
      <c r="M47" s="33"/>
      <c r="N47" s="33"/>
      <c r="O47" s="84"/>
      <c r="P47" s="33"/>
      <c r="Q47" s="33"/>
      <c r="R47" s="33"/>
      <c r="S47" s="85"/>
    </row>
    <row r="48" spans="2:19" x14ac:dyDescent="0.25">
      <c r="B48" s="44" t="s">
        <v>52</v>
      </c>
      <c r="O48" s="80"/>
      <c r="S48" s="86"/>
    </row>
    <row r="49" spans="2:19" ht="15" customHeight="1" x14ac:dyDescent="0.25">
      <c r="B49" s="198" t="s">
        <v>72</v>
      </c>
      <c r="C49" s="199"/>
      <c r="D49" s="199"/>
      <c r="E49" s="199"/>
      <c r="G49" s="200" t="s">
        <v>53</v>
      </c>
      <c r="H49" s="200"/>
      <c r="I49" s="200"/>
      <c r="J49" s="2" t="s">
        <v>54</v>
      </c>
      <c r="L49" s="99">
        <f>L13</f>
        <v>421</v>
      </c>
      <c r="M49" s="3" t="s">
        <v>73</v>
      </c>
      <c r="N49" s="98">
        <f>L49/L50</f>
        <v>1.1597796143250689</v>
      </c>
      <c r="O49" s="80">
        <v>1.82</v>
      </c>
      <c r="P49" s="99">
        <f>M13</f>
        <v>570</v>
      </c>
      <c r="Q49" s="3" t="s">
        <v>73</v>
      </c>
      <c r="R49" s="98">
        <f>P49/P50</f>
        <v>1.3868613138686132</v>
      </c>
      <c r="S49" s="86">
        <v>2.25</v>
      </c>
    </row>
    <row r="50" spans="2:19" x14ac:dyDescent="0.25">
      <c r="B50" s="198"/>
      <c r="C50" s="199"/>
      <c r="D50" s="199"/>
      <c r="E50" s="199"/>
      <c r="H50" s="3" t="s">
        <v>195</v>
      </c>
      <c r="I50" s="3"/>
      <c r="L50" s="81">
        <f>L26</f>
        <v>363</v>
      </c>
      <c r="M50" s="3"/>
      <c r="N50" s="3"/>
      <c r="O50" s="80"/>
      <c r="P50" s="81">
        <f>M26</f>
        <v>411</v>
      </c>
      <c r="Q50" s="3"/>
      <c r="R50" s="3"/>
      <c r="S50" s="86"/>
    </row>
    <row r="51" spans="2:19" x14ac:dyDescent="0.25">
      <c r="B51" s="198"/>
      <c r="C51" s="199"/>
      <c r="D51" s="199"/>
      <c r="E51" s="199"/>
      <c r="L51" s="3"/>
      <c r="M51" s="3"/>
      <c r="N51" s="3"/>
      <c r="O51" s="80"/>
      <c r="P51" s="3"/>
      <c r="Q51" s="3"/>
      <c r="R51" s="3"/>
      <c r="S51" s="86"/>
    </row>
    <row r="52" spans="2:19" x14ac:dyDescent="0.25">
      <c r="B52" s="7"/>
      <c r="L52" s="3"/>
      <c r="M52" s="3"/>
      <c r="N52" s="3"/>
      <c r="O52" s="80"/>
      <c r="P52" s="3"/>
      <c r="Q52" s="3"/>
      <c r="R52" s="3"/>
      <c r="S52" s="86"/>
    </row>
    <row r="53" spans="2:19" x14ac:dyDescent="0.25">
      <c r="B53" s="44" t="s">
        <v>55</v>
      </c>
      <c r="L53" s="3"/>
      <c r="M53" s="3"/>
      <c r="N53" s="3"/>
      <c r="O53" s="80"/>
      <c r="P53" s="3"/>
      <c r="Q53" s="3"/>
      <c r="R53" s="3"/>
      <c r="S53" s="86"/>
    </row>
    <row r="54" spans="2:19" x14ac:dyDescent="0.25">
      <c r="B54" s="211" t="s">
        <v>135</v>
      </c>
      <c r="C54" s="212"/>
      <c r="D54" s="212"/>
      <c r="E54" s="212"/>
      <c r="G54" s="200" t="s">
        <v>56</v>
      </c>
      <c r="H54" s="200"/>
      <c r="I54" s="200"/>
      <c r="J54" s="2" t="s">
        <v>54</v>
      </c>
      <c r="L54" s="99">
        <f>L13-L12</f>
        <v>230</v>
      </c>
      <c r="M54" s="3" t="s">
        <v>73</v>
      </c>
      <c r="N54" s="98">
        <f>L54/L55</f>
        <v>0.63360881542699721</v>
      </c>
      <c r="O54" s="82">
        <v>1.1000000000000001</v>
      </c>
      <c r="P54" s="99">
        <f>M13-M12</f>
        <v>325</v>
      </c>
      <c r="Q54" s="3" t="s">
        <v>73</v>
      </c>
      <c r="R54" s="98">
        <f>P54/P55</f>
        <v>0.79075425790754261</v>
      </c>
      <c r="S54" s="87">
        <v>1.2</v>
      </c>
    </row>
    <row r="55" spans="2:19" x14ac:dyDescent="0.25">
      <c r="B55" s="211"/>
      <c r="C55" s="212"/>
      <c r="D55" s="212"/>
      <c r="E55" s="212"/>
      <c r="G55" s="210" t="s">
        <v>195</v>
      </c>
      <c r="H55" s="210"/>
      <c r="I55" s="210"/>
      <c r="L55" s="81">
        <f>L50</f>
        <v>363</v>
      </c>
      <c r="M55" s="3"/>
      <c r="N55" s="3"/>
      <c r="O55" s="80"/>
      <c r="P55" s="81">
        <f>P50</f>
        <v>411</v>
      </c>
      <c r="Q55" s="3"/>
      <c r="R55" s="3"/>
      <c r="S55" s="86"/>
    </row>
    <row r="56" spans="2:19" x14ac:dyDescent="0.25">
      <c r="B56" s="211"/>
      <c r="C56" s="212"/>
      <c r="D56" s="212"/>
      <c r="E56" s="212"/>
      <c r="O56" s="80"/>
      <c r="S56" s="86"/>
    </row>
    <row r="57" spans="2:19" x14ac:dyDescent="0.25">
      <c r="B57" s="7"/>
      <c r="O57" s="80"/>
      <c r="S57" s="86"/>
    </row>
    <row r="58" spans="2:19" ht="29.25" customHeight="1" x14ac:dyDescent="0.25">
      <c r="B58" s="88" t="s">
        <v>69</v>
      </c>
      <c r="G58" s="192" t="s">
        <v>70</v>
      </c>
      <c r="H58" s="192"/>
      <c r="I58" s="192"/>
      <c r="J58" s="2" t="s">
        <v>54</v>
      </c>
      <c r="L58" s="79">
        <f>D9</f>
        <v>1030</v>
      </c>
      <c r="M58" s="3" t="s">
        <v>73</v>
      </c>
      <c r="N58" s="98">
        <f>L58/L59</f>
        <v>5.3926701570680624</v>
      </c>
      <c r="O58" s="80">
        <v>12.45</v>
      </c>
      <c r="P58" s="79">
        <f>E9</f>
        <v>1200</v>
      </c>
      <c r="Q58" s="3" t="s">
        <v>73</v>
      </c>
      <c r="R58" s="98">
        <f>P58/P59</f>
        <v>4.8979591836734695</v>
      </c>
      <c r="S58" s="86">
        <v>20.25</v>
      </c>
    </row>
    <row r="59" spans="2:19" x14ac:dyDescent="0.25">
      <c r="B59" s="7" t="s">
        <v>71</v>
      </c>
      <c r="G59" s="210" t="s">
        <v>3</v>
      </c>
      <c r="H59" s="210"/>
      <c r="I59" s="210"/>
      <c r="L59" s="22">
        <f>L12</f>
        <v>191</v>
      </c>
      <c r="O59" s="80"/>
      <c r="P59" s="22">
        <f>M12</f>
        <v>245</v>
      </c>
      <c r="S59" s="8"/>
    </row>
    <row r="60" spans="2:19" x14ac:dyDescent="0.25">
      <c r="B60" s="7"/>
      <c r="O60" s="80"/>
      <c r="S60" s="8"/>
    </row>
    <row r="61" spans="2:19" ht="39" customHeight="1" x14ac:dyDescent="0.25">
      <c r="B61" s="44" t="s">
        <v>64</v>
      </c>
      <c r="G61" s="192" t="s">
        <v>65</v>
      </c>
      <c r="H61" s="192"/>
      <c r="I61" s="192"/>
      <c r="J61" s="3" t="s">
        <v>66</v>
      </c>
      <c r="L61" s="25">
        <f>L11*360</f>
        <v>54720</v>
      </c>
      <c r="M61" s="3" t="s">
        <v>73</v>
      </c>
      <c r="N61" s="188">
        <f>L61/L62</f>
        <v>35.303225806451614</v>
      </c>
      <c r="O61" s="80" t="s">
        <v>76</v>
      </c>
      <c r="P61" s="25">
        <f>M11*360</f>
        <v>69840</v>
      </c>
      <c r="Q61" s="3" t="s">
        <v>73</v>
      </c>
      <c r="R61" s="188">
        <f>P61/P62</f>
        <v>34.92</v>
      </c>
      <c r="S61" s="86" t="s">
        <v>77</v>
      </c>
    </row>
    <row r="62" spans="2:19" x14ac:dyDescent="0.25">
      <c r="B62" s="201" t="s">
        <v>67</v>
      </c>
      <c r="C62" s="202"/>
      <c r="D62" s="202"/>
      <c r="E62" s="202"/>
      <c r="G62" s="210" t="s">
        <v>68</v>
      </c>
      <c r="H62" s="210"/>
      <c r="I62" s="210"/>
      <c r="L62" s="83">
        <f>D8</f>
        <v>1550</v>
      </c>
      <c r="O62" s="80"/>
      <c r="P62" s="83">
        <f>E8</f>
        <v>2000</v>
      </c>
      <c r="S62" s="8"/>
    </row>
    <row r="63" spans="2:19" x14ac:dyDescent="0.25">
      <c r="B63" s="201"/>
      <c r="C63" s="202"/>
      <c r="D63" s="202"/>
      <c r="E63" s="202"/>
      <c r="O63" s="80"/>
      <c r="S63" s="8"/>
    </row>
    <row r="64" spans="2:19" x14ac:dyDescent="0.25">
      <c r="B64" s="7"/>
      <c r="O64" s="80"/>
      <c r="S64" s="8"/>
    </row>
    <row r="65" spans="2:19" x14ac:dyDescent="0.25">
      <c r="B65" s="44" t="s">
        <v>78</v>
      </c>
      <c r="G65" s="200" t="s">
        <v>79</v>
      </c>
      <c r="H65" s="200"/>
      <c r="I65" s="200"/>
      <c r="J65" s="2" t="s">
        <v>54</v>
      </c>
      <c r="L65" s="79">
        <f>D8</f>
        <v>1550</v>
      </c>
      <c r="M65" s="3" t="s">
        <v>73</v>
      </c>
      <c r="N65" s="98">
        <f>L65/L66</f>
        <v>2.8028933092224233</v>
      </c>
      <c r="O65" s="80">
        <v>3.92</v>
      </c>
      <c r="P65" s="79">
        <f>E8</f>
        <v>2000</v>
      </c>
      <c r="Q65" s="3" t="s">
        <v>73</v>
      </c>
      <c r="R65" s="98">
        <f>P65/P66</f>
        <v>2.785515320334262</v>
      </c>
      <c r="S65" s="86">
        <v>4.25</v>
      </c>
    </row>
    <row r="66" spans="2:19" x14ac:dyDescent="0.25">
      <c r="B66" s="201" t="s">
        <v>80</v>
      </c>
      <c r="C66" s="202"/>
      <c r="D66" s="202"/>
      <c r="E66" s="202"/>
      <c r="G66" s="210" t="s">
        <v>81</v>
      </c>
      <c r="H66" s="210"/>
      <c r="I66" s="210"/>
      <c r="L66" s="22">
        <f>L18</f>
        <v>553</v>
      </c>
      <c r="P66" s="22">
        <f>M18</f>
        <v>718</v>
      </c>
      <c r="S66" s="8"/>
    </row>
    <row r="67" spans="2:19" x14ac:dyDescent="0.25">
      <c r="B67" s="203"/>
      <c r="C67" s="204"/>
      <c r="D67" s="204"/>
      <c r="E67" s="204"/>
      <c r="F67" s="77"/>
      <c r="G67" s="77"/>
      <c r="H67" s="77"/>
      <c r="I67" s="77"/>
      <c r="J67" s="77"/>
      <c r="K67" s="77"/>
      <c r="L67" s="77"/>
      <c r="M67" s="77"/>
      <c r="N67" s="77"/>
      <c r="O67" s="77"/>
      <c r="P67" s="77"/>
      <c r="Q67" s="77"/>
      <c r="R67" s="77"/>
      <c r="S67" s="78"/>
    </row>
    <row r="69" spans="2:19" ht="17.399999999999999" x14ac:dyDescent="0.3">
      <c r="B69" s="208" t="s">
        <v>57</v>
      </c>
      <c r="C69" s="209"/>
      <c r="D69" s="209"/>
      <c r="E69" s="209"/>
      <c r="F69" s="209"/>
      <c r="G69" s="209"/>
      <c r="H69" s="209"/>
      <c r="I69" s="209"/>
      <c r="J69" s="209"/>
      <c r="K69" s="209"/>
      <c r="L69" s="33"/>
      <c r="M69" s="33"/>
      <c r="N69" s="33"/>
      <c r="O69" s="33"/>
      <c r="P69" s="33"/>
      <c r="Q69" s="33"/>
      <c r="R69" s="33"/>
      <c r="S69" s="34"/>
    </row>
    <row r="70" spans="2:19" x14ac:dyDescent="0.25">
      <c r="B70" s="7"/>
      <c r="S70" s="8"/>
    </row>
    <row r="71" spans="2:19" x14ac:dyDescent="0.25">
      <c r="B71" s="44" t="s">
        <v>58</v>
      </c>
      <c r="S71" s="8"/>
    </row>
    <row r="72" spans="2:19" ht="14.25" customHeight="1" x14ac:dyDescent="0.25">
      <c r="B72" s="201" t="s">
        <v>59</v>
      </c>
      <c r="C72" s="202"/>
      <c r="D72" s="202"/>
      <c r="E72" s="202"/>
      <c r="G72" s="200" t="s">
        <v>60</v>
      </c>
      <c r="H72" s="200"/>
      <c r="I72" s="200"/>
      <c r="J72" s="2" t="s">
        <v>61</v>
      </c>
      <c r="L72" s="25">
        <f>L29</f>
        <v>401</v>
      </c>
      <c r="M72" s="3" t="s">
        <v>73</v>
      </c>
      <c r="N72" s="100">
        <f>L72/L73</f>
        <v>0.72513562386980113</v>
      </c>
      <c r="O72" s="103">
        <v>0.55000000000000004</v>
      </c>
      <c r="P72" s="25">
        <f>M29</f>
        <v>459</v>
      </c>
      <c r="Q72" s="3" t="s">
        <v>73</v>
      </c>
      <c r="R72" s="100">
        <f>P72/P73</f>
        <v>0.6392757660167131</v>
      </c>
      <c r="S72" s="89">
        <v>0.5</v>
      </c>
    </row>
    <row r="73" spans="2:19" x14ac:dyDescent="0.25">
      <c r="B73" s="203"/>
      <c r="C73" s="204"/>
      <c r="D73" s="204"/>
      <c r="E73" s="204"/>
      <c r="F73" s="77"/>
      <c r="G73" s="215" t="s">
        <v>81</v>
      </c>
      <c r="H73" s="215"/>
      <c r="I73" s="215"/>
      <c r="J73" s="77"/>
      <c r="K73" s="77"/>
      <c r="L73" s="25">
        <f>L66</f>
        <v>553</v>
      </c>
      <c r="M73" s="77"/>
      <c r="N73" s="77"/>
      <c r="O73" s="104"/>
      <c r="P73" s="25">
        <f>P66</f>
        <v>718</v>
      </c>
      <c r="Q73" s="77"/>
      <c r="R73" s="77"/>
      <c r="S73" s="78"/>
    </row>
    <row r="74" spans="2:19" x14ac:dyDescent="0.25">
      <c r="O74" s="105"/>
    </row>
    <row r="75" spans="2:19" ht="17.399999999999999" x14ac:dyDescent="0.3">
      <c r="B75" s="90" t="s">
        <v>82</v>
      </c>
      <c r="C75" s="33"/>
      <c r="D75" s="33"/>
      <c r="E75" s="33"/>
      <c r="F75" s="33"/>
      <c r="G75" s="33"/>
      <c r="H75" s="33"/>
      <c r="I75" s="33"/>
      <c r="J75" s="33"/>
      <c r="K75" s="33"/>
      <c r="L75" s="33"/>
      <c r="M75" s="33"/>
      <c r="N75" s="33"/>
      <c r="O75" s="106"/>
      <c r="P75" s="33"/>
      <c r="Q75" s="33"/>
      <c r="R75" s="33"/>
      <c r="S75" s="34"/>
    </row>
    <row r="76" spans="2:19" x14ac:dyDescent="0.25">
      <c r="B76" s="7"/>
      <c r="O76" s="105"/>
      <c r="S76" s="8"/>
    </row>
    <row r="77" spans="2:19" x14ac:dyDescent="0.25">
      <c r="B77" s="44" t="s">
        <v>85</v>
      </c>
      <c r="G77" s="200" t="s">
        <v>86</v>
      </c>
      <c r="H77" s="200"/>
      <c r="I77" s="200"/>
      <c r="J77" s="2" t="s">
        <v>61</v>
      </c>
      <c r="L77" s="79">
        <f>D10</f>
        <v>520</v>
      </c>
      <c r="M77" s="3" t="s">
        <v>73</v>
      </c>
      <c r="N77" s="101">
        <f>L77/L78</f>
        <v>0.33548387096774196</v>
      </c>
      <c r="O77" s="107">
        <v>0.42</v>
      </c>
      <c r="P77" s="79">
        <f>E10</f>
        <v>800</v>
      </c>
      <c r="Q77" s="3" t="s">
        <v>73</v>
      </c>
      <c r="R77" s="100">
        <f>P77/P78</f>
        <v>0.4</v>
      </c>
      <c r="S77" s="91">
        <v>0.5</v>
      </c>
    </row>
    <row r="78" spans="2:19" x14ac:dyDescent="0.25">
      <c r="B78" s="201" t="s">
        <v>92</v>
      </c>
      <c r="C78" s="202"/>
      <c r="D78" s="202"/>
      <c r="E78" s="202"/>
      <c r="G78" s="213" t="s">
        <v>79</v>
      </c>
      <c r="H78" s="213"/>
      <c r="I78" s="213"/>
      <c r="L78" s="83">
        <f>D8</f>
        <v>1550</v>
      </c>
      <c r="O78" s="105"/>
      <c r="P78" s="83">
        <f>E8</f>
        <v>2000</v>
      </c>
      <c r="S78" s="8"/>
    </row>
    <row r="79" spans="2:19" x14ac:dyDescent="0.25">
      <c r="B79" s="201"/>
      <c r="C79" s="202"/>
      <c r="D79" s="202"/>
      <c r="E79" s="202"/>
      <c r="O79" s="105"/>
      <c r="S79" s="8"/>
    </row>
    <row r="80" spans="2:19" x14ac:dyDescent="0.25">
      <c r="B80" s="7"/>
      <c r="O80" s="105"/>
      <c r="S80" s="8"/>
    </row>
    <row r="81" spans="2:19" x14ac:dyDescent="0.25">
      <c r="B81" s="44" t="s">
        <v>87</v>
      </c>
      <c r="G81" s="200" t="s">
        <v>88</v>
      </c>
      <c r="H81" s="200"/>
      <c r="I81" s="200"/>
      <c r="J81" s="2" t="s">
        <v>61</v>
      </c>
      <c r="L81" s="79">
        <f>D19</f>
        <v>43.01</v>
      </c>
      <c r="M81" s="3" t="s">
        <v>73</v>
      </c>
      <c r="N81" s="101">
        <f>L81/L82</f>
        <v>2.7748387096774192E-2</v>
      </c>
      <c r="O81" s="107">
        <v>0.04</v>
      </c>
      <c r="P81" s="79">
        <f>E19</f>
        <v>211.922</v>
      </c>
      <c r="Q81" s="3" t="s">
        <v>73</v>
      </c>
      <c r="R81" s="281">
        <f>P81/P82</f>
        <v>0.105961</v>
      </c>
      <c r="S81" s="91">
        <v>0.1</v>
      </c>
    </row>
    <row r="82" spans="2:19" x14ac:dyDescent="0.25">
      <c r="B82" s="201" t="s">
        <v>93</v>
      </c>
      <c r="C82" s="202"/>
      <c r="D82" s="202"/>
      <c r="E82" s="202"/>
      <c r="G82" s="213" t="s">
        <v>79</v>
      </c>
      <c r="H82" s="213"/>
      <c r="I82" s="213"/>
      <c r="L82" s="83">
        <f>D8</f>
        <v>1550</v>
      </c>
      <c r="O82" s="105"/>
      <c r="P82" s="83">
        <f>P78</f>
        <v>2000</v>
      </c>
      <c r="S82" s="8"/>
    </row>
    <row r="83" spans="2:19" x14ac:dyDescent="0.25">
      <c r="B83" s="201"/>
      <c r="C83" s="202"/>
      <c r="D83" s="202"/>
      <c r="E83" s="202"/>
      <c r="O83" s="105"/>
      <c r="S83" s="8"/>
    </row>
    <row r="84" spans="2:19" x14ac:dyDescent="0.25">
      <c r="B84" s="7"/>
      <c r="O84" s="105"/>
      <c r="S84" s="8"/>
    </row>
    <row r="85" spans="2:19" x14ac:dyDescent="0.25">
      <c r="B85" s="44" t="s">
        <v>89</v>
      </c>
      <c r="G85" s="200" t="s">
        <v>88</v>
      </c>
      <c r="H85" s="200"/>
      <c r="I85" s="200"/>
      <c r="J85" s="2" t="s">
        <v>61</v>
      </c>
      <c r="L85" s="79">
        <f>L81</f>
        <v>43.01</v>
      </c>
      <c r="M85" s="3" t="s">
        <v>73</v>
      </c>
      <c r="N85" s="102">
        <f>L85/L86</f>
        <v>7.7775768535262205E-2</v>
      </c>
      <c r="O85" s="108">
        <v>0.156</v>
      </c>
      <c r="P85" s="79">
        <f>P81</f>
        <v>211.922</v>
      </c>
      <c r="Q85" s="3" t="s">
        <v>73</v>
      </c>
      <c r="R85" s="281">
        <f>P85/P86</f>
        <v>0.2951559888579387</v>
      </c>
      <c r="S85" s="92">
        <v>0.23</v>
      </c>
    </row>
    <row r="86" spans="2:19" x14ac:dyDescent="0.25">
      <c r="B86" s="201" t="s">
        <v>94</v>
      </c>
      <c r="C86" s="202"/>
      <c r="D86" s="202"/>
      <c r="E86" s="202"/>
      <c r="G86" s="213" t="s">
        <v>90</v>
      </c>
      <c r="H86" s="213"/>
      <c r="I86" s="213"/>
      <c r="L86" s="22">
        <f>L73</f>
        <v>553</v>
      </c>
      <c r="O86" s="105"/>
      <c r="P86" s="22">
        <f>P73</f>
        <v>718</v>
      </c>
      <c r="S86" s="8"/>
    </row>
    <row r="87" spans="2:19" x14ac:dyDescent="0.25">
      <c r="B87" s="201"/>
      <c r="C87" s="202"/>
      <c r="D87" s="202"/>
      <c r="E87" s="202"/>
      <c r="O87" s="105"/>
      <c r="S87" s="8"/>
    </row>
    <row r="88" spans="2:19" x14ac:dyDescent="0.25">
      <c r="B88" s="7"/>
      <c r="O88" s="105"/>
      <c r="S88" s="8"/>
    </row>
    <row r="89" spans="2:19" x14ac:dyDescent="0.25">
      <c r="B89" s="44" t="s">
        <v>91</v>
      </c>
      <c r="G89" s="200" t="s">
        <v>88</v>
      </c>
      <c r="H89" s="200"/>
      <c r="I89" s="200"/>
      <c r="J89" s="2" t="s">
        <v>61</v>
      </c>
      <c r="L89" s="79">
        <f>L85</f>
        <v>43.01</v>
      </c>
      <c r="M89" s="3" t="s">
        <v>73</v>
      </c>
      <c r="N89" s="189">
        <f>L89/L90</f>
        <v>0.28296052631578944</v>
      </c>
      <c r="O89" s="108">
        <v>0.247</v>
      </c>
      <c r="P89" s="79">
        <f>P85</f>
        <v>211.922</v>
      </c>
      <c r="Q89" s="3" t="s">
        <v>73</v>
      </c>
      <c r="R89" s="281">
        <f>P89/P90</f>
        <v>0.81823166023166027</v>
      </c>
      <c r="S89" s="92">
        <v>0.3</v>
      </c>
    </row>
    <row r="90" spans="2:19" x14ac:dyDescent="0.25">
      <c r="B90" s="201" t="s">
        <v>95</v>
      </c>
      <c r="C90" s="202"/>
      <c r="D90" s="202"/>
      <c r="E90" s="202"/>
      <c r="F90" s="202"/>
      <c r="G90" s="213" t="s">
        <v>62</v>
      </c>
      <c r="H90" s="213"/>
      <c r="I90" s="213"/>
      <c r="L90" s="22">
        <f>L36</f>
        <v>152</v>
      </c>
      <c r="O90" s="105"/>
      <c r="P90" s="22">
        <f>M36</f>
        <v>259</v>
      </c>
      <c r="S90" s="8"/>
    </row>
    <row r="91" spans="2:19" x14ac:dyDescent="0.25">
      <c r="B91" s="203"/>
      <c r="C91" s="204"/>
      <c r="D91" s="204"/>
      <c r="E91" s="204"/>
      <c r="F91" s="204"/>
      <c r="G91" s="77"/>
      <c r="H91" s="77"/>
      <c r="I91" s="77"/>
      <c r="J91" s="77"/>
      <c r="K91" s="77"/>
      <c r="L91" s="77"/>
      <c r="M91" s="77"/>
      <c r="N91" s="77"/>
      <c r="O91" s="77"/>
      <c r="P91" s="77"/>
      <c r="Q91" s="77"/>
      <c r="R91" s="77"/>
      <c r="S91" s="78"/>
    </row>
  </sheetData>
  <mergeCells count="71">
    <mergeCell ref="I2:M2"/>
    <mergeCell ref="I3:M3"/>
    <mergeCell ref="I4:M4"/>
    <mergeCell ref="I5:M5"/>
    <mergeCell ref="B3:E3"/>
    <mergeCell ref="B4:E4"/>
    <mergeCell ref="B5:E5"/>
    <mergeCell ref="I29:K29"/>
    <mergeCell ref="I37:K37"/>
    <mergeCell ref="I38:K38"/>
    <mergeCell ref="I32:K32"/>
    <mergeCell ref="I33:K33"/>
    <mergeCell ref="I34:K34"/>
    <mergeCell ref="I35:K35"/>
    <mergeCell ref="I36:K36"/>
    <mergeCell ref="I8:K8"/>
    <mergeCell ref="I9:K9"/>
    <mergeCell ref="I10:K10"/>
    <mergeCell ref="I11:K11"/>
    <mergeCell ref="I12:K12"/>
    <mergeCell ref="I13:K13"/>
    <mergeCell ref="I14:K14"/>
    <mergeCell ref="I15:K15"/>
    <mergeCell ref="I16:K16"/>
    <mergeCell ref="I17:K17"/>
    <mergeCell ref="I18:K18"/>
    <mergeCell ref="G85:I85"/>
    <mergeCell ref="G86:I86"/>
    <mergeCell ref="G89:I89"/>
    <mergeCell ref="G90:I90"/>
    <mergeCell ref="G72:I72"/>
    <mergeCell ref="G73:I73"/>
    <mergeCell ref="I20:K20"/>
    <mergeCell ref="I21:K21"/>
    <mergeCell ref="I22:K22"/>
    <mergeCell ref="I23:K23"/>
    <mergeCell ref="I24:K24"/>
    <mergeCell ref="I25:K25"/>
    <mergeCell ref="I26:K26"/>
    <mergeCell ref="I27:K27"/>
    <mergeCell ref="I28:K28"/>
    <mergeCell ref="B86:E87"/>
    <mergeCell ref="B90:F91"/>
    <mergeCell ref="B78:E79"/>
    <mergeCell ref="B82:E83"/>
    <mergeCell ref="G77:I77"/>
    <mergeCell ref="G78:I78"/>
    <mergeCell ref="G81:I81"/>
    <mergeCell ref="G82:I82"/>
    <mergeCell ref="B72:E73"/>
    <mergeCell ref="B46:K46"/>
    <mergeCell ref="B69:K69"/>
    <mergeCell ref="B66:E67"/>
    <mergeCell ref="G65:I65"/>
    <mergeCell ref="G66:I66"/>
    <mergeCell ref="G59:I59"/>
    <mergeCell ref="G61:I61"/>
    <mergeCell ref="G62:I62"/>
    <mergeCell ref="B62:E63"/>
    <mergeCell ref="B54:E56"/>
    <mergeCell ref="G54:I54"/>
    <mergeCell ref="G55:I55"/>
    <mergeCell ref="P45:R46"/>
    <mergeCell ref="G58:I58"/>
    <mergeCell ref="B45:K45"/>
    <mergeCell ref="B44:S44"/>
    <mergeCell ref="S45:S46"/>
    <mergeCell ref="O45:O46"/>
    <mergeCell ref="L45:N46"/>
    <mergeCell ref="B49:E51"/>
    <mergeCell ref="G49:I49"/>
  </mergeCells>
  <pageMargins left="0.7" right="0.7" top="0.75" bottom="0.75" header="0.3" footer="0.3"/>
  <pageSetup paperSize="3" scale="8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B6F4F-3272-41AB-9C90-860B4A0907A9}">
  <sheetPr>
    <tabColor rgb="FFFF99CC"/>
    <pageSetUpPr fitToPage="1"/>
  </sheetPr>
  <dimension ref="B2:T142"/>
  <sheetViews>
    <sheetView topLeftCell="A81" workbookViewId="0">
      <selection activeCell="L57" sqref="L57"/>
    </sheetView>
  </sheetViews>
  <sheetFormatPr baseColWidth="10" defaultColWidth="11.44140625" defaultRowHeight="13.8" x14ac:dyDescent="0.25"/>
  <cols>
    <col min="1" max="1" width="11.44140625" style="93"/>
    <col min="2" max="2" width="7.5546875" style="93" customWidth="1"/>
    <col min="3" max="3" width="36.109375" style="93" bestFit="1" customWidth="1"/>
    <col min="4" max="4" width="9.88671875" style="93" customWidth="1"/>
    <col min="5" max="5" width="12.33203125" style="93" customWidth="1"/>
    <col min="6" max="6" width="12" style="93" customWidth="1"/>
    <col min="7" max="7" width="12.6640625" style="93" customWidth="1"/>
    <col min="8" max="9" width="11.44140625" style="93" customWidth="1"/>
    <col min="10" max="11" width="11.44140625" style="93"/>
    <col min="12" max="12" width="13.33203125" style="93" customWidth="1"/>
    <col min="13" max="14" width="12.6640625" style="93" customWidth="1"/>
    <col min="15" max="16384" width="11.44140625" style="93"/>
  </cols>
  <sheetData>
    <row r="2" spans="2:14" ht="14.25" customHeight="1" x14ac:dyDescent="0.25">
      <c r="B2" s="254">
        <v>3</v>
      </c>
      <c r="C2" s="255" t="s">
        <v>164</v>
      </c>
      <c r="D2" s="255"/>
      <c r="E2" s="255"/>
      <c r="F2" s="255"/>
      <c r="G2" s="255"/>
      <c r="H2" s="255"/>
      <c r="I2" s="255"/>
      <c r="J2" s="255"/>
      <c r="K2" s="255"/>
      <c r="L2" s="255"/>
      <c r="M2" s="255"/>
      <c r="N2" s="255"/>
    </row>
    <row r="3" spans="2:14" x14ac:dyDescent="0.25">
      <c r="B3" s="254"/>
      <c r="C3" s="255"/>
      <c r="D3" s="255"/>
      <c r="E3" s="255"/>
      <c r="F3" s="255"/>
      <c r="G3" s="255"/>
      <c r="H3" s="255"/>
      <c r="I3" s="255"/>
      <c r="J3" s="255"/>
      <c r="K3" s="255"/>
      <c r="L3" s="255"/>
      <c r="M3" s="255"/>
      <c r="N3" s="255"/>
    </row>
    <row r="4" spans="2:14" x14ac:dyDescent="0.25">
      <c r="B4" s="118"/>
      <c r="C4" s="255"/>
      <c r="D4" s="255"/>
      <c r="E4" s="255"/>
      <c r="F4" s="255"/>
      <c r="G4" s="255"/>
      <c r="H4" s="255"/>
      <c r="I4" s="255"/>
      <c r="J4" s="255"/>
      <c r="K4" s="255"/>
      <c r="L4" s="255"/>
      <c r="M4" s="255"/>
      <c r="N4" s="255"/>
    </row>
    <row r="5" spans="2:14" x14ac:dyDescent="0.25">
      <c r="C5" s="113"/>
      <c r="D5" s="113"/>
      <c r="E5" s="113"/>
      <c r="F5" s="113"/>
      <c r="G5" s="113"/>
      <c r="H5" s="113"/>
      <c r="I5" s="113"/>
      <c r="J5" s="113"/>
      <c r="K5" s="113"/>
      <c r="L5" s="113"/>
      <c r="M5" s="113"/>
    </row>
    <row r="6" spans="2:14" ht="14.25" customHeight="1" x14ac:dyDescent="0.25">
      <c r="B6" s="250" t="s">
        <v>165</v>
      </c>
      <c r="C6" s="256" t="s">
        <v>166</v>
      </c>
      <c r="D6" s="256"/>
      <c r="E6" s="256"/>
      <c r="F6" s="256"/>
      <c r="G6" s="256"/>
      <c r="H6" s="256"/>
      <c r="I6" s="256"/>
      <c r="J6" s="256"/>
      <c r="K6" s="256"/>
      <c r="L6" s="256"/>
      <c r="M6" s="256"/>
      <c r="N6" s="256"/>
    </row>
    <row r="7" spans="2:14" x14ac:dyDescent="0.25">
      <c r="B7" s="250"/>
      <c r="C7" s="256"/>
      <c r="D7" s="256"/>
      <c r="E7" s="256"/>
      <c r="F7" s="256"/>
      <c r="G7" s="256"/>
      <c r="H7" s="256"/>
      <c r="I7" s="256"/>
      <c r="J7" s="256"/>
      <c r="K7" s="256"/>
      <c r="L7" s="256"/>
      <c r="M7" s="256"/>
      <c r="N7" s="256"/>
    </row>
    <row r="8" spans="2:14" x14ac:dyDescent="0.25">
      <c r="B8" s="95"/>
      <c r="C8" s="97"/>
      <c r="D8" s="96"/>
      <c r="E8" s="96"/>
      <c r="F8" s="96"/>
      <c r="G8" s="96"/>
      <c r="H8" s="96"/>
      <c r="I8" s="96"/>
      <c r="J8" s="96"/>
      <c r="K8" s="96"/>
      <c r="L8" s="96"/>
      <c r="M8" s="96"/>
    </row>
    <row r="9" spans="2:14" ht="14.25" customHeight="1" x14ac:dyDescent="0.25">
      <c r="B9" s="250" t="s">
        <v>167</v>
      </c>
      <c r="C9" s="256" t="s">
        <v>168</v>
      </c>
      <c r="D9" s="256"/>
      <c r="E9" s="256"/>
      <c r="F9" s="256"/>
      <c r="G9" s="256"/>
      <c r="H9" s="256"/>
      <c r="I9" s="256"/>
      <c r="J9" s="256"/>
      <c r="K9" s="256"/>
      <c r="L9" s="256"/>
      <c r="M9" s="256"/>
      <c r="N9" s="256"/>
    </row>
    <row r="10" spans="2:14" x14ac:dyDescent="0.25">
      <c r="B10" s="250"/>
      <c r="C10" s="256"/>
      <c r="D10" s="256"/>
      <c r="E10" s="256"/>
      <c r="F10" s="256"/>
      <c r="G10" s="256"/>
      <c r="H10" s="256"/>
      <c r="I10" s="256"/>
      <c r="J10" s="256"/>
      <c r="K10" s="256"/>
      <c r="L10" s="256"/>
      <c r="M10" s="256"/>
      <c r="N10" s="256"/>
    </row>
    <row r="11" spans="2:14" x14ac:dyDescent="0.25">
      <c r="B11" s="115"/>
      <c r="C11" s="117"/>
      <c r="D11" s="117"/>
      <c r="E11" s="117"/>
      <c r="F11" s="117"/>
      <c r="G11" s="117"/>
      <c r="H11" s="117"/>
      <c r="I11" s="117"/>
      <c r="J11" s="117"/>
      <c r="K11" s="117"/>
      <c r="L11" s="117"/>
      <c r="M11" s="117"/>
    </row>
    <row r="12" spans="2:14" ht="14.25" customHeight="1" x14ac:dyDescent="0.25">
      <c r="B12" s="250" t="s">
        <v>169</v>
      </c>
      <c r="C12" s="256" t="s">
        <v>170</v>
      </c>
      <c r="D12" s="256"/>
      <c r="E12" s="256"/>
      <c r="F12" s="256"/>
      <c r="G12" s="256"/>
      <c r="H12" s="256"/>
      <c r="I12" s="256"/>
      <c r="J12" s="256"/>
      <c r="K12" s="256"/>
      <c r="L12" s="256"/>
      <c r="M12" s="256"/>
      <c r="N12" s="256"/>
    </row>
    <row r="13" spans="2:14" x14ac:dyDescent="0.25">
      <c r="B13" s="250"/>
      <c r="C13" s="256"/>
      <c r="D13" s="256"/>
      <c r="E13" s="256"/>
      <c r="F13" s="256"/>
      <c r="G13" s="256"/>
      <c r="H13" s="256"/>
      <c r="I13" s="256"/>
      <c r="J13" s="256"/>
      <c r="K13" s="256"/>
      <c r="L13" s="256"/>
      <c r="M13" s="256"/>
      <c r="N13" s="256"/>
    </row>
    <row r="14" spans="2:14" x14ac:dyDescent="0.25">
      <c r="B14" s="119"/>
      <c r="C14" s="120"/>
      <c r="D14" s="120"/>
      <c r="E14" s="120"/>
      <c r="F14" s="120"/>
      <c r="G14" s="120"/>
      <c r="H14" s="120"/>
      <c r="I14" s="120"/>
      <c r="J14" s="120"/>
      <c r="K14" s="120"/>
      <c r="L14" s="120"/>
      <c r="M14" s="120"/>
    </row>
    <row r="15" spans="2:14" ht="14.4" thickBot="1" x14ac:dyDescent="0.3"/>
    <row r="16" spans="2:14" ht="15.6" x14ac:dyDescent="0.3">
      <c r="C16" s="121" t="s">
        <v>142</v>
      </c>
      <c r="D16" s="122"/>
      <c r="E16" s="122"/>
      <c r="F16" s="122"/>
      <c r="G16" s="123"/>
      <c r="I16" s="121" t="s">
        <v>171</v>
      </c>
      <c r="J16" s="122"/>
      <c r="K16" s="122"/>
      <c r="L16" s="122"/>
      <c r="M16" s="122"/>
      <c r="N16" s="123"/>
    </row>
    <row r="17" spans="3:14" ht="15.6" x14ac:dyDescent="0.3">
      <c r="C17" s="124" t="s">
        <v>143</v>
      </c>
      <c r="G17" s="125"/>
      <c r="I17" s="124" t="s">
        <v>143</v>
      </c>
      <c r="N17" s="125"/>
    </row>
    <row r="18" spans="3:14" x14ac:dyDescent="0.25">
      <c r="C18" s="126" t="s">
        <v>138</v>
      </c>
      <c r="E18" s="95" t="s">
        <v>139</v>
      </c>
      <c r="F18" s="95" t="s">
        <v>140</v>
      </c>
      <c r="G18" s="127" t="s">
        <v>141</v>
      </c>
      <c r="I18" s="153"/>
      <c r="L18" s="95" t="s">
        <v>139</v>
      </c>
      <c r="M18" s="95" t="s">
        <v>140</v>
      </c>
      <c r="N18" s="127" t="s">
        <v>141</v>
      </c>
    </row>
    <row r="19" spans="3:14" x14ac:dyDescent="0.25">
      <c r="C19" s="136" t="s">
        <v>149</v>
      </c>
      <c r="D19" s="137"/>
      <c r="E19" s="137"/>
      <c r="F19" s="137"/>
      <c r="G19" s="139"/>
      <c r="I19" s="251" t="s">
        <v>2</v>
      </c>
      <c r="J19" s="252"/>
      <c r="K19" s="252"/>
      <c r="L19" s="109">
        <v>2000</v>
      </c>
      <c r="M19" s="109">
        <v>2000</v>
      </c>
      <c r="N19" s="154">
        <v>2000</v>
      </c>
    </row>
    <row r="20" spans="3:14" x14ac:dyDescent="0.25">
      <c r="C20" s="126" t="s">
        <v>144</v>
      </c>
      <c r="G20" s="125"/>
      <c r="I20" s="253" t="s">
        <v>4</v>
      </c>
      <c r="J20" s="219"/>
      <c r="K20" s="219"/>
      <c r="L20" s="155">
        <v>-1000</v>
      </c>
      <c r="M20" s="155">
        <v>-1000</v>
      </c>
      <c r="N20" s="156">
        <v>-1000</v>
      </c>
    </row>
    <row r="21" spans="3:14" x14ac:dyDescent="0.25">
      <c r="C21" s="126" t="s">
        <v>145</v>
      </c>
      <c r="E21" s="93">
        <v>150</v>
      </c>
      <c r="F21" s="93">
        <v>100</v>
      </c>
      <c r="G21" s="125">
        <v>50</v>
      </c>
      <c r="I21" s="263" t="s">
        <v>172</v>
      </c>
      <c r="J21" s="264"/>
      <c r="K21" s="264"/>
      <c r="L21" s="157">
        <f>SUM(L19:L20)</f>
        <v>1000</v>
      </c>
      <c r="M21" s="157">
        <f t="shared" ref="M21:N21" si="0">SUM(M19:M20)</f>
        <v>1000</v>
      </c>
      <c r="N21" s="158">
        <f t="shared" si="0"/>
        <v>1000</v>
      </c>
    </row>
    <row r="22" spans="3:14" x14ac:dyDescent="0.25">
      <c r="C22" s="126" t="s">
        <v>25</v>
      </c>
      <c r="E22" s="93">
        <v>450</v>
      </c>
      <c r="F22" s="93">
        <v>300</v>
      </c>
      <c r="G22" s="125">
        <v>150</v>
      </c>
      <c r="I22" s="253" t="s">
        <v>173</v>
      </c>
      <c r="J22" s="219"/>
      <c r="K22" s="219"/>
      <c r="L22" s="155">
        <v>-110</v>
      </c>
      <c r="M22" s="155">
        <v>-110</v>
      </c>
      <c r="N22" s="156">
        <v>-110</v>
      </c>
    </row>
    <row r="23" spans="3:14" x14ac:dyDescent="0.25">
      <c r="C23" s="126" t="s">
        <v>26</v>
      </c>
      <c r="E23" s="93">
        <v>600</v>
      </c>
      <c r="F23" s="93">
        <v>400</v>
      </c>
      <c r="G23" s="125">
        <v>200</v>
      </c>
      <c r="I23" s="253" t="s">
        <v>174</v>
      </c>
      <c r="J23" s="219"/>
      <c r="K23" s="219"/>
      <c r="L23" s="155">
        <v>-250</v>
      </c>
      <c r="M23" s="155">
        <v>-250</v>
      </c>
      <c r="N23" s="156">
        <v>-250</v>
      </c>
    </row>
    <row r="24" spans="3:14" x14ac:dyDescent="0.25">
      <c r="C24" s="130" t="s">
        <v>146</v>
      </c>
      <c r="D24" s="116"/>
      <c r="E24" s="116">
        <f>SUM(E21:E23)</f>
        <v>1200</v>
      </c>
      <c r="F24" s="116">
        <f>SUM(F21:F23)</f>
        <v>800</v>
      </c>
      <c r="G24" s="131">
        <f>SUM(G21:G23)</f>
        <v>400</v>
      </c>
      <c r="I24" s="253" t="s">
        <v>175</v>
      </c>
      <c r="J24" s="219"/>
      <c r="K24" s="219"/>
      <c r="L24" s="155">
        <v>-280</v>
      </c>
      <c r="M24" s="155">
        <v>-280</v>
      </c>
      <c r="N24" s="156">
        <v>-280</v>
      </c>
    </row>
    <row r="25" spans="3:14" x14ac:dyDescent="0.25">
      <c r="C25" s="126" t="s">
        <v>28</v>
      </c>
      <c r="G25" s="125"/>
      <c r="I25" s="259" t="s">
        <v>176</v>
      </c>
      <c r="J25" s="260"/>
      <c r="K25" s="260"/>
      <c r="L25" s="261">
        <f>SUM(L21:L24)</f>
        <v>360</v>
      </c>
      <c r="M25" s="261">
        <f t="shared" ref="M25:N25" si="1">SUM(M21:M24)</f>
        <v>360</v>
      </c>
      <c r="N25" s="262">
        <f t="shared" si="1"/>
        <v>360</v>
      </c>
    </row>
    <row r="26" spans="3:14" x14ac:dyDescent="0.25">
      <c r="C26" s="126" t="s">
        <v>147</v>
      </c>
      <c r="E26" s="93">
        <v>800</v>
      </c>
      <c r="F26" s="93">
        <v>800</v>
      </c>
      <c r="G26" s="125">
        <v>800</v>
      </c>
      <c r="I26" s="259"/>
      <c r="J26" s="260"/>
      <c r="K26" s="260"/>
      <c r="L26" s="261"/>
      <c r="M26" s="261"/>
      <c r="N26" s="262"/>
    </row>
    <row r="27" spans="3:14" x14ac:dyDescent="0.25">
      <c r="C27" s="130" t="s">
        <v>31</v>
      </c>
      <c r="D27" s="116"/>
      <c r="E27" s="116">
        <f>+E26</f>
        <v>800</v>
      </c>
      <c r="F27" s="116">
        <f>+F26</f>
        <v>800</v>
      </c>
      <c r="G27" s="131">
        <f>+G26</f>
        <v>800</v>
      </c>
      <c r="I27" s="253" t="s">
        <v>177</v>
      </c>
      <c r="J27" s="219"/>
      <c r="K27" s="219"/>
      <c r="L27" s="155">
        <v>-60</v>
      </c>
      <c r="M27" s="155">
        <v>-40</v>
      </c>
      <c r="N27" s="156">
        <v>-20</v>
      </c>
    </row>
    <row r="28" spans="3:14" x14ac:dyDescent="0.25">
      <c r="C28" s="136" t="s">
        <v>32</v>
      </c>
      <c r="D28" s="138"/>
      <c r="E28" s="138">
        <f>+E24+E27</f>
        <v>2000</v>
      </c>
      <c r="F28" s="138">
        <f>+F24+F27</f>
        <v>1600</v>
      </c>
      <c r="G28" s="140">
        <f>+G24+G27</f>
        <v>1200</v>
      </c>
      <c r="I28" s="265" t="s">
        <v>15</v>
      </c>
      <c r="J28" s="266"/>
      <c r="K28" s="266"/>
      <c r="L28" s="109">
        <f>SUM(L25:L27)</f>
        <v>300</v>
      </c>
      <c r="M28" s="109">
        <f t="shared" ref="M28:N28" si="2">SUM(M25:M27)</f>
        <v>320</v>
      </c>
      <c r="N28" s="154">
        <f t="shared" si="2"/>
        <v>340</v>
      </c>
    </row>
    <row r="29" spans="3:14" x14ac:dyDescent="0.25">
      <c r="C29" s="126"/>
      <c r="G29" s="125"/>
      <c r="I29" s="253" t="s">
        <v>178</v>
      </c>
      <c r="J29" s="219"/>
      <c r="K29" s="219"/>
      <c r="L29" s="155">
        <f>-L28*0.5</f>
        <v>-150</v>
      </c>
      <c r="M29" s="155">
        <f t="shared" ref="M29:N29" si="3">-M28*0.5</f>
        <v>-160</v>
      </c>
      <c r="N29" s="156">
        <f t="shared" si="3"/>
        <v>-170</v>
      </c>
    </row>
    <row r="30" spans="3:14" ht="14.4" thickBot="1" x14ac:dyDescent="0.3">
      <c r="C30" s="128" t="s">
        <v>148</v>
      </c>
      <c r="D30" s="129"/>
      <c r="E30" s="129"/>
      <c r="F30" s="129"/>
      <c r="G30" s="141"/>
      <c r="I30" s="257" t="s">
        <v>179</v>
      </c>
      <c r="J30" s="258"/>
      <c r="K30" s="258"/>
      <c r="L30" s="159">
        <f>SUM(L28:L29)</f>
        <v>150</v>
      </c>
      <c r="M30" s="159">
        <f t="shared" ref="M30:N30" si="4">SUM(M28:M29)</f>
        <v>160</v>
      </c>
      <c r="N30" s="160">
        <f t="shared" si="4"/>
        <v>170</v>
      </c>
    </row>
    <row r="31" spans="3:14" x14ac:dyDescent="0.25">
      <c r="C31" s="126" t="s">
        <v>150</v>
      </c>
      <c r="G31" s="125"/>
      <c r="L31" s="109"/>
      <c r="M31" s="109"/>
      <c r="N31" s="109"/>
    </row>
    <row r="32" spans="3:14" x14ac:dyDescent="0.25">
      <c r="C32" s="126" t="s">
        <v>151</v>
      </c>
      <c r="E32" s="93">
        <v>300</v>
      </c>
      <c r="F32" s="93">
        <v>300</v>
      </c>
      <c r="G32" s="125">
        <v>300</v>
      </c>
    </row>
    <row r="33" spans="3:8" x14ac:dyDescent="0.25">
      <c r="C33" s="126" t="s">
        <v>152</v>
      </c>
      <c r="E33" s="93">
        <v>100</v>
      </c>
      <c r="F33" s="93">
        <v>100</v>
      </c>
      <c r="G33" s="125">
        <v>100</v>
      </c>
    </row>
    <row r="34" spans="3:8" x14ac:dyDescent="0.25">
      <c r="C34" s="130" t="s">
        <v>153</v>
      </c>
      <c r="D34" s="116"/>
      <c r="E34" s="116">
        <f>SUM(E32:E33)</f>
        <v>400</v>
      </c>
      <c r="F34" s="116">
        <f>SUM(F32:F33)</f>
        <v>400</v>
      </c>
      <c r="G34" s="131">
        <f>SUM(G32:G33)</f>
        <v>400</v>
      </c>
      <c r="H34" s="116"/>
    </row>
    <row r="35" spans="3:8" x14ac:dyDescent="0.25">
      <c r="C35" s="126" t="s">
        <v>154</v>
      </c>
      <c r="D35" s="95"/>
      <c r="G35" s="125"/>
    </row>
    <row r="36" spans="3:8" x14ac:dyDescent="0.25">
      <c r="C36" s="126" t="s">
        <v>155</v>
      </c>
      <c r="E36" s="93">
        <v>200</v>
      </c>
      <c r="F36" s="93">
        <v>150</v>
      </c>
      <c r="G36" s="125">
        <v>100</v>
      </c>
    </row>
    <row r="37" spans="3:8" x14ac:dyDescent="0.25">
      <c r="C37" s="126" t="s">
        <v>156</v>
      </c>
      <c r="E37" s="93">
        <v>400</v>
      </c>
      <c r="F37" s="93">
        <v>250</v>
      </c>
      <c r="G37" s="125">
        <v>100</v>
      </c>
    </row>
    <row r="38" spans="3:8" x14ac:dyDescent="0.25">
      <c r="C38" s="133" t="s">
        <v>157</v>
      </c>
      <c r="D38" s="116"/>
      <c r="E38" s="116">
        <f>SUM(E36:E37)</f>
        <v>600</v>
      </c>
      <c r="F38" s="116">
        <f>SUM(F36:F37)</f>
        <v>400</v>
      </c>
      <c r="G38" s="131">
        <f>SUM(G36:G37)</f>
        <v>200</v>
      </c>
      <c r="H38" s="116"/>
    </row>
    <row r="39" spans="3:8" x14ac:dyDescent="0.25">
      <c r="C39" s="142" t="s">
        <v>158</v>
      </c>
      <c r="D39" s="132"/>
      <c r="E39" s="132">
        <f>+E34+E38</f>
        <v>1000</v>
      </c>
      <c r="F39" s="132">
        <f>+F34+F38</f>
        <v>800</v>
      </c>
      <c r="G39" s="143">
        <f>+G34+G38</f>
        <v>600</v>
      </c>
      <c r="H39" s="95"/>
    </row>
    <row r="40" spans="3:8" x14ac:dyDescent="0.25">
      <c r="C40" s="134"/>
      <c r="G40" s="125"/>
    </row>
    <row r="41" spans="3:8" x14ac:dyDescent="0.25">
      <c r="C41" s="144" t="s">
        <v>159</v>
      </c>
      <c r="D41" s="145"/>
      <c r="E41" s="145"/>
      <c r="F41" s="145"/>
      <c r="G41" s="146"/>
    </row>
    <row r="42" spans="3:8" x14ac:dyDescent="0.25">
      <c r="C42" s="135" t="s">
        <v>160</v>
      </c>
      <c r="E42" s="93">
        <v>700</v>
      </c>
      <c r="F42" s="93">
        <v>500</v>
      </c>
      <c r="G42" s="125">
        <v>300</v>
      </c>
    </row>
    <row r="43" spans="3:8" x14ac:dyDescent="0.25">
      <c r="C43" s="135" t="s">
        <v>161</v>
      </c>
      <c r="E43" s="93">
        <v>300</v>
      </c>
      <c r="F43" s="93">
        <v>300</v>
      </c>
      <c r="G43" s="125">
        <v>300</v>
      </c>
    </row>
    <row r="44" spans="3:8" x14ac:dyDescent="0.25">
      <c r="C44" s="147" t="s">
        <v>162</v>
      </c>
      <c r="D44" s="148"/>
      <c r="E44" s="148">
        <f>SUM(E42:E43)</f>
        <v>1000</v>
      </c>
      <c r="F44" s="148">
        <f>SUM(F42:F43)</f>
        <v>800</v>
      </c>
      <c r="G44" s="149">
        <f>SUM(G42:G43)</f>
        <v>600</v>
      </c>
      <c r="H44" s="95"/>
    </row>
    <row r="45" spans="3:8" x14ac:dyDescent="0.25">
      <c r="C45" s="134"/>
      <c r="D45" s="95"/>
      <c r="G45" s="125"/>
    </row>
    <row r="46" spans="3:8" ht="14.4" thickBot="1" x14ac:dyDescent="0.3">
      <c r="C46" s="150" t="s">
        <v>163</v>
      </c>
      <c r="D46" s="151"/>
      <c r="E46" s="151">
        <f>+E39+E44</f>
        <v>2000</v>
      </c>
      <c r="F46" s="151">
        <f>+F39+F44</f>
        <v>1600</v>
      </c>
      <c r="G46" s="152">
        <f>+G39+G44</f>
        <v>1200</v>
      </c>
      <c r="H46" s="95"/>
    </row>
    <row r="47" spans="3:8" customFormat="1" ht="14.4" x14ac:dyDescent="0.3"/>
    <row r="48" spans="3:8" customFormat="1" ht="14.4" x14ac:dyDescent="0.3"/>
    <row r="49" spans="2:20" ht="14.25" customHeight="1" x14ac:dyDescent="0.25">
      <c r="B49" s="191"/>
      <c r="C49" s="230" t="s">
        <v>182</v>
      </c>
      <c r="D49" s="230"/>
      <c r="E49" s="230"/>
      <c r="F49" s="230"/>
      <c r="G49" s="230"/>
      <c r="H49" s="230"/>
      <c r="I49" s="230"/>
      <c r="J49" s="230"/>
      <c r="K49" s="230"/>
      <c r="L49" s="230"/>
      <c r="M49" s="230"/>
      <c r="N49" s="230"/>
      <c r="O49" s="230"/>
      <c r="P49" s="230"/>
      <c r="Q49" s="230"/>
      <c r="R49" s="230"/>
      <c r="S49" s="230"/>
      <c r="T49" s="230"/>
    </row>
    <row r="50" spans="2:20" x14ac:dyDescent="0.25">
      <c r="B50" s="191"/>
      <c r="C50" s="230"/>
      <c r="D50" s="230"/>
      <c r="E50" s="230"/>
      <c r="F50" s="230"/>
      <c r="G50" s="230"/>
      <c r="H50" s="230"/>
      <c r="I50" s="230"/>
      <c r="J50" s="230"/>
      <c r="K50" s="230"/>
      <c r="L50" s="230"/>
      <c r="M50" s="230"/>
      <c r="N50" s="230"/>
      <c r="O50" s="230"/>
      <c r="P50" s="230"/>
      <c r="Q50" s="230"/>
      <c r="R50" s="230"/>
      <c r="S50" s="230"/>
      <c r="T50" s="230"/>
    </row>
    <row r="51" spans="2:20" ht="14.4" thickBot="1" x14ac:dyDescent="0.3"/>
    <row r="52" spans="2:20" s="2" customFormat="1" ht="30.6" thickBot="1" x14ac:dyDescent="0.55000000000000004">
      <c r="B52" s="193" t="s">
        <v>74</v>
      </c>
      <c r="C52" s="194"/>
      <c r="D52" s="194"/>
      <c r="E52" s="194"/>
      <c r="F52" s="194"/>
      <c r="G52" s="194"/>
      <c r="H52" s="194"/>
      <c r="I52" s="194"/>
      <c r="J52" s="194"/>
      <c r="K52" s="194"/>
      <c r="L52" s="194"/>
      <c r="M52" s="194"/>
      <c r="N52" s="194"/>
      <c r="O52" s="194"/>
      <c r="P52" s="194"/>
      <c r="Q52" s="194"/>
      <c r="R52" s="194"/>
      <c r="S52" s="194"/>
      <c r="T52" s="195"/>
    </row>
    <row r="53" spans="2:20" s="2" customFormat="1" ht="30" customHeight="1" x14ac:dyDescent="0.25">
      <c r="B53" s="191" t="s">
        <v>75</v>
      </c>
      <c r="C53" s="191"/>
      <c r="D53" s="191"/>
      <c r="E53" s="191"/>
      <c r="F53" s="191"/>
      <c r="G53" s="191"/>
      <c r="H53" s="191"/>
      <c r="I53" s="191"/>
      <c r="J53" s="191"/>
      <c r="K53" s="191"/>
      <c r="L53" s="246" t="s">
        <v>139</v>
      </c>
      <c r="M53" s="190"/>
      <c r="N53" s="247"/>
      <c r="O53" s="246" t="s">
        <v>140</v>
      </c>
      <c r="P53" s="190"/>
      <c r="Q53" s="247"/>
      <c r="R53" s="246" t="s">
        <v>141</v>
      </c>
      <c r="S53" s="190"/>
      <c r="T53" s="247"/>
    </row>
    <row r="54" spans="2:20" s="2" customFormat="1" ht="17.399999999999999" x14ac:dyDescent="0.3">
      <c r="B54" s="205" t="s">
        <v>63</v>
      </c>
      <c r="C54" s="206"/>
      <c r="D54" s="206"/>
      <c r="E54" s="206"/>
      <c r="F54" s="206"/>
      <c r="G54" s="206"/>
      <c r="H54" s="206"/>
      <c r="I54" s="206"/>
      <c r="J54" s="206"/>
      <c r="K54" s="206"/>
      <c r="L54" s="248"/>
      <c r="M54" s="191"/>
      <c r="N54" s="249"/>
      <c r="O54" s="248"/>
      <c r="P54" s="191"/>
      <c r="Q54" s="249"/>
      <c r="R54" s="248"/>
      <c r="S54" s="191"/>
      <c r="T54" s="249"/>
    </row>
    <row r="55" spans="2:20" s="2" customFormat="1" x14ac:dyDescent="0.25">
      <c r="B55" s="32"/>
      <c r="C55" s="33"/>
      <c r="D55" s="33"/>
      <c r="E55" s="33"/>
      <c r="F55" s="33"/>
      <c r="G55" s="33"/>
      <c r="H55" s="33"/>
      <c r="I55" s="33"/>
      <c r="J55" s="33"/>
      <c r="K55" s="33"/>
      <c r="L55" s="161"/>
      <c r="M55" s="33"/>
      <c r="N55" s="176"/>
      <c r="O55" s="161"/>
      <c r="P55" s="33"/>
      <c r="Q55" s="176"/>
      <c r="R55" s="161"/>
      <c r="S55" s="33"/>
      <c r="T55" s="176"/>
    </row>
    <row r="56" spans="2:20" s="2" customFormat="1" x14ac:dyDescent="0.25">
      <c r="B56" s="44" t="s">
        <v>52</v>
      </c>
      <c r="L56" s="153"/>
      <c r="N56" s="177"/>
      <c r="O56" s="153"/>
      <c r="Q56" s="177"/>
      <c r="R56" s="153"/>
      <c r="T56" s="177"/>
    </row>
    <row r="57" spans="2:20" s="2" customFormat="1" ht="15" customHeight="1" x14ac:dyDescent="0.25">
      <c r="B57" s="198" t="s">
        <v>72</v>
      </c>
      <c r="C57" s="199"/>
      <c r="D57" s="199"/>
      <c r="E57" s="199"/>
      <c r="G57" s="200" t="s">
        <v>53</v>
      </c>
      <c r="H57" s="200"/>
      <c r="I57" s="200"/>
      <c r="J57" s="2" t="s">
        <v>54</v>
      </c>
      <c r="L57" s="162"/>
      <c r="M57" s="3" t="s">
        <v>73</v>
      </c>
      <c r="N57" s="163" t="e">
        <f>+L57/L58</f>
        <v>#DIV/0!</v>
      </c>
      <c r="O57" s="162"/>
      <c r="P57" s="3" t="s">
        <v>73</v>
      </c>
      <c r="Q57" s="163" t="e">
        <f>+O57/O58</f>
        <v>#DIV/0!</v>
      </c>
      <c r="R57" s="162"/>
      <c r="S57" s="3" t="s">
        <v>73</v>
      </c>
      <c r="T57" s="163" t="e">
        <f>+R57/R58</f>
        <v>#DIV/0!</v>
      </c>
    </row>
    <row r="58" spans="2:20" s="2" customFormat="1" x14ac:dyDescent="0.25">
      <c r="B58" s="198"/>
      <c r="C58" s="199"/>
      <c r="D58" s="199"/>
      <c r="E58" s="199"/>
      <c r="H58" s="3" t="s">
        <v>195</v>
      </c>
      <c r="I58" s="3"/>
      <c r="L58" s="164"/>
      <c r="M58" s="3"/>
      <c r="N58" s="165"/>
      <c r="O58" s="164"/>
      <c r="P58" s="3"/>
      <c r="Q58" s="165"/>
      <c r="R58" s="164"/>
      <c r="S58" s="3"/>
      <c r="T58" s="165"/>
    </row>
    <row r="59" spans="2:20" s="2" customFormat="1" x14ac:dyDescent="0.25">
      <c r="B59" s="198"/>
      <c r="C59" s="199"/>
      <c r="D59" s="199"/>
      <c r="E59" s="199"/>
      <c r="L59" s="166"/>
      <c r="M59" s="3"/>
      <c r="N59" s="165"/>
      <c r="O59" s="166"/>
      <c r="P59" s="3"/>
      <c r="Q59" s="165"/>
      <c r="R59" s="166"/>
      <c r="S59" s="3"/>
      <c r="T59" s="165"/>
    </row>
    <row r="60" spans="2:20" s="2" customFormat="1" x14ac:dyDescent="0.25">
      <c r="B60" s="7"/>
      <c r="L60" s="166"/>
      <c r="M60" s="3"/>
      <c r="N60" s="165"/>
      <c r="O60" s="166"/>
      <c r="P60" s="3"/>
      <c r="Q60" s="165"/>
      <c r="R60" s="166"/>
      <c r="S60" s="3"/>
      <c r="T60" s="165"/>
    </row>
    <row r="61" spans="2:20" s="2" customFormat="1" x14ac:dyDescent="0.25">
      <c r="B61" s="44" t="s">
        <v>55</v>
      </c>
      <c r="L61" s="166"/>
      <c r="M61" s="3"/>
      <c r="N61" s="165"/>
      <c r="O61" s="166"/>
      <c r="P61" s="3"/>
      <c r="Q61" s="165"/>
      <c r="R61" s="166"/>
      <c r="S61" s="3"/>
      <c r="T61" s="165"/>
    </row>
    <row r="62" spans="2:20" s="2" customFormat="1" x14ac:dyDescent="0.25">
      <c r="B62" s="211" t="s">
        <v>135</v>
      </c>
      <c r="C62" s="212"/>
      <c r="D62" s="212"/>
      <c r="E62" s="212"/>
      <c r="G62" s="200" t="s">
        <v>56</v>
      </c>
      <c r="H62" s="200"/>
      <c r="I62" s="200"/>
      <c r="J62" s="2" t="s">
        <v>54</v>
      </c>
      <c r="L62" s="162"/>
      <c r="M62" s="3" t="s">
        <v>73</v>
      </c>
      <c r="N62" s="163" t="e">
        <f>+L62/L63</f>
        <v>#DIV/0!</v>
      </c>
      <c r="O62" s="162"/>
      <c r="P62" s="3" t="s">
        <v>73</v>
      </c>
      <c r="Q62" s="163" t="e">
        <f>+O62/O63</f>
        <v>#DIV/0!</v>
      </c>
      <c r="R62" s="162"/>
      <c r="S62" s="3" t="s">
        <v>73</v>
      </c>
      <c r="T62" s="163" t="e">
        <f>+R62/R63</f>
        <v>#DIV/0!</v>
      </c>
    </row>
    <row r="63" spans="2:20" s="2" customFormat="1" x14ac:dyDescent="0.25">
      <c r="B63" s="211"/>
      <c r="C63" s="212"/>
      <c r="D63" s="212"/>
      <c r="E63" s="212"/>
      <c r="G63" s="210" t="s">
        <v>195</v>
      </c>
      <c r="H63" s="210"/>
      <c r="I63" s="210"/>
      <c r="L63" s="164"/>
      <c r="M63" s="3"/>
      <c r="N63" s="165"/>
      <c r="O63" s="164"/>
      <c r="P63" s="3"/>
      <c r="Q63" s="165"/>
      <c r="R63" s="164"/>
      <c r="S63" s="3"/>
      <c r="T63" s="165"/>
    </row>
    <row r="64" spans="2:20" s="2" customFormat="1" x14ac:dyDescent="0.25">
      <c r="B64" s="211"/>
      <c r="C64" s="212"/>
      <c r="D64" s="212"/>
      <c r="E64" s="212"/>
      <c r="L64" s="153"/>
      <c r="N64" s="165"/>
      <c r="O64" s="153"/>
      <c r="Q64" s="165"/>
      <c r="R64" s="153"/>
      <c r="T64" s="165"/>
    </row>
    <row r="65" spans="2:20" s="2" customFormat="1" x14ac:dyDescent="0.25">
      <c r="B65" s="7"/>
      <c r="L65" s="153"/>
      <c r="N65" s="165"/>
      <c r="O65" s="153"/>
      <c r="Q65" s="165"/>
      <c r="R65" s="153"/>
      <c r="T65" s="165"/>
    </row>
    <row r="66" spans="2:20" s="2" customFormat="1" ht="29.25" customHeight="1" x14ac:dyDescent="0.25">
      <c r="B66" s="88" t="s">
        <v>69</v>
      </c>
      <c r="G66" s="192" t="s">
        <v>70</v>
      </c>
      <c r="H66" s="192"/>
      <c r="I66" s="192"/>
      <c r="J66" s="2" t="s">
        <v>54</v>
      </c>
      <c r="L66" s="167"/>
      <c r="M66" s="3" t="s">
        <v>73</v>
      </c>
      <c r="N66" s="163" t="e">
        <f>+L66/L67</f>
        <v>#DIV/0!</v>
      </c>
      <c r="O66" s="167"/>
      <c r="P66" s="3" t="s">
        <v>73</v>
      </c>
      <c r="Q66" s="163" t="e">
        <f>+O66/O67</f>
        <v>#DIV/0!</v>
      </c>
      <c r="R66" s="167"/>
      <c r="S66" s="3" t="s">
        <v>73</v>
      </c>
      <c r="T66" s="163" t="e">
        <f>+R66/R67</f>
        <v>#DIV/0!</v>
      </c>
    </row>
    <row r="67" spans="2:20" s="2" customFormat="1" x14ac:dyDescent="0.25">
      <c r="B67" s="7" t="s">
        <v>71</v>
      </c>
      <c r="G67" s="210" t="s">
        <v>3</v>
      </c>
      <c r="H67" s="210"/>
      <c r="I67" s="210"/>
      <c r="L67" s="168"/>
      <c r="N67" s="165"/>
      <c r="O67" s="168"/>
      <c r="Q67" s="165"/>
      <c r="R67" s="168"/>
      <c r="T67" s="165"/>
    </row>
    <row r="68" spans="2:20" s="2" customFormat="1" x14ac:dyDescent="0.25">
      <c r="B68" s="7"/>
      <c r="L68" s="153"/>
      <c r="N68" s="165"/>
      <c r="O68" s="153"/>
      <c r="Q68" s="165"/>
      <c r="R68" s="153"/>
      <c r="T68" s="165"/>
    </row>
    <row r="69" spans="2:20" s="2" customFormat="1" ht="39" customHeight="1" x14ac:dyDescent="0.25">
      <c r="B69" s="44" t="s">
        <v>64</v>
      </c>
      <c r="G69" s="192" t="s">
        <v>65</v>
      </c>
      <c r="H69" s="192"/>
      <c r="I69" s="192"/>
      <c r="J69" s="3" t="s">
        <v>66</v>
      </c>
      <c r="L69" s="169"/>
      <c r="M69" s="3" t="s">
        <v>73</v>
      </c>
      <c r="N69" s="163" t="e">
        <f>+L69/L70</f>
        <v>#DIV/0!</v>
      </c>
      <c r="O69" s="169"/>
      <c r="P69" s="3" t="s">
        <v>73</v>
      </c>
      <c r="Q69" s="163" t="e">
        <f>+O69/O70</f>
        <v>#DIV/0!</v>
      </c>
      <c r="R69" s="169"/>
      <c r="S69" s="3" t="s">
        <v>73</v>
      </c>
      <c r="T69" s="163" t="e">
        <f>+R69/R70</f>
        <v>#DIV/0!</v>
      </c>
    </row>
    <row r="70" spans="2:20" s="2" customFormat="1" x14ac:dyDescent="0.25">
      <c r="B70" s="201" t="s">
        <v>67</v>
      </c>
      <c r="C70" s="202"/>
      <c r="D70" s="202"/>
      <c r="E70" s="202"/>
      <c r="G70" s="210" t="s">
        <v>68</v>
      </c>
      <c r="H70" s="210"/>
      <c r="I70" s="210"/>
      <c r="L70" s="170"/>
      <c r="N70" s="165"/>
      <c r="O70" s="170"/>
      <c r="Q70" s="165"/>
      <c r="R70" s="170"/>
      <c r="T70" s="165"/>
    </row>
    <row r="71" spans="2:20" s="2" customFormat="1" x14ac:dyDescent="0.25">
      <c r="B71" s="201"/>
      <c r="C71" s="202"/>
      <c r="D71" s="202"/>
      <c r="E71" s="202"/>
      <c r="L71" s="153"/>
      <c r="N71" s="165"/>
      <c r="O71" s="153"/>
      <c r="Q71" s="165"/>
      <c r="R71" s="153"/>
      <c r="T71" s="165"/>
    </row>
    <row r="72" spans="2:20" s="2" customFormat="1" x14ac:dyDescent="0.25">
      <c r="B72" s="7"/>
      <c r="L72" s="153"/>
      <c r="N72" s="165"/>
      <c r="O72" s="153"/>
      <c r="Q72" s="165"/>
      <c r="R72" s="153"/>
      <c r="T72" s="165"/>
    </row>
    <row r="73" spans="2:20" s="2" customFormat="1" x14ac:dyDescent="0.25">
      <c r="B73" s="44" t="s">
        <v>183</v>
      </c>
      <c r="G73" s="200" t="s">
        <v>185</v>
      </c>
      <c r="H73" s="200"/>
      <c r="I73" s="200"/>
      <c r="J73" s="2" t="s">
        <v>66</v>
      </c>
      <c r="L73" s="167"/>
      <c r="M73" s="3" t="s">
        <v>73</v>
      </c>
      <c r="N73" s="163" t="e">
        <f>+L73/L74</f>
        <v>#DIV/0!</v>
      </c>
      <c r="O73" s="167"/>
      <c r="P73" s="3" t="s">
        <v>73</v>
      </c>
      <c r="Q73" s="163" t="e">
        <f>+O73/O74</f>
        <v>#DIV/0!</v>
      </c>
      <c r="R73" s="167"/>
      <c r="S73" s="3" t="s">
        <v>73</v>
      </c>
      <c r="T73" s="163" t="e">
        <f>+R73/R74</f>
        <v>#DIV/0!</v>
      </c>
    </row>
    <row r="74" spans="2:20" s="2" customFormat="1" x14ac:dyDescent="0.25">
      <c r="B74" s="201" t="s">
        <v>184</v>
      </c>
      <c r="C74" s="202"/>
      <c r="D74" s="202"/>
      <c r="E74" s="202"/>
      <c r="G74" s="210" t="s">
        <v>186</v>
      </c>
      <c r="H74" s="210"/>
      <c r="I74" s="210"/>
      <c r="L74" s="168"/>
      <c r="N74" s="165"/>
      <c r="O74" s="168"/>
      <c r="Q74" s="165"/>
      <c r="R74" s="168"/>
      <c r="T74" s="165"/>
    </row>
    <row r="75" spans="2:20" s="2" customFormat="1" x14ac:dyDescent="0.25">
      <c r="B75" s="203"/>
      <c r="C75" s="204"/>
      <c r="D75" s="204"/>
      <c r="E75" s="204"/>
      <c r="F75" s="77"/>
      <c r="G75" s="77"/>
      <c r="H75" s="77"/>
      <c r="I75" s="77"/>
      <c r="J75" s="77"/>
      <c r="K75" s="77"/>
      <c r="L75" s="169"/>
      <c r="M75" s="77"/>
      <c r="N75" s="178"/>
      <c r="O75" s="169"/>
      <c r="P75" s="77"/>
      <c r="Q75" s="178"/>
      <c r="R75" s="169"/>
      <c r="S75" s="77"/>
      <c r="T75" s="178"/>
    </row>
    <row r="76" spans="2:20" s="2" customFormat="1" x14ac:dyDescent="0.25">
      <c r="L76" s="153"/>
      <c r="N76" s="165"/>
      <c r="O76" s="153"/>
      <c r="Q76" s="165"/>
      <c r="R76" s="153"/>
      <c r="T76" s="165"/>
    </row>
    <row r="77" spans="2:20" s="2" customFormat="1" ht="17.399999999999999" x14ac:dyDescent="0.3">
      <c r="B77" s="208" t="s">
        <v>57</v>
      </c>
      <c r="C77" s="209"/>
      <c r="D77" s="209"/>
      <c r="E77" s="209"/>
      <c r="F77" s="209"/>
      <c r="G77" s="209"/>
      <c r="H77" s="209"/>
      <c r="I77" s="209"/>
      <c r="J77" s="209"/>
      <c r="K77" s="209"/>
      <c r="L77" s="161"/>
      <c r="M77" s="33"/>
      <c r="N77" s="179"/>
      <c r="O77" s="161"/>
      <c r="P77" s="33"/>
      <c r="Q77" s="179"/>
      <c r="R77" s="161"/>
      <c r="S77" s="33"/>
      <c r="T77" s="179"/>
    </row>
    <row r="78" spans="2:20" s="2" customFormat="1" x14ac:dyDescent="0.25">
      <c r="B78" s="7"/>
      <c r="L78" s="153"/>
      <c r="N78" s="165"/>
      <c r="O78" s="153"/>
      <c r="Q78" s="165"/>
      <c r="R78" s="153"/>
      <c r="T78" s="165"/>
    </row>
    <row r="79" spans="2:20" s="2" customFormat="1" x14ac:dyDescent="0.25">
      <c r="B79" s="44" t="s">
        <v>187</v>
      </c>
      <c r="L79" s="153"/>
      <c r="N79" s="165"/>
      <c r="O79" s="153"/>
      <c r="Q79" s="165"/>
      <c r="R79" s="153"/>
      <c r="T79" s="165"/>
    </row>
    <row r="80" spans="2:20" s="2" customFormat="1" x14ac:dyDescent="0.25">
      <c r="B80" s="201" t="s">
        <v>188</v>
      </c>
      <c r="C80" s="202"/>
      <c r="D80" s="202"/>
      <c r="E80" s="202"/>
      <c r="G80" s="200" t="s">
        <v>60</v>
      </c>
      <c r="H80" s="200"/>
      <c r="I80" s="200"/>
      <c r="J80" s="2" t="s">
        <v>61</v>
      </c>
      <c r="L80" s="169"/>
      <c r="M80" s="3" t="s">
        <v>73</v>
      </c>
      <c r="N80" s="181" t="e">
        <f>+L80/L81</f>
        <v>#DIV/0!</v>
      </c>
      <c r="O80" s="169"/>
      <c r="P80" s="3" t="s">
        <v>73</v>
      </c>
      <c r="Q80" s="181" t="e">
        <f>+O80/O81</f>
        <v>#DIV/0!</v>
      </c>
      <c r="R80" s="169"/>
      <c r="S80" s="3" t="s">
        <v>73</v>
      </c>
      <c r="T80" s="181" t="e">
        <f>+R80/R81</f>
        <v>#DIV/0!</v>
      </c>
    </row>
    <row r="81" spans="2:20" s="2" customFormat="1" x14ac:dyDescent="0.25">
      <c r="B81" s="201"/>
      <c r="C81" s="202"/>
      <c r="D81" s="202"/>
      <c r="E81" s="202"/>
      <c r="G81" s="213" t="s">
        <v>62</v>
      </c>
      <c r="H81" s="213"/>
      <c r="I81" s="213"/>
      <c r="L81" s="153"/>
      <c r="N81" s="165"/>
      <c r="O81" s="153"/>
      <c r="Q81" s="165"/>
      <c r="R81" s="153"/>
      <c r="T81" s="165"/>
    </row>
    <row r="82" spans="2:20" s="2" customFormat="1" x14ac:dyDescent="0.25">
      <c r="B82" s="7"/>
      <c r="L82" s="153"/>
      <c r="N82" s="165"/>
      <c r="O82" s="153"/>
      <c r="Q82" s="165"/>
      <c r="R82" s="153"/>
      <c r="T82" s="165"/>
    </row>
    <row r="83" spans="2:20" s="2" customFormat="1" x14ac:dyDescent="0.25">
      <c r="B83" s="7"/>
      <c r="L83" s="153"/>
      <c r="N83" s="165"/>
      <c r="O83" s="153"/>
      <c r="Q83" s="165"/>
      <c r="R83" s="153"/>
      <c r="T83" s="165"/>
    </row>
    <row r="84" spans="2:20" s="2" customFormat="1" x14ac:dyDescent="0.25">
      <c r="B84" s="44" t="s">
        <v>58</v>
      </c>
      <c r="L84" s="153"/>
      <c r="N84" s="165"/>
      <c r="O84" s="153"/>
      <c r="Q84" s="165"/>
      <c r="R84" s="153"/>
      <c r="T84" s="165"/>
    </row>
    <row r="85" spans="2:20" s="2" customFormat="1" ht="14.25" customHeight="1" x14ac:dyDescent="0.25">
      <c r="B85" s="201" t="s">
        <v>59</v>
      </c>
      <c r="C85" s="202"/>
      <c r="D85" s="202"/>
      <c r="E85" s="202"/>
      <c r="G85" s="200" t="s">
        <v>60</v>
      </c>
      <c r="H85" s="200"/>
      <c r="I85" s="200"/>
      <c r="J85" s="2" t="s">
        <v>61</v>
      </c>
      <c r="L85" s="171"/>
      <c r="M85" s="3" t="s">
        <v>73</v>
      </c>
      <c r="N85" s="172" t="e">
        <f>+L85/L86</f>
        <v>#DIV/0!</v>
      </c>
      <c r="O85" s="171"/>
      <c r="P85" s="3" t="s">
        <v>73</v>
      </c>
      <c r="Q85" s="172" t="e">
        <f>+O85/O86</f>
        <v>#DIV/0!</v>
      </c>
      <c r="R85" s="171"/>
      <c r="S85" s="3" t="s">
        <v>73</v>
      </c>
      <c r="T85" s="172" t="e">
        <f>+R85/R86</f>
        <v>#DIV/0!</v>
      </c>
    </row>
    <row r="86" spans="2:20" s="2" customFormat="1" x14ac:dyDescent="0.25">
      <c r="B86" s="203"/>
      <c r="C86" s="204"/>
      <c r="D86" s="204"/>
      <c r="E86" s="204"/>
      <c r="F86" s="77"/>
      <c r="G86" s="215" t="s">
        <v>81</v>
      </c>
      <c r="H86" s="215"/>
      <c r="I86" s="215"/>
      <c r="J86" s="77"/>
      <c r="K86" s="77"/>
      <c r="L86" s="171"/>
      <c r="M86" s="77"/>
      <c r="N86" s="178"/>
      <c r="O86" s="171"/>
      <c r="P86" s="77"/>
      <c r="Q86" s="178"/>
      <c r="R86" s="171"/>
      <c r="S86" s="77"/>
      <c r="T86" s="178"/>
    </row>
    <row r="87" spans="2:20" s="2" customFormat="1" x14ac:dyDescent="0.25">
      <c r="L87" s="153"/>
      <c r="N87" s="165"/>
      <c r="O87" s="153"/>
      <c r="Q87" s="165"/>
      <c r="R87" s="153"/>
      <c r="T87" s="165"/>
    </row>
    <row r="88" spans="2:20" s="2" customFormat="1" ht="17.399999999999999" x14ac:dyDescent="0.3">
      <c r="B88" s="90" t="s">
        <v>82</v>
      </c>
      <c r="C88" s="33"/>
      <c r="D88" s="33"/>
      <c r="E88" s="33"/>
      <c r="F88" s="33"/>
      <c r="G88" s="33"/>
      <c r="H88" s="33"/>
      <c r="I88" s="33"/>
      <c r="J88" s="33"/>
      <c r="K88" s="33"/>
      <c r="L88" s="161"/>
      <c r="M88" s="33"/>
      <c r="N88" s="179"/>
      <c r="O88" s="161"/>
      <c r="P88" s="33"/>
      <c r="Q88" s="179"/>
      <c r="R88" s="161"/>
      <c r="S88" s="33"/>
      <c r="T88" s="179"/>
    </row>
    <row r="89" spans="2:20" s="2" customFormat="1" x14ac:dyDescent="0.25">
      <c r="B89" s="7"/>
      <c r="L89" s="153"/>
      <c r="N89" s="165"/>
      <c r="O89" s="153"/>
      <c r="Q89" s="165"/>
      <c r="R89" s="153"/>
      <c r="T89" s="165"/>
    </row>
    <row r="90" spans="2:20" s="2" customFormat="1" x14ac:dyDescent="0.25">
      <c r="B90" s="44" t="s">
        <v>85</v>
      </c>
      <c r="G90" s="200" t="s">
        <v>86</v>
      </c>
      <c r="H90" s="200"/>
      <c r="I90" s="200"/>
      <c r="J90" s="2" t="s">
        <v>61</v>
      </c>
      <c r="L90" s="167"/>
      <c r="M90" s="3" t="s">
        <v>73</v>
      </c>
      <c r="N90" s="172" t="e">
        <f>+L90/L91</f>
        <v>#DIV/0!</v>
      </c>
      <c r="O90" s="167"/>
      <c r="P90" s="3" t="s">
        <v>73</v>
      </c>
      <c r="Q90" s="172" t="e">
        <f>+O90/O91</f>
        <v>#DIV/0!</v>
      </c>
      <c r="R90" s="167"/>
      <c r="S90" s="3" t="s">
        <v>73</v>
      </c>
      <c r="T90" s="172" t="e">
        <f>+R90/R91</f>
        <v>#DIV/0!</v>
      </c>
    </row>
    <row r="91" spans="2:20" s="2" customFormat="1" x14ac:dyDescent="0.25">
      <c r="B91" s="201" t="s">
        <v>92</v>
      </c>
      <c r="C91" s="202"/>
      <c r="D91" s="202"/>
      <c r="E91" s="202"/>
      <c r="G91" s="213" t="s">
        <v>79</v>
      </c>
      <c r="H91" s="213"/>
      <c r="I91" s="213"/>
      <c r="L91" s="170"/>
      <c r="N91" s="165"/>
      <c r="O91" s="170"/>
      <c r="Q91" s="165"/>
      <c r="R91" s="170"/>
      <c r="T91" s="165"/>
    </row>
    <row r="92" spans="2:20" s="2" customFormat="1" x14ac:dyDescent="0.25">
      <c r="B92" s="201"/>
      <c r="C92" s="202"/>
      <c r="D92" s="202"/>
      <c r="E92" s="202"/>
      <c r="L92" s="153"/>
      <c r="N92" s="165"/>
      <c r="O92" s="153"/>
      <c r="Q92" s="165"/>
      <c r="R92" s="153"/>
      <c r="T92" s="165"/>
    </row>
    <row r="93" spans="2:20" s="2" customFormat="1" x14ac:dyDescent="0.25">
      <c r="B93" s="7"/>
      <c r="L93" s="153"/>
      <c r="N93" s="165"/>
      <c r="O93" s="153"/>
      <c r="Q93" s="165"/>
      <c r="R93" s="153"/>
      <c r="T93" s="165"/>
    </row>
    <row r="94" spans="2:20" s="2" customFormat="1" x14ac:dyDescent="0.25">
      <c r="B94" s="44" t="s">
        <v>87</v>
      </c>
      <c r="G94" s="200" t="s">
        <v>88</v>
      </c>
      <c r="H94" s="200"/>
      <c r="I94" s="200"/>
      <c r="J94" s="2" t="s">
        <v>61</v>
      </c>
      <c r="L94" s="167"/>
      <c r="M94" s="3" t="s">
        <v>73</v>
      </c>
      <c r="N94" s="172" t="e">
        <f>+L94/L95</f>
        <v>#DIV/0!</v>
      </c>
      <c r="O94" s="167"/>
      <c r="P94" s="3" t="s">
        <v>73</v>
      </c>
      <c r="Q94" s="172" t="e">
        <f>+O94/O95</f>
        <v>#DIV/0!</v>
      </c>
      <c r="R94" s="167"/>
      <c r="S94" s="3" t="s">
        <v>73</v>
      </c>
      <c r="T94" s="172" t="e">
        <f>+R94/R95</f>
        <v>#DIV/0!</v>
      </c>
    </row>
    <row r="95" spans="2:20" s="2" customFormat="1" x14ac:dyDescent="0.25">
      <c r="B95" s="201" t="s">
        <v>93</v>
      </c>
      <c r="C95" s="202"/>
      <c r="D95" s="202"/>
      <c r="E95" s="202"/>
      <c r="G95" s="213" t="s">
        <v>79</v>
      </c>
      <c r="H95" s="213"/>
      <c r="I95" s="213"/>
      <c r="L95" s="170"/>
      <c r="N95" s="165"/>
      <c r="O95" s="170"/>
      <c r="Q95" s="165"/>
      <c r="R95" s="170"/>
      <c r="T95" s="165"/>
    </row>
    <row r="96" spans="2:20" s="2" customFormat="1" x14ac:dyDescent="0.25">
      <c r="B96" s="201"/>
      <c r="C96" s="202"/>
      <c r="D96" s="202"/>
      <c r="E96" s="202"/>
      <c r="L96" s="153"/>
      <c r="N96" s="165"/>
      <c r="O96" s="153"/>
      <c r="Q96" s="165"/>
      <c r="R96" s="153"/>
      <c r="T96" s="165"/>
    </row>
    <row r="97" spans="2:20" s="2" customFormat="1" x14ac:dyDescent="0.25">
      <c r="B97" s="7"/>
      <c r="L97" s="153"/>
      <c r="N97" s="165"/>
      <c r="O97" s="153"/>
      <c r="Q97" s="165"/>
      <c r="R97" s="153"/>
      <c r="T97" s="165"/>
    </row>
    <row r="98" spans="2:20" s="2" customFormat="1" x14ac:dyDescent="0.25">
      <c r="B98" s="44" t="s">
        <v>89</v>
      </c>
      <c r="G98" s="200" t="s">
        <v>88</v>
      </c>
      <c r="H98" s="200"/>
      <c r="I98" s="200"/>
      <c r="J98" s="2" t="s">
        <v>61</v>
      </c>
      <c r="L98" s="167"/>
      <c r="M98" s="3" t="s">
        <v>73</v>
      </c>
      <c r="N98" s="173" t="e">
        <f>+L98/L99</f>
        <v>#DIV/0!</v>
      </c>
      <c r="O98" s="167"/>
      <c r="P98" s="3" t="s">
        <v>73</v>
      </c>
      <c r="Q98" s="173" t="e">
        <f>+O98/O99</f>
        <v>#DIV/0!</v>
      </c>
      <c r="R98" s="167"/>
      <c r="S98" s="3" t="s">
        <v>73</v>
      </c>
      <c r="T98" s="173" t="e">
        <f>+R98/R99</f>
        <v>#DIV/0!</v>
      </c>
    </row>
    <row r="99" spans="2:20" s="2" customFormat="1" x14ac:dyDescent="0.25">
      <c r="B99" s="201" t="s">
        <v>94</v>
      </c>
      <c r="C99" s="202"/>
      <c r="D99" s="202"/>
      <c r="E99" s="202"/>
      <c r="G99" s="213" t="s">
        <v>90</v>
      </c>
      <c r="H99" s="213"/>
      <c r="I99" s="213"/>
      <c r="L99" s="168"/>
      <c r="N99" s="165"/>
      <c r="O99" s="168"/>
      <c r="Q99" s="165"/>
      <c r="R99" s="168"/>
      <c r="T99" s="165"/>
    </row>
    <row r="100" spans="2:20" s="2" customFormat="1" x14ac:dyDescent="0.25">
      <c r="B100" s="201"/>
      <c r="C100" s="202"/>
      <c r="D100" s="202"/>
      <c r="E100" s="202"/>
      <c r="L100" s="153"/>
      <c r="N100" s="165"/>
      <c r="O100" s="153"/>
      <c r="Q100" s="165"/>
      <c r="R100" s="153"/>
      <c r="T100" s="165"/>
    </row>
    <row r="101" spans="2:20" s="2" customFormat="1" x14ac:dyDescent="0.25">
      <c r="B101" s="7"/>
      <c r="L101" s="153"/>
      <c r="N101" s="165"/>
      <c r="O101" s="153"/>
      <c r="Q101" s="165"/>
      <c r="R101" s="153"/>
      <c r="T101" s="165"/>
    </row>
    <row r="102" spans="2:20" s="2" customFormat="1" x14ac:dyDescent="0.25">
      <c r="B102" s="44" t="s">
        <v>91</v>
      </c>
      <c r="G102" s="200" t="s">
        <v>88</v>
      </c>
      <c r="H102" s="200"/>
      <c r="I102" s="200"/>
      <c r="J102" s="2" t="s">
        <v>61</v>
      </c>
      <c r="L102" s="167"/>
      <c r="M102" s="3" t="s">
        <v>73</v>
      </c>
      <c r="N102" s="173" t="e">
        <f>+L102/L103</f>
        <v>#DIV/0!</v>
      </c>
      <c r="O102" s="167"/>
      <c r="P102" s="3" t="s">
        <v>73</v>
      </c>
      <c r="Q102" s="173" t="e">
        <f>+O102/O103</f>
        <v>#DIV/0!</v>
      </c>
      <c r="R102" s="167"/>
      <c r="S102" s="3" t="s">
        <v>73</v>
      </c>
      <c r="T102" s="173" t="e">
        <f>+R102/R103</f>
        <v>#DIV/0!</v>
      </c>
    </row>
    <row r="103" spans="2:20" s="2" customFormat="1" x14ac:dyDescent="0.25">
      <c r="B103" s="201" t="s">
        <v>95</v>
      </c>
      <c r="C103" s="202"/>
      <c r="D103" s="202"/>
      <c r="E103" s="202"/>
      <c r="F103" s="202"/>
      <c r="G103" s="213" t="s">
        <v>62</v>
      </c>
      <c r="H103" s="213"/>
      <c r="I103" s="213"/>
      <c r="L103" s="168"/>
      <c r="N103" s="177"/>
      <c r="O103" s="168"/>
      <c r="Q103" s="177"/>
      <c r="R103" s="168"/>
      <c r="T103" s="177"/>
    </row>
    <row r="104" spans="2:20" s="2" customFormat="1" ht="14.4" thickBot="1" x14ac:dyDescent="0.3">
      <c r="B104" s="203"/>
      <c r="C104" s="204"/>
      <c r="D104" s="204"/>
      <c r="E104" s="204"/>
      <c r="F104" s="204"/>
      <c r="G104" s="77"/>
      <c r="H104" s="77"/>
      <c r="I104" s="77"/>
      <c r="J104" s="77"/>
      <c r="K104" s="77"/>
      <c r="L104" s="174"/>
      <c r="M104" s="175"/>
      <c r="N104" s="180"/>
      <c r="O104" s="174"/>
      <c r="P104" s="175"/>
      <c r="Q104" s="180"/>
      <c r="R104" s="174"/>
      <c r="S104" s="175"/>
      <c r="T104" s="180"/>
    </row>
    <row r="106" spans="2:20" ht="16.2" thickBot="1" x14ac:dyDescent="0.35">
      <c r="D106" s="231" t="s">
        <v>180</v>
      </c>
      <c r="E106" s="231"/>
      <c r="F106" s="231"/>
      <c r="G106" s="231"/>
      <c r="H106" s="231"/>
      <c r="I106" s="231" t="s">
        <v>181</v>
      </c>
      <c r="J106" s="231"/>
      <c r="K106" s="231"/>
      <c r="L106" s="231"/>
      <c r="M106" s="231"/>
    </row>
    <row r="107" spans="2:20" ht="14.4" thickTop="1" x14ac:dyDescent="0.25">
      <c r="C107" s="232" t="s">
        <v>139</v>
      </c>
      <c r="D107" s="233"/>
      <c r="E107" s="233"/>
      <c r="F107" s="233"/>
      <c r="G107" s="233"/>
      <c r="H107" s="233"/>
      <c r="I107" s="245"/>
      <c r="J107" s="245"/>
      <c r="K107" s="245"/>
      <c r="L107" s="245"/>
      <c r="M107" s="245"/>
    </row>
    <row r="108" spans="2:20" x14ac:dyDescent="0.25">
      <c r="C108" s="232"/>
      <c r="D108" s="234"/>
      <c r="E108" s="234"/>
      <c r="F108" s="234"/>
      <c r="G108" s="234"/>
      <c r="H108" s="234"/>
      <c r="I108" s="235"/>
      <c r="J108" s="235"/>
      <c r="K108" s="235"/>
      <c r="L108" s="235"/>
      <c r="M108" s="235"/>
    </row>
    <row r="109" spans="2:20" x14ac:dyDescent="0.25">
      <c r="C109" s="232" t="s">
        <v>140</v>
      </c>
      <c r="D109" s="234"/>
      <c r="E109" s="234"/>
      <c r="F109" s="234"/>
      <c r="G109" s="234"/>
      <c r="H109" s="234"/>
      <c r="I109" s="235"/>
      <c r="J109" s="235"/>
      <c r="K109" s="235"/>
      <c r="L109" s="235"/>
      <c r="M109" s="235"/>
    </row>
    <row r="110" spans="2:20" x14ac:dyDescent="0.25">
      <c r="C110" s="232"/>
      <c r="D110" s="234"/>
      <c r="E110" s="234"/>
      <c r="F110" s="234"/>
      <c r="G110" s="234"/>
      <c r="H110" s="234"/>
      <c r="I110" s="235"/>
      <c r="J110" s="235"/>
      <c r="K110" s="235"/>
      <c r="L110" s="235"/>
      <c r="M110" s="235"/>
    </row>
    <row r="111" spans="2:20" x14ac:dyDescent="0.25">
      <c r="C111" s="232" t="s">
        <v>141</v>
      </c>
      <c r="D111" s="235"/>
      <c r="E111" s="235"/>
      <c r="F111" s="235"/>
      <c r="G111" s="235"/>
      <c r="H111" s="235"/>
      <c r="I111" s="235"/>
      <c r="J111" s="235"/>
      <c r="K111" s="235"/>
      <c r="L111" s="235"/>
      <c r="M111" s="235"/>
    </row>
    <row r="112" spans="2:20" x14ac:dyDescent="0.25">
      <c r="C112" s="232"/>
      <c r="D112" s="235"/>
      <c r="E112" s="235"/>
      <c r="F112" s="235"/>
      <c r="G112" s="235"/>
      <c r="H112" s="235"/>
      <c r="I112" s="235"/>
      <c r="J112" s="235"/>
      <c r="K112" s="235"/>
      <c r="L112" s="235"/>
      <c r="M112" s="235"/>
    </row>
    <row r="113" spans="2:14" x14ac:dyDescent="0.25">
      <c r="C113" s="232"/>
      <c r="D113" s="235"/>
      <c r="E113" s="235"/>
      <c r="F113" s="235"/>
      <c r="G113" s="235"/>
      <c r="H113" s="235"/>
      <c r="I113" s="235"/>
      <c r="J113" s="235"/>
      <c r="K113" s="235"/>
      <c r="L113" s="235"/>
      <c r="M113" s="235"/>
    </row>
    <row r="114" spans="2:14" x14ac:dyDescent="0.25">
      <c r="C114" s="232"/>
      <c r="D114" s="235"/>
      <c r="E114" s="235"/>
      <c r="F114" s="235"/>
      <c r="G114" s="235"/>
      <c r="H114" s="235"/>
      <c r="I114" s="235"/>
      <c r="J114" s="235"/>
      <c r="K114" s="235"/>
      <c r="L114" s="235"/>
      <c r="M114" s="235"/>
    </row>
    <row r="118" spans="2:14" x14ac:dyDescent="0.25">
      <c r="B118" s="191">
        <v>3</v>
      </c>
      <c r="C118" s="230" t="s">
        <v>189</v>
      </c>
      <c r="D118" s="230"/>
      <c r="E118" s="230"/>
      <c r="F118" s="230"/>
      <c r="G118" s="230"/>
      <c r="H118" s="230"/>
      <c r="I118" s="230"/>
      <c r="J118" s="230"/>
      <c r="K118" s="230"/>
      <c r="L118" s="230"/>
      <c r="M118" s="230"/>
      <c r="N118" s="230"/>
    </row>
    <row r="119" spans="2:14" x14ac:dyDescent="0.25">
      <c r="B119" s="191"/>
      <c r="C119" s="230"/>
      <c r="D119" s="230"/>
      <c r="E119" s="230"/>
      <c r="F119" s="230"/>
      <c r="G119" s="230"/>
      <c r="H119" s="230"/>
      <c r="I119" s="230"/>
      <c r="J119" s="230"/>
      <c r="K119" s="230"/>
      <c r="L119" s="230"/>
      <c r="M119" s="230"/>
      <c r="N119" s="230"/>
    </row>
    <row r="121" spans="2:14" ht="16.2" thickBot="1" x14ac:dyDescent="0.35">
      <c r="D121" s="231" t="s">
        <v>190</v>
      </c>
      <c r="E121" s="231"/>
      <c r="F121" s="231"/>
      <c r="G121" s="231"/>
      <c r="H121" s="231"/>
      <c r="I121" s="231" t="s">
        <v>191</v>
      </c>
      <c r="J121" s="231"/>
      <c r="K121" s="231"/>
      <c r="L121" s="231"/>
      <c r="M121" s="231"/>
    </row>
    <row r="122" spans="2:14" ht="15" customHeight="1" thickTop="1" x14ac:dyDescent="0.25">
      <c r="C122" s="232" t="s">
        <v>139</v>
      </c>
      <c r="D122" s="236"/>
      <c r="E122" s="237"/>
      <c r="F122" s="237"/>
      <c r="G122" s="237"/>
      <c r="H122" s="238"/>
      <c r="I122" s="236"/>
      <c r="J122" s="237"/>
      <c r="K122" s="237"/>
      <c r="L122" s="237"/>
      <c r="M122" s="238"/>
    </row>
    <row r="123" spans="2:14" x14ac:dyDescent="0.25">
      <c r="C123" s="232"/>
      <c r="D123" s="239"/>
      <c r="E123" s="240"/>
      <c r="F123" s="240"/>
      <c r="G123" s="240"/>
      <c r="H123" s="241"/>
      <c r="I123" s="239"/>
      <c r="J123" s="240"/>
      <c r="K123" s="240"/>
      <c r="L123" s="240"/>
      <c r="M123" s="241"/>
    </row>
    <row r="124" spans="2:14" x14ac:dyDescent="0.25">
      <c r="C124" s="232" t="s">
        <v>140</v>
      </c>
      <c r="D124" s="239"/>
      <c r="E124" s="240"/>
      <c r="F124" s="240"/>
      <c r="G124" s="240"/>
      <c r="H124" s="241"/>
      <c r="I124" s="239"/>
      <c r="J124" s="240"/>
      <c r="K124" s="240"/>
      <c r="L124" s="240"/>
      <c r="M124" s="241"/>
    </row>
    <row r="125" spans="2:14" x14ac:dyDescent="0.25">
      <c r="C125" s="232"/>
      <c r="D125" s="242"/>
      <c r="E125" s="243"/>
      <c r="F125" s="243"/>
      <c r="G125" s="243"/>
      <c r="H125" s="244"/>
      <c r="I125" s="242"/>
      <c r="J125" s="243"/>
      <c r="K125" s="243"/>
      <c r="L125" s="243"/>
      <c r="M125" s="244"/>
    </row>
    <row r="126" spans="2:14" ht="14.25" customHeight="1" x14ac:dyDescent="0.25">
      <c r="C126" s="232" t="s">
        <v>141</v>
      </c>
      <c r="D126" s="234"/>
      <c r="E126" s="234"/>
      <c r="F126" s="234"/>
      <c r="G126" s="234"/>
      <c r="H126" s="234"/>
      <c r="I126" s="234"/>
      <c r="J126" s="234"/>
      <c r="K126" s="234"/>
      <c r="L126" s="234"/>
      <c r="M126" s="234"/>
    </row>
    <row r="127" spans="2:14" x14ac:dyDescent="0.25">
      <c r="C127" s="232"/>
      <c r="D127" s="234"/>
      <c r="E127" s="234"/>
      <c r="F127" s="234"/>
      <c r="G127" s="234"/>
      <c r="H127" s="234"/>
      <c r="I127" s="234"/>
      <c r="J127" s="234"/>
      <c r="K127" s="234"/>
      <c r="L127" s="234"/>
      <c r="M127" s="234"/>
    </row>
    <row r="128" spans="2:14" x14ac:dyDescent="0.25">
      <c r="C128" s="232"/>
      <c r="D128" s="234"/>
      <c r="E128" s="234"/>
      <c r="F128" s="234"/>
      <c r="G128" s="234"/>
      <c r="H128" s="234"/>
      <c r="I128" s="234"/>
      <c r="J128" s="234"/>
      <c r="K128" s="234"/>
      <c r="L128" s="234"/>
      <c r="M128" s="234"/>
    </row>
    <row r="129" spans="2:14" x14ac:dyDescent="0.25">
      <c r="C129" s="232"/>
      <c r="D129" s="234"/>
      <c r="E129" s="234"/>
      <c r="F129" s="234"/>
      <c r="G129" s="234"/>
      <c r="H129" s="234"/>
      <c r="I129" s="234"/>
      <c r="J129" s="234"/>
      <c r="K129" s="234"/>
      <c r="L129" s="234"/>
      <c r="M129" s="234"/>
    </row>
    <row r="130" spans="2:14" x14ac:dyDescent="0.25">
      <c r="C130" s="232"/>
      <c r="D130" s="234"/>
      <c r="E130" s="234"/>
      <c r="F130" s="234"/>
      <c r="G130" s="234"/>
      <c r="H130" s="234"/>
      <c r="I130" s="234"/>
      <c r="J130" s="234"/>
      <c r="K130" s="234"/>
      <c r="L130" s="234"/>
      <c r="M130" s="234"/>
    </row>
    <row r="132" spans="2:14" x14ac:dyDescent="0.25">
      <c r="B132" s="191">
        <v>4</v>
      </c>
      <c r="C132" s="230" t="s">
        <v>192</v>
      </c>
      <c r="D132" s="230"/>
      <c r="E132" s="230"/>
      <c r="F132" s="230"/>
      <c r="G132" s="230"/>
      <c r="H132" s="230"/>
      <c r="I132" s="230"/>
      <c r="J132" s="230"/>
      <c r="K132" s="230"/>
      <c r="L132" s="230"/>
      <c r="M132" s="230"/>
      <c r="N132" s="230"/>
    </row>
    <row r="133" spans="2:14" x14ac:dyDescent="0.25">
      <c r="B133" s="191"/>
      <c r="C133" s="230"/>
      <c r="D133" s="230"/>
      <c r="E133" s="230"/>
      <c r="F133" s="230"/>
      <c r="G133" s="230"/>
      <c r="H133" s="230"/>
      <c r="I133" s="230"/>
      <c r="J133" s="230"/>
      <c r="K133" s="230"/>
      <c r="L133" s="230"/>
      <c r="M133" s="230"/>
      <c r="N133" s="230"/>
    </row>
    <row r="136" spans="2:14" ht="16.2" thickBot="1" x14ac:dyDescent="0.35">
      <c r="D136" s="231" t="s">
        <v>193</v>
      </c>
      <c r="E136" s="231"/>
      <c r="F136" s="231"/>
      <c r="G136" s="231"/>
      <c r="H136" s="231"/>
      <c r="I136" s="231" t="s">
        <v>194</v>
      </c>
      <c r="J136" s="231"/>
      <c r="K136" s="231"/>
      <c r="L136" s="231"/>
      <c r="M136" s="231"/>
    </row>
    <row r="137" spans="2:14" ht="14.4" thickTop="1" x14ac:dyDescent="0.25">
      <c r="C137" s="232" t="s">
        <v>139</v>
      </c>
      <c r="D137" s="233"/>
      <c r="E137" s="233"/>
      <c r="F137" s="233"/>
      <c r="G137" s="233"/>
      <c r="H137" s="233"/>
      <c r="I137" s="233"/>
      <c r="J137" s="233"/>
      <c r="K137" s="233"/>
      <c r="L137" s="233"/>
      <c r="M137" s="233"/>
    </row>
    <row r="138" spans="2:14" ht="112.5" customHeight="1" x14ac:dyDescent="0.25">
      <c r="C138" s="232"/>
      <c r="D138" s="234"/>
      <c r="E138" s="234"/>
      <c r="F138" s="234"/>
      <c r="G138" s="234"/>
      <c r="H138" s="234"/>
      <c r="I138" s="234"/>
      <c r="J138" s="234"/>
      <c r="K138" s="234"/>
      <c r="L138" s="234"/>
      <c r="M138" s="234"/>
    </row>
    <row r="139" spans="2:14" ht="39.75" customHeight="1" x14ac:dyDescent="0.25">
      <c r="C139" s="232" t="s">
        <v>140</v>
      </c>
      <c r="D139" s="234"/>
      <c r="E139" s="234"/>
      <c r="F139" s="234"/>
      <c r="G139" s="234"/>
      <c r="H139" s="234"/>
      <c r="I139" s="234"/>
      <c r="J139" s="234"/>
      <c r="K139" s="234"/>
      <c r="L139" s="234"/>
      <c r="M139" s="234"/>
    </row>
    <row r="140" spans="2:14" ht="30" customHeight="1" x14ac:dyDescent="0.25">
      <c r="C140" s="232"/>
      <c r="D140" s="234"/>
      <c r="E140" s="234"/>
      <c r="F140" s="234"/>
      <c r="G140" s="234"/>
      <c r="H140" s="234"/>
      <c r="I140" s="234"/>
      <c r="J140" s="234"/>
      <c r="K140" s="234"/>
      <c r="L140" s="234"/>
      <c r="M140" s="234"/>
    </row>
    <row r="141" spans="2:14" ht="36" customHeight="1" x14ac:dyDescent="0.25">
      <c r="C141" s="232" t="s">
        <v>141</v>
      </c>
      <c r="D141" s="235"/>
      <c r="E141" s="235"/>
      <c r="F141" s="235"/>
      <c r="G141" s="235"/>
      <c r="H141" s="235"/>
      <c r="I141" s="235"/>
      <c r="J141" s="235"/>
      <c r="K141" s="235"/>
      <c r="L141" s="235"/>
      <c r="M141" s="235"/>
    </row>
    <row r="142" spans="2:14" ht="51.75" customHeight="1" x14ac:dyDescent="0.25">
      <c r="C142" s="232"/>
      <c r="D142" s="235"/>
      <c r="E142" s="235"/>
      <c r="F142" s="235"/>
      <c r="G142" s="235"/>
      <c r="H142" s="235"/>
      <c r="I142" s="235"/>
      <c r="J142" s="235"/>
      <c r="K142" s="235"/>
      <c r="L142" s="235"/>
      <c r="M142" s="235"/>
    </row>
  </sheetData>
  <mergeCells count="99">
    <mergeCell ref="I21:K21"/>
    <mergeCell ref="I28:K28"/>
    <mergeCell ref="I23:K23"/>
    <mergeCell ref="B2:B3"/>
    <mergeCell ref="B6:B7"/>
    <mergeCell ref="B9:B10"/>
    <mergeCell ref="C2:N4"/>
    <mergeCell ref="C6:N7"/>
    <mergeCell ref="C9:N10"/>
    <mergeCell ref="B12:B13"/>
    <mergeCell ref="I19:K19"/>
    <mergeCell ref="I20:K20"/>
    <mergeCell ref="B49:B50"/>
    <mergeCell ref="B53:K53"/>
    <mergeCell ref="C49:T50"/>
    <mergeCell ref="I30:K30"/>
    <mergeCell ref="I25:K26"/>
    <mergeCell ref="L25:L26"/>
    <mergeCell ref="M25:M26"/>
    <mergeCell ref="N25:N26"/>
    <mergeCell ref="I22:K22"/>
    <mergeCell ref="C12:N13"/>
    <mergeCell ref="I24:K24"/>
    <mergeCell ref="I27:K27"/>
    <mergeCell ref="I29:K29"/>
    <mergeCell ref="L53:N54"/>
    <mergeCell ref="B54:K54"/>
    <mergeCell ref="O53:Q54"/>
    <mergeCell ref="R53:T54"/>
    <mergeCell ref="B52:T52"/>
    <mergeCell ref="G66:I66"/>
    <mergeCell ref="G67:I67"/>
    <mergeCell ref="G69:I69"/>
    <mergeCell ref="B70:E71"/>
    <mergeCell ref="G70:I70"/>
    <mergeCell ref="B57:E59"/>
    <mergeCell ref="G57:I57"/>
    <mergeCell ref="B62:E64"/>
    <mergeCell ref="G62:I62"/>
    <mergeCell ref="G63:I63"/>
    <mergeCell ref="G73:I73"/>
    <mergeCell ref="B74:E75"/>
    <mergeCell ref="G74:I74"/>
    <mergeCell ref="B77:K77"/>
    <mergeCell ref="B85:E86"/>
    <mergeCell ref="G85:I85"/>
    <mergeCell ref="G86:I86"/>
    <mergeCell ref="B80:E81"/>
    <mergeCell ref="G81:I81"/>
    <mergeCell ref="G80:I80"/>
    <mergeCell ref="G98:I98"/>
    <mergeCell ref="B99:E100"/>
    <mergeCell ref="G99:I99"/>
    <mergeCell ref="G102:I102"/>
    <mergeCell ref="B103:F104"/>
    <mergeCell ref="G103:I103"/>
    <mergeCell ref="G90:I90"/>
    <mergeCell ref="B91:E92"/>
    <mergeCell ref="G91:I91"/>
    <mergeCell ref="G94:I94"/>
    <mergeCell ref="B95:E96"/>
    <mergeCell ref="G95:I95"/>
    <mergeCell ref="C111:C114"/>
    <mergeCell ref="D111:H112"/>
    <mergeCell ref="I111:M112"/>
    <mergeCell ref="D113:H114"/>
    <mergeCell ref="I113:M114"/>
    <mergeCell ref="C109:C110"/>
    <mergeCell ref="D109:H110"/>
    <mergeCell ref="I109:M110"/>
    <mergeCell ref="D106:H106"/>
    <mergeCell ref="I106:M106"/>
    <mergeCell ref="C107:C108"/>
    <mergeCell ref="D107:H108"/>
    <mergeCell ref="I107:M108"/>
    <mergeCell ref="C124:C125"/>
    <mergeCell ref="D122:H125"/>
    <mergeCell ref="I122:M125"/>
    <mergeCell ref="D126:H130"/>
    <mergeCell ref="C126:C130"/>
    <mergeCell ref="I126:M130"/>
    <mergeCell ref="B118:B119"/>
    <mergeCell ref="C118:N119"/>
    <mergeCell ref="D121:H121"/>
    <mergeCell ref="I121:M121"/>
    <mergeCell ref="C122:C123"/>
    <mergeCell ref="C139:C140"/>
    <mergeCell ref="D139:H140"/>
    <mergeCell ref="I139:M140"/>
    <mergeCell ref="C141:C142"/>
    <mergeCell ref="D141:H142"/>
    <mergeCell ref="I141:M142"/>
    <mergeCell ref="B132:B133"/>
    <mergeCell ref="C132:N133"/>
    <mergeCell ref="D136:H136"/>
    <mergeCell ref="I136:M136"/>
    <mergeCell ref="C137:C138"/>
    <mergeCell ref="D137:H138"/>
    <mergeCell ref="I137:M138"/>
  </mergeCells>
  <pageMargins left="0.7" right="0.7" top="0.75" bottom="0.75" header="0.3" footer="0.3"/>
  <pageSetup scale="6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199C-91D9-417A-AF12-4BCC62A0A9C9}">
  <sheetPr>
    <tabColor rgb="FFCCFFFF"/>
    <pageSetUpPr fitToPage="1"/>
  </sheetPr>
  <dimension ref="B2:N52"/>
  <sheetViews>
    <sheetView topLeftCell="A69" workbookViewId="0">
      <selection activeCell="E73" sqref="E73"/>
    </sheetView>
  </sheetViews>
  <sheetFormatPr baseColWidth="10" defaultColWidth="11.44140625" defaultRowHeight="13.8" x14ac:dyDescent="0.25"/>
  <cols>
    <col min="1" max="1" width="11.44140625" style="93"/>
    <col min="2" max="2" width="3.88671875" style="93" customWidth="1"/>
    <col min="3" max="6" width="11.44140625" style="93"/>
    <col min="7" max="7" width="14.109375" style="93" customWidth="1"/>
    <col min="8" max="8" width="16.5546875" style="93" customWidth="1"/>
    <col min="9" max="9" width="19.5546875" style="93" customWidth="1"/>
    <col min="10" max="10" width="11.44140625" style="93"/>
    <col min="11" max="11" width="18.44140625" style="93" customWidth="1"/>
    <col min="12" max="16384" width="11.44140625" style="93"/>
  </cols>
  <sheetData>
    <row r="2" spans="2:14" ht="14.25" customHeight="1" x14ac:dyDescent="0.25">
      <c r="B2" s="267">
        <v>2</v>
      </c>
      <c r="C2" s="270" t="s">
        <v>96</v>
      </c>
      <c r="D2" s="270"/>
      <c r="E2" s="270"/>
      <c r="F2" s="270"/>
      <c r="G2" s="270"/>
      <c r="H2" s="270"/>
      <c r="I2" s="270"/>
      <c r="J2" s="270"/>
      <c r="K2" s="270"/>
      <c r="L2" s="113"/>
      <c r="M2" s="113"/>
      <c r="N2" s="113"/>
    </row>
    <row r="3" spans="2:14" x14ac:dyDescent="0.25">
      <c r="B3" s="267"/>
      <c r="C3" s="270"/>
      <c r="D3" s="270"/>
      <c r="E3" s="270"/>
      <c r="F3" s="270"/>
      <c r="G3" s="270"/>
      <c r="H3" s="270"/>
      <c r="I3" s="270"/>
      <c r="J3" s="270"/>
      <c r="K3" s="270"/>
      <c r="L3" s="113"/>
      <c r="M3" s="113"/>
      <c r="N3" s="113"/>
    </row>
    <row r="4" spans="2:14" x14ac:dyDescent="0.25">
      <c r="B4" s="267"/>
      <c r="C4" s="270"/>
      <c r="D4" s="270"/>
      <c r="E4" s="270"/>
      <c r="F4" s="270"/>
      <c r="G4" s="270"/>
      <c r="H4" s="270"/>
      <c r="I4" s="270"/>
      <c r="J4" s="270"/>
      <c r="K4" s="270"/>
      <c r="L4" s="113"/>
      <c r="M4" s="113"/>
      <c r="N4" s="113"/>
    </row>
    <row r="5" spans="2:14" x14ac:dyDescent="0.25">
      <c r="B5" s="267"/>
      <c r="C5" s="270"/>
      <c r="D5" s="270"/>
      <c r="E5" s="270"/>
      <c r="F5" s="270"/>
      <c r="G5" s="270"/>
      <c r="H5" s="270"/>
      <c r="I5" s="270"/>
      <c r="J5" s="270"/>
      <c r="K5" s="270"/>
      <c r="L5" s="113"/>
      <c r="M5" s="113"/>
      <c r="N5" s="113"/>
    </row>
    <row r="6" spans="2:14" x14ac:dyDescent="0.25">
      <c r="B6" s="110"/>
      <c r="C6" s="94"/>
      <c r="D6" s="94"/>
      <c r="E6" s="94"/>
      <c r="F6" s="94"/>
      <c r="G6" s="94"/>
      <c r="H6" s="94"/>
      <c r="I6" s="94"/>
      <c r="J6" s="94"/>
      <c r="K6" s="94"/>
      <c r="L6" s="94"/>
      <c r="M6" s="94"/>
      <c r="N6" s="94"/>
    </row>
    <row r="7" spans="2:14" ht="15" customHeight="1" x14ac:dyDescent="0.25">
      <c r="C7" s="269" t="s">
        <v>104</v>
      </c>
      <c r="D7" s="269"/>
      <c r="E7" s="269"/>
      <c r="F7" s="269" t="s">
        <v>0</v>
      </c>
      <c r="G7" s="269" t="s">
        <v>1</v>
      </c>
      <c r="H7" s="268" t="s">
        <v>105</v>
      </c>
      <c r="I7" s="268" t="s">
        <v>106</v>
      </c>
    </row>
    <row r="8" spans="2:14" ht="27" customHeight="1" x14ac:dyDescent="0.25">
      <c r="C8" s="269"/>
      <c r="D8" s="269"/>
      <c r="E8" s="269"/>
      <c r="F8" s="269"/>
      <c r="G8" s="269"/>
      <c r="H8" s="268"/>
      <c r="I8" s="268"/>
    </row>
    <row r="9" spans="2:14" x14ac:dyDescent="0.25">
      <c r="C9" s="264" t="s">
        <v>97</v>
      </c>
      <c r="D9" s="264"/>
      <c r="E9" s="264"/>
      <c r="F9" s="109" t="s">
        <v>107</v>
      </c>
      <c r="G9" s="109" t="s">
        <v>108</v>
      </c>
      <c r="H9" s="109" t="s">
        <v>109</v>
      </c>
      <c r="I9" s="109" t="s">
        <v>110</v>
      </c>
    </row>
    <row r="10" spans="2:14" x14ac:dyDescent="0.25">
      <c r="C10" s="264" t="s">
        <v>98</v>
      </c>
      <c r="D10" s="264"/>
      <c r="E10" s="264"/>
      <c r="F10" s="111">
        <v>0.57999999999999996</v>
      </c>
      <c r="G10" s="111">
        <v>0.52</v>
      </c>
      <c r="H10" s="111">
        <v>0.5</v>
      </c>
      <c r="I10" s="111">
        <v>0.53</v>
      </c>
    </row>
    <row r="11" spans="2:14" x14ac:dyDescent="0.25">
      <c r="C11" s="264" t="s">
        <v>87</v>
      </c>
      <c r="D11" s="264"/>
      <c r="E11" s="264"/>
      <c r="F11" s="111">
        <v>0.1</v>
      </c>
      <c r="G11" s="111">
        <v>0.08</v>
      </c>
      <c r="H11" s="111">
        <v>0.12</v>
      </c>
      <c r="I11" s="111">
        <v>0.14000000000000001</v>
      </c>
    </row>
    <row r="12" spans="2:14" x14ac:dyDescent="0.25">
      <c r="C12" s="264" t="s">
        <v>99</v>
      </c>
      <c r="D12" s="264"/>
      <c r="E12" s="264"/>
      <c r="F12" s="109" t="s">
        <v>111</v>
      </c>
      <c r="G12" s="109" t="s">
        <v>112</v>
      </c>
      <c r="H12" s="109" t="s">
        <v>113</v>
      </c>
      <c r="I12" s="109" t="s">
        <v>113</v>
      </c>
    </row>
    <row r="13" spans="2:14" x14ac:dyDescent="0.25">
      <c r="C13" s="264" t="s">
        <v>100</v>
      </c>
      <c r="D13" s="264"/>
      <c r="E13" s="264"/>
      <c r="F13" s="112">
        <v>0.63349999999999995</v>
      </c>
      <c r="G13" s="112">
        <v>0.53449999999999998</v>
      </c>
      <c r="H13" s="111">
        <v>0.5</v>
      </c>
      <c r="I13" s="111">
        <v>0.45</v>
      </c>
    </row>
    <row r="14" spans="2:14" x14ac:dyDescent="0.25">
      <c r="C14" s="264" t="s">
        <v>122</v>
      </c>
      <c r="D14" s="264"/>
      <c r="E14" s="264"/>
      <c r="F14" s="109" t="s">
        <v>114</v>
      </c>
      <c r="G14" s="109" t="s">
        <v>115</v>
      </c>
      <c r="H14" s="109" t="s">
        <v>116</v>
      </c>
      <c r="I14" s="109" t="s">
        <v>117</v>
      </c>
    </row>
    <row r="15" spans="2:14" x14ac:dyDescent="0.25">
      <c r="C15" s="264" t="s">
        <v>123</v>
      </c>
      <c r="D15" s="264"/>
      <c r="E15" s="264"/>
      <c r="F15" s="111">
        <v>0.09</v>
      </c>
      <c r="G15" s="111">
        <v>0.11</v>
      </c>
      <c r="H15" s="111">
        <v>0.15</v>
      </c>
      <c r="I15" s="111">
        <v>0.18</v>
      </c>
    </row>
    <row r="16" spans="2:14" x14ac:dyDescent="0.25">
      <c r="C16" s="264" t="s">
        <v>124</v>
      </c>
      <c r="D16" s="264"/>
      <c r="E16" s="264"/>
      <c r="F16" s="109" t="s">
        <v>118</v>
      </c>
      <c r="G16" s="109" t="s">
        <v>119</v>
      </c>
      <c r="H16" s="109" t="s">
        <v>120</v>
      </c>
      <c r="I16" s="109" t="s">
        <v>121</v>
      </c>
    </row>
    <row r="17" spans="2:11" x14ac:dyDescent="0.25">
      <c r="C17" s="264" t="s">
        <v>101</v>
      </c>
      <c r="D17" s="264"/>
      <c r="E17" s="264"/>
      <c r="F17" s="109" t="s">
        <v>125</v>
      </c>
      <c r="G17" s="109" t="s">
        <v>126</v>
      </c>
      <c r="H17" s="109" t="s">
        <v>127</v>
      </c>
      <c r="I17" s="109" t="s">
        <v>128</v>
      </c>
    </row>
    <row r="18" spans="2:11" x14ac:dyDescent="0.25">
      <c r="C18" s="264" t="s">
        <v>85</v>
      </c>
      <c r="D18" s="264"/>
      <c r="E18" s="264"/>
      <c r="F18" s="111">
        <v>0.41</v>
      </c>
      <c r="G18" s="111">
        <v>0.43</v>
      </c>
      <c r="H18" s="111">
        <v>0.5</v>
      </c>
      <c r="I18" s="111">
        <v>0.5</v>
      </c>
    </row>
    <row r="19" spans="2:11" x14ac:dyDescent="0.25">
      <c r="C19" s="264" t="s">
        <v>102</v>
      </c>
      <c r="D19" s="264"/>
      <c r="E19" s="264"/>
      <c r="F19" s="109" t="s">
        <v>129</v>
      </c>
      <c r="G19" s="109" t="s">
        <v>130</v>
      </c>
      <c r="H19" s="109" t="s">
        <v>114</v>
      </c>
      <c r="I19" s="109" t="s">
        <v>114</v>
      </c>
    </row>
    <row r="20" spans="2:11" x14ac:dyDescent="0.25">
      <c r="C20" s="264" t="s">
        <v>103</v>
      </c>
      <c r="D20" s="264"/>
      <c r="E20" s="264"/>
      <c r="F20" s="111">
        <v>0.03</v>
      </c>
      <c r="G20" s="112">
        <v>3.1E-2</v>
      </c>
      <c r="H20" s="111">
        <v>0.04</v>
      </c>
      <c r="I20" s="111">
        <v>0.05</v>
      </c>
    </row>
    <row r="23" spans="2:11" x14ac:dyDescent="0.25">
      <c r="B23" s="250" t="s">
        <v>131</v>
      </c>
      <c r="C23" s="272" t="s">
        <v>132</v>
      </c>
      <c r="D23" s="272"/>
      <c r="E23" s="272"/>
      <c r="F23" s="272"/>
      <c r="G23" s="272"/>
      <c r="H23" s="272"/>
      <c r="I23" s="272"/>
      <c r="J23" s="272"/>
      <c r="K23" s="272"/>
    </row>
    <row r="24" spans="2:11" x14ac:dyDescent="0.25">
      <c r="B24" s="250"/>
      <c r="C24" s="272"/>
      <c r="D24" s="272"/>
      <c r="E24" s="272"/>
      <c r="F24" s="272"/>
      <c r="G24" s="272"/>
      <c r="H24" s="272"/>
      <c r="I24" s="272"/>
      <c r="J24" s="272"/>
      <c r="K24" s="272"/>
    </row>
    <row r="26" spans="2:11" x14ac:dyDescent="0.25">
      <c r="C26" s="276" t="s">
        <v>104</v>
      </c>
      <c r="D26" s="276"/>
      <c r="E26" s="276"/>
      <c r="F26" s="276" t="s">
        <v>133</v>
      </c>
      <c r="G26" s="276"/>
      <c r="H26" s="276"/>
      <c r="I26" s="276" t="s">
        <v>134</v>
      </c>
      <c r="J26" s="276"/>
      <c r="K26" s="276"/>
    </row>
    <row r="27" spans="2:11" x14ac:dyDescent="0.25">
      <c r="C27" s="276"/>
      <c r="D27" s="276"/>
      <c r="E27" s="276"/>
      <c r="F27" s="276"/>
      <c r="G27" s="276"/>
      <c r="H27" s="276"/>
      <c r="I27" s="276"/>
      <c r="J27" s="276"/>
      <c r="K27" s="276"/>
    </row>
    <row r="28" spans="2:11" ht="74.25" customHeight="1" x14ac:dyDescent="0.25">
      <c r="C28" s="275" t="s">
        <v>97</v>
      </c>
      <c r="D28" s="275"/>
      <c r="E28" s="275"/>
      <c r="F28" s="273"/>
      <c r="G28" s="273"/>
      <c r="H28" s="273"/>
      <c r="I28" s="271"/>
      <c r="J28" s="271"/>
      <c r="K28" s="271"/>
    </row>
    <row r="29" spans="2:11" ht="49.5" customHeight="1" x14ac:dyDescent="0.25">
      <c r="C29" s="275" t="s">
        <v>98</v>
      </c>
      <c r="D29" s="275"/>
      <c r="E29" s="275"/>
      <c r="F29" s="271"/>
      <c r="G29" s="271"/>
      <c r="H29" s="271"/>
      <c r="I29" s="274"/>
      <c r="J29" s="274"/>
      <c r="K29" s="274"/>
    </row>
    <row r="30" spans="2:11" ht="75.75" customHeight="1" x14ac:dyDescent="0.25">
      <c r="C30" s="275" t="s">
        <v>87</v>
      </c>
      <c r="D30" s="275"/>
      <c r="E30" s="275"/>
      <c r="F30" s="278"/>
      <c r="G30" s="278"/>
      <c r="H30" s="278"/>
      <c r="I30" s="277"/>
      <c r="J30" s="277"/>
      <c r="K30" s="277"/>
    </row>
    <row r="31" spans="2:11" ht="41.25" customHeight="1" x14ac:dyDescent="0.25">
      <c r="C31" s="275" t="s">
        <v>99</v>
      </c>
      <c r="D31" s="275"/>
      <c r="E31" s="275"/>
      <c r="F31" s="271"/>
      <c r="G31" s="271"/>
      <c r="H31" s="271"/>
      <c r="I31" s="271"/>
      <c r="J31" s="271"/>
      <c r="K31" s="271"/>
    </row>
    <row r="32" spans="2:11" ht="74.25" customHeight="1" x14ac:dyDescent="0.25">
      <c r="C32" s="275" t="s">
        <v>100</v>
      </c>
      <c r="D32" s="275"/>
      <c r="E32" s="275"/>
      <c r="F32" s="277"/>
      <c r="G32" s="277"/>
      <c r="H32" s="277"/>
      <c r="I32" s="277"/>
      <c r="J32" s="277"/>
      <c r="K32" s="277"/>
    </row>
    <row r="33" spans="2:11" ht="48.75" customHeight="1" x14ac:dyDescent="0.25">
      <c r="C33" s="275" t="s">
        <v>122</v>
      </c>
      <c r="D33" s="275"/>
      <c r="E33" s="275"/>
      <c r="F33" s="277"/>
      <c r="G33" s="277"/>
      <c r="H33" s="277"/>
      <c r="I33" s="277"/>
      <c r="J33" s="277"/>
      <c r="K33" s="277"/>
    </row>
    <row r="34" spans="2:11" ht="63.75" customHeight="1" x14ac:dyDescent="0.25">
      <c r="C34" s="275" t="s">
        <v>123</v>
      </c>
      <c r="D34" s="275"/>
      <c r="E34" s="275"/>
      <c r="F34" s="274"/>
      <c r="G34" s="274"/>
      <c r="H34" s="274"/>
      <c r="I34" s="274"/>
      <c r="J34" s="274"/>
      <c r="K34" s="274"/>
    </row>
    <row r="35" spans="2:11" ht="87.75" customHeight="1" x14ac:dyDescent="0.25">
      <c r="C35" s="275" t="s">
        <v>124</v>
      </c>
      <c r="D35" s="275"/>
      <c r="E35" s="275"/>
      <c r="F35" s="273"/>
      <c r="G35" s="273"/>
      <c r="H35" s="273"/>
      <c r="I35" s="274"/>
      <c r="J35" s="274"/>
      <c r="K35" s="274"/>
    </row>
    <row r="36" spans="2:11" ht="72" customHeight="1" x14ac:dyDescent="0.25">
      <c r="C36" s="275" t="s">
        <v>101</v>
      </c>
      <c r="D36" s="275"/>
      <c r="E36" s="275"/>
      <c r="F36" s="274"/>
      <c r="G36" s="274"/>
      <c r="H36" s="274"/>
      <c r="I36" s="271"/>
      <c r="J36" s="271"/>
      <c r="K36" s="271"/>
    </row>
    <row r="37" spans="2:11" ht="57" customHeight="1" x14ac:dyDescent="0.25">
      <c r="C37" s="275" t="s">
        <v>85</v>
      </c>
      <c r="D37" s="275"/>
      <c r="E37" s="275"/>
      <c r="F37" s="274"/>
      <c r="G37" s="274"/>
      <c r="H37" s="274"/>
      <c r="I37" s="277"/>
      <c r="J37" s="277"/>
      <c r="K37" s="277"/>
    </row>
    <row r="38" spans="2:11" ht="48" customHeight="1" x14ac:dyDescent="0.25">
      <c r="C38" s="275" t="s">
        <v>102</v>
      </c>
      <c r="D38" s="275"/>
      <c r="E38" s="275"/>
      <c r="F38" s="271"/>
      <c r="G38" s="271"/>
      <c r="H38" s="271"/>
      <c r="I38" s="277"/>
      <c r="J38" s="277"/>
      <c r="K38" s="277"/>
    </row>
    <row r="39" spans="2:11" ht="45" customHeight="1" x14ac:dyDescent="0.25">
      <c r="C39" s="275" t="s">
        <v>103</v>
      </c>
      <c r="D39" s="275"/>
      <c r="E39" s="275"/>
      <c r="F39" s="274"/>
      <c r="G39" s="274"/>
      <c r="H39" s="274"/>
      <c r="I39" s="271"/>
      <c r="J39" s="271"/>
      <c r="K39" s="271"/>
    </row>
    <row r="43" spans="2:11" x14ac:dyDescent="0.25">
      <c r="B43" s="114" t="s">
        <v>131</v>
      </c>
      <c r="C43" s="114" t="s">
        <v>136</v>
      </c>
      <c r="D43" s="114"/>
      <c r="E43" s="114"/>
      <c r="F43" s="114"/>
      <c r="G43" s="114"/>
      <c r="H43" s="114"/>
      <c r="I43" s="114"/>
    </row>
    <row r="45" spans="2:11" x14ac:dyDescent="0.25">
      <c r="C45" s="280"/>
      <c r="D45" s="280"/>
      <c r="E45" s="280"/>
      <c r="F45" s="280"/>
      <c r="G45" s="280"/>
      <c r="H45" s="280"/>
      <c r="I45" s="280"/>
      <c r="J45" s="280"/>
      <c r="K45" s="280"/>
    </row>
    <row r="46" spans="2:11" x14ac:dyDescent="0.25">
      <c r="C46" s="280"/>
      <c r="D46" s="280"/>
      <c r="E46" s="280"/>
      <c r="F46" s="280"/>
      <c r="G46" s="280"/>
      <c r="H46" s="280"/>
      <c r="I46" s="280"/>
      <c r="J46" s="280"/>
      <c r="K46" s="280"/>
    </row>
    <row r="47" spans="2:11" x14ac:dyDescent="0.25">
      <c r="C47" s="280"/>
      <c r="D47" s="280"/>
      <c r="E47" s="280"/>
      <c r="F47" s="280"/>
      <c r="G47" s="280"/>
      <c r="H47" s="280"/>
      <c r="I47" s="280"/>
      <c r="J47" s="280"/>
      <c r="K47" s="280"/>
    </row>
    <row r="49" spans="2:11" x14ac:dyDescent="0.25">
      <c r="B49" s="114" t="s">
        <v>131</v>
      </c>
      <c r="C49" s="114" t="s">
        <v>137</v>
      </c>
    </row>
    <row r="51" spans="2:11" x14ac:dyDescent="0.25">
      <c r="C51" s="279"/>
      <c r="D51" s="279"/>
      <c r="E51" s="279"/>
      <c r="F51" s="279"/>
      <c r="G51" s="279"/>
      <c r="H51" s="279"/>
      <c r="I51" s="279"/>
      <c r="J51" s="279"/>
      <c r="K51" s="279"/>
    </row>
    <row r="52" spans="2:11" x14ac:dyDescent="0.25">
      <c r="C52" s="279"/>
      <c r="D52" s="279"/>
      <c r="E52" s="279"/>
      <c r="F52" s="279"/>
      <c r="G52" s="279"/>
      <c r="H52" s="279"/>
      <c r="I52" s="279"/>
      <c r="J52" s="279"/>
      <c r="K52" s="279"/>
    </row>
  </sheetData>
  <mergeCells count="62">
    <mergeCell ref="C51:K52"/>
    <mergeCell ref="F38:H38"/>
    <mergeCell ref="I38:K38"/>
    <mergeCell ref="F39:H39"/>
    <mergeCell ref="I39:K39"/>
    <mergeCell ref="C45:K47"/>
    <mergeCell ref="C38:E38"/>
    <mergeCell ref="C39:E39"/>
    <mergeCell ref="B23:B24"/>
    <mergeCell ref="I35:K35"/>
    <mergeCell ref="F35:H35"/>
    <mergeCell ref="F36:H36"/>
    <mergeCell ref="I36:K36"/>
    <mergeCell ref="F26:H27"/>
    <mergeCell ref="I26:K27"/>
    <mergeCell ref="I28:K28"/>
    <mergeCell ref="C32:E32"/>
    <mergeCell ref="C33:E33"/>
    <mergeCell ref="C34:E34"/>
    <mergeCell ref="C35:E35"/>
    <mergeCell ref="C36:E36"/>
    <mergeCell ref="I30:K30"/>
    <mergeCell ref="F30:H30"/>
    <mergeCell ref="F31:H31"/>
    <mergeCell ref="F37:H37"/>
    <mergeCell ref="I37:K37"/>
    <mergeCell ref="F32:H32"/>
    <mergeCell ref="I32:K32"/>
    <mergeCell ref="F33:H33"/>
    <mergeCell ref="I33:K33"/>
    <mergeCell ref="F34:H34"/>
    <mergeCell ref="I34:K34"/>
    <mergeCell ref="C37:E37"/>
    <mergeCell ref="C26:E27"/>
    <mergeCell ref="C28:E28"/>
    <mergeCell ref="C29:E29"/>
    <mergeCell ref="C30:E30"/>
    <mergeCell ref="C31:E31"/>
    <mergeCell ref="I31:K31"/>
    <mergeCell ref="G7:G8"/>
    <mergeCell ref="C14:E14"/>
    <mergeCell ref="C15:E15"/>
    <mergeCell ref="C16:E16"/>
    <mergeCell ref="C12:E12"/>
    <mergeCell ref="C13:E13"/>
    <mergeCell ref="C17:E17"/>
    <mergeCell ref="C18:E18"/>
    <mergeCell ref="C19:E19"/>
    <mergeCell ref="C20:E20"/>
    <mergeCell ref="I7:I8"/>
    <mergeCell ref="C23:K24"/>
    <mergeCell ref="F28:H28"/>
    <mergeCell ref="F29:H29"/>
    <mergeCell ref="I29:K29"/>
    <mergeCell ref="B2:B5"/>
    <mergeCell ref="C9:E9"/>
    <mergeCell ref="C10:E10"/>
    <mergeCell ref="C11:E11"/>
    <mergeCell ref="H7:H8"/>
    <mergeCell ref="C7:E8"/>
    <mergeCell ref="F7:F8"/>
    <mergeCell ref="C2:K5"/>
  </mergeCells>
  <pageMargins left="0.7" right="0.7" top="0.75" bottom="0.75" header="0.3" footer="0.3"/>
  <pageSetup scale="8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RAZONES FINANCIERAS</vt:lpstr>
      <vt:lpstr>EJERCICIO 2</vt:lpstr>
      <vt:lpstr>EJERCICIO 3</vt:lpstr>
      <vt:lpstr>'EJERCICIO 2'!Área_de_impresión</vt:lpstr>
      <vt:lpstr>'RAZONES FINANCIERAS'!Área_de_impresión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RICARDO CEDENO ALVAREZ</dc:creator>
  <cp:lastModifiedBy>ROBLERO QUIROS ALEX JOAN</cp:lastModifiedBy>
  <cp:lastPrinted>2024-02-25T03:10:36Z</cp:lastPrinted>
  <dcterms:created xsi:type="dcterms:W3CDTF">2024-01-17T00:21:12Z</dcterms:created>
  <dcterms:modified xsi:type="dcterms:W3CDTF">2026-02-26T00:30:09Z</dcterms:modified>
</cp:coreProperties>
</file>