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piron\Documents\UHISPANOAMERICANA\FINANZAS 1\FINANZAS IQ 2026\SEMANA 12\"/>
    </mc:Choice>
  </mc:AlternateContent>
  <xr:revisionPtr revIDLastSave="0" documentId="8_{E9918B72-7ADA-4A47-BEA5-D2B50F303F8C}" xr6:coauthVersionLast="47" xr6:coauthVersionMax="47" xr10:uidLastSave="{00000000-0000-0000-0000-000000000000}"/>
  <bookViews>
    <workbookView xWindow="-108" yWindow="-108" windowWidth="23256" windowHeight="12456" xr2:uid="{956E89C3-B645-4B6A-88A2-C650605243B7}"/>
  </bookViews>
  <sheets>
    <sheet name="PRESUPUESTO DE VENTAS" sheetId="5" r:id="rId1"/>
    <sheet name="Plan de Ventas y gastos 2023" sheetId="1" r:id="rId2"/>
    <sheet name="Resultados proyectados 2023" sheetId="2" r:id="rId3"/>
    <sheet name="Plan de Ventas y gastos 2022" sheetId="6" r:id="rId4"/>
    <sheet name="Resultados proyectados 2022" sheetId="8" r:id="rId5"/>
    <sheet name="Plan de Ventas y gastos DUPLICA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8" l="1"/>
  <c r="F19" i="8"/>
  <c r="G19" i="8"/>
  <c r="H19" i="8"/>
  <c r="I19" i="8"/>
  <c r="J19" i="8"/>
  <c r="K19" i="8"/>
  <c r="L19" i="8"/>
  <c r="M19" i="8"/>
  <c r="N19" i="8"/>
  <c r="O19" i="8"/>
  <c r="D19" i="8"/>
  <c r="D18" i="8"/>
  <c r="E17" i="8"/>
  <c r="F17" i="8"/>
  <c r="G17" i="8"/>
  <c r="H17" i="8"/>
  <c r="I17" i="8"/>
  <c r="J17" i="8"/>
  <c r="K17" i="8"/>
  <c r="L17" i="8"/>
  <c r="M17" i="8"/>
  <c r="N17" i="8"/>
  <c r="O17" i="8"/>
  <c r="D17" i="8"/>
  <c r="E16" i="8"/>
  <c r="F16" i="8"/>
  <c r="G16" i="8"/>
  <c r="H16" i="8"/>
  <c r="I16" i="8"/>
  <c r="J16" i="8"/>
  <c r="K16" i="8"/>
  <c r="L16" i="8"/>
  <c r="M16" i="8"/>
  <c r="N16" i="8"/>
  <c r="O16" i="8"/>
  <c r="D16" i="8"/>
  <c r="E15" i="8"/>
  <c r="F15" i="8"/>
  <c r="G15" i="8"/>
  <c r="H15" i="8"/>
  <c r="I15" i="8"/>
  <c r="J15" i="8"/>
  <c r="K15" i="8"/>
  <c r="L15" i="8"/>
  <c r="M15" i="8"/>
  <c r="N15" i="8"/>
  <c r="O15" i="8"/>
  <c r="D15" i="8"/>
  <c r="P15" i="8" s="1"/>
  <c r="D14" i="8"/>
  <c r="D13" i="8"/>
  <c r="E12" i="8"/>
  <c r="F12" i="8"/>
  <c r="G12" i="8"/>
  <c r="H12" i="8"/>
  <c r="I12" i="8"/>
  <c r="J12" i="8"/>
  <c r="K12" i="8"/>
  <c r="L12" i="8"/>
  <c r="L13" i="8" s="1"/>
  <c r="L14" i="8" s="1"/>
  <c r="M12" i="8"/>
  <c r="N12" i="8"/>
  <c r="O12" i="8"/>
  <c r="D12" i="8"/>
  <c r="P12" i="8" s="1"/>
  <c r="E11" i="8"/>
  <c r="P11" i="8" s="1"/>
  <c r="F11" i="8"/>
  <c r="G11" i="8"/>
  <c r="H11" i="8"/>
  <c r="I11" i="8"/>
  <c r="J11" i="8"/>
  <c r="K11" i="8"/>
  <c r="L11" i="8"/>
  <c r="M11" i="8"/>
  <c r="N11" i="8"/>
  <c r="N13" i="8" s="1"/>
  <c r="O11" i="8"/>
  <c r="D11" i="8"/>
  <c r="E10" i="8"/>
  <c r="P10" i="8" s="1"/>
  <c r="F10" i="8"/>
  <c r="G10" i="8"/>
  <c r="H10" i="8"/>
  <c r="H13" i="8" s="1"/>
  <c r="H14" i="8" s="1"/>
  <c r="I10" i="8"/>
  <c r="I13" i="8" s="1"/>
  <c r="I14" i="8" s="1"/>
  <c r="J10" i="8"/>
  <c r="J13" i="8" s="1"/>
  <c r="J14" i="8" s="1"/>
  <c r="K10" i="8"/>
  <c r="L10" i="8"/>
  <c r="M10" i="8"/>
  <c r="M13" i="8" s="1"/>
  <c r="M14" i="8" s="1"/>
  <c r="N10" i="8"/>
  <c r="O10" i="8"/>
  <c r="O13" i="8" s="1"/>
  <c r="D10" i="8"/>
  <c r="E6" i="8"/>
  <c r="F6" i="8"/>
  <c r="G6" i="8"/>
  <c r="H6" i="8"/>
  <c r="I6" i="8"/>
  <c r="J6" i="8"/>
  <c r="K6" i="8"/>
  <c r="L6" i="8"/>
  <c r="M6" i="8"/>
  <c r="N6" i="8"/>
  <c r="O6" i="8"/>
  <c r="D6" i="8"/>
  <c r="P6" i="8" s="1"/>
  <c r="E5" i="8"/>
  <c r="P5" i="8" s="1"/>
  <c r="F5" i="8"/>
  <c r="G5" i="8"/>
  <c r="H5" i="8"/>
  <c r="I5" i="8"/>
  <c r="J5" i="8"/>
  <c r="K5" i="8"/>
  <c r="L5" i="8"/>
  <c r="M5" i="8"/>
  <c r="N5" i="8"/>
  <c r="O5" i="8"/>
  <c r="D5" i="8"/>
  <c r="E4" i="8"/>
  <c r="F4" i="8"/>
  <c r="G4" i="8"/>
  <c r="H4" i="8"/>
  <c r="I4" i="8"/>
  <c r="J4" i="8"/>
  <c r="K4" i="8"/>
  <c r="L4" i="8"/>
  <c r="M4" i="8"/>
  <c r="N4" i="8"/>
  <c r="O4" i="8"/>
  <c r="D4" i="8"/>
  <c r="C20" i="8"/>
  <c r="C19" i="8"/>
  <c r="C18" i="8"/>
  <c r="C17" i="8"/>
  <c r="C16" i="8"/>
  <c r="Q15" i="8"/>
  <c r="C15" i="8"/>
  <c r="C14" i="8"/>
  <c r="Q13" i="8"/>
  <c r="F13" i="8"/>
  <c r="F14" i="8" s="1"/>
  <c r="C13" i="8"/>
  <c r="Q12" i="8"/>
  <c r="C12" i="8"/>
  <c r="Q11" i="8"/>
  <c r="C11" i="8"/>
  <c r="Q10" i="8"/>
  <c r="K13" i="8"/>
  <c r="K14" i="8" s="1"/>
  <c r="C10" i="8"/>
  <c r="C9" i="8"/>
  <c r="Q43" i="7"/>
  <c r="P41" i="7"/>
  <c r="O41" i="7"/>
  <c r="N41" i="7"/>
  <c r="M41" i="7"/>
  <c r="L41" i="7"/>
  <c r="K41" i="7"/>
  <c r="J41" i="7"/>
  <c r="I41" i="7"/>
  <c r="H41" i="7"/>
  <c r="G41" i="7"/>
  <c r="F41" i="7"/>
  <c r="E41" i="7"/>
  <c r="Q41" i="7" s="1"/>
  <c r="P40" i="7"/>
  <c r="O40" i="7"/>
  <c r="E40" i="7"/>
  <c r="D40" i="7"/>
  <c r="P39" i="7"/>
  <c r="O39" i="7"/>
  <c r="N39" i="7"/>
  <c r="M39" i="7"/>
  <c r="L39" i="7"/>
  <c r="K39" i="7"/>
  <c r="J39" i="7"/>
  <c r="I39" i="7"/>
  <c r="H39" i="7"/>
  <c r="G39" i="7"/>
  <c r="F39" i="7"/>
  <c r="E39" i="7"/>
  <c r="Q39" i="7" s="1"/>
  <c r="D39" i="7"/>
  <c r="P38" i="7"/>
  <c r="O38" i="7"/>
  <c r="N38" i="7"/>
  <c r="M38" i="7"/>
  <c r="L38" i="7"/>
  <c r="K38" i="7"/>
  <c r="J38" i="7"/>
  <c r="I38" i="7"/>
  <c r="H38" i="7"/>
  <c r="G38" i="7"/>
  <c r="G40" i="7" s="1"/>
  <c r="F38" i="7"/>
  <c r="F40" i="7" s="1"/>
  <c r="E38" i="7"/>
  <c r="Q38" i="7" s="1"/>
  <c r="D38" i="7"/>
  <c r="P37" i="7"/>
  <c r="O37" i="7"/>
  <c r="N37" i="7"/>
  <c r="N40" i="7" s="1"/>
  <c r="M37" i="7"/>
  <c r="M40" i="7" s="1"/>
  <c r="L37" i="7"/>
  <c r="L40" i="7" s="1"/>
  <c r="K37" i="7"/>
  <c r="K40" i="7" s="1"/>
  <c r="J37" i="7"/>
  <c r="J40" i="7" s="1"/>
  <c r="I37" i="7"/>
  <c r="I40" i="7" s="1"/>
  <c r="H37" i="7"/>
  <c r="H40" i="7" s="1"/>
  <c r="G37" i="7"/>
  <c r="F37" i="7"/>
  <c r="E37" i="7"/>
  <c r="Q37" i="7" s="1"/>
  <c r="D37" i="7"/>
  <c r="D36" i="7"/>
  <c r="P35" i="7"/>
  <c r="O35" i="7"/>
  <c r="N35" i="7"/>
  <c r="M35" i="7"/>
  <c r="L35" i="7"/>
  <c r="K35" i="7"/>
  <c r="J35" i="7"/>
  <c r="I35" i="7"/>
  <c r="H35" i="7"/>
  <c r="G35" i="7"/>
  <c r="F35" i="7"/>
  <c r="E35" i="7"/>
  <c r="E29" i="7"/>
  <c r="D28" i="7"/>
  <c r="D21" i="7"/>
  <c r="D11" i="7"/>
  <c r="Q10" i="7"/>
  <c r="P8" i="7"/>
  <c r="P17" i="7" s="1"/>
  <c r="P18" i="7" s="1"/>
  <c r="O8" i="7"/>
  <c r="O21" i="7" s="1"/>
  <c r="N8" i="7"/>
  <c r="M8" i="7"/>
  <c r="M13" i="7" s="1"/>
  <c r="L8" i="7"/>
  <c r="L14" i="7" s="1"/>
  <c r="K8" i="7"/>
  <c r="K14" i="7" s="1"/>
  <c r="J8" i="7"/>
  <c r="J17" i="7" s="1"/>
  <c r="I8" i="7"/>
  <c r="I17" i="7" s="1"/>
  <c r="I18" i="7" s="1"/>
  <c r="H8" i="7"/>
  <c r="H13" i="7" s="1"/>
  <c r="G8" i="7"/>
  <c r="G13" i="7" s="1"/>
  <c r="F8" i="7"/>
  <c r="F14" i="7" s="1"/>
  <c r="E8" i="7"/>
  <c r="E17" i="7" s="1"/>
  <c r="Q5" i="7"/>
  <c r="F41" i="6"/>
  <c r="Q41" i="6" s="1"/>
  <c r="G41" i="6"/>
  <c r="H41" i="6"/>
  <c r="I41" i="6"/>
  <c r="J41" i="6"/>
  <c r="K41" i="6"/>
  <c r="L41" i="6"/>
  <c r="M41" i="6"/>
  <c r="N41" i="6"/>
  <c r="O41" i="6"/>
  <c r="P41" i="6"/>
  <c r="E41" i="6"/>
  <c r="Q40" i="6"/>
  <c r="F40" i="6"/>
  <c r="G40" i="6"/>
  <c r="H40" i="6"/>
  <c r="I40" i="6"/>
  <c r="J40" i="6"/>
  <c r="K40" i="6"/>
  <c r="L40" i="6"/>
  <c r="M40" i="6"/>
  <c r="N40" i="6"/>
  <c r="O40" i="6"/>
  <c r="P40" i="6"/>
  <c r="E40" i="6"/>
  <c r="Q39" i="6"/>
  <c r="F39" i="6"/>
  <c r="G39" i="6"/>
  <c r="H39" i="6"/>
  <c r="I39" i="6"/>
  <c r="J39" i="6"/>
  <c r="K39" i="6"/>
  <c r="L39" i="6"/>
  <c r="M39" i="6"/>
  <c r="N39" i="6"/>
  <c r="O39" i="6"/>
  <c r="P39" i="6"/>
  <c r="E39" i="6"/>
  <c r="F38" i="6"/>
  <c r="G38" i="6"/>
  <c r="H38" i="6"/>
  <c r="I38" i="6"/>
  <c r="J38" i="6"/>
  <c r="K38" i="6"/>
  <c r="L38" i="6"/>
  <c r="M38" i="6"/>
  <c r="N38" i="6"/>
  <c r="O38" i="6"/>
  <c r="P38" i="6"/>
  <c r="E38" i="6"/>
  <c r="Q38" i="6" s="1"/>
  <c r="F37" i="6"/>
  <c r="G37" i="6"/>
  <c r="H37" i="6"/>
  <c r="I37" i="6"/>
  <c r="J37" i="6"/>
  <c r="K37" i="6"/>
  <c r="L37" i="6"/>
  <c r="M37" i="6"/>
  <c r="N37" i="6"/>
  <c r="O37" i="6"/>
  <c r="P37" i="6"/>
  <c r="E37" i="6"/>
  <c r="F18" i="6"/>
  <c r="G18" i="6"/>
  <c r="H18" i="6"/>
  <c r="I18" i="6"/>
  <c r="J18" i="6"/>
  <c r="K18" i="6"/>
  <c r="L18" i="6"/>
  <c r="M18" i="6"/>
  <c r="N18" i="6"/>
  <c r="O18" i="6"/>
  <c r="P18" i="6"/>
  <c r="E18" i="6"/>
  <c r="F21" i="6"/>
  <c r="G21" i="6"/>
  <c r="H21" i="6"/>
  <c r="I21" i="6"/>
  <c r="J21" i="6"/>
  <c r="K21" i="6"/>
  <c r="L21" i="6"/>
  <c r="M21" i="6"/>
  <c r="N21" i="6"/>
  <c r="O21" i="6"/>
  <c r="P21" i="6"/>
  <c r="E21" i="6"/>
  <c r="F17" i="6"/>
  <c r="G17" i="6"/>
  <c r="H17" i="6"/>
  <c r="I17" i="6"/>
  <c r="J17" i="6"/>
  <c r="K17" i="6"/>
  <c r="L17" i="6"/>
  <c r="M17" i="6"/>
  <c r="N17" i="6"/>
  <c r="O17" i="6"/>
  <c r="P17" i="6"/>
  <c r="E17" i="6"/>
  <c r="F14" i="6"/>
  <c r="G14" i="6"/>
  <c r="H14" i="6"/>
  <c r="I14" i="6"/>
  <c r="J14" i="6"/>
  <c r="K14" i="6"/>
  <c r="L14" i="6"/>
  <c r="M14" i="6"/>
  <c r="N14" i="6"/>
  <c r="O14" i="6"/>
  <c r="P14" i="6"/>
  <c r="E14" i="6"/>
  <c r="F13" i="6"/>
  <c r="G13" i="6"/>
  <c r="H13" i="6"/>
  <c r="I13" i="6"/>
  <c r="J13" i="6"/>
  <c r="K13" i="6"/>
  <c r="L13" i="6"/>
  <c r="M13" i="6"/>
  <c r="N13" i="6"/>
  <c r="O13" i="6"/>
  <c r="P13" i="6"/>
  <c r="E13" i="6"/>
  <c r="F8" i="6"/>
  <c r="G8" i="6"/>
  <c r="H8" i="6"/>
  <c r="I8" i="6"/>
  <c r="J8" i="6"/>
  <c r="K8" i="6"/>
  <c r="L8" i="6"/>
  <c r="M8" i="6"/>
  <c r="N8" i="6"/>
  <c r="O8" i="6"/>
  <c r="P8" i="6"/>
  <c r="E8" i="6"/>
  <c r="Q43" i="6"/>
  <c r="D40" i="6"/>
  <c r="D39" i="6"/>
  <c r="D38" i="6"/>
  <c r="D37" i="6"/>
  <c r="D36" i="6"/>
  <c r="P35" i="6"/>
  <c r="O35" i="6"/>
  <c r="N35" i="6"/>
  <c r="M35" i="6"/>
  <c r="L35" i="6"/>
  <c r="K35" i="6"/>
  <c r="J35" i="6"/>
  <c r="I35" i="6"/>
  <c r="H35" i="6"/>
  <c r="G35" i="6"/>
  <c r="F35" i="6"/>
  <c r="E35" i="6"/>
  <c r="E29" i="6"/>
  <c r="D28" i="6"/>
  <c r="D21" i="6"/>
  <c r="D11" i="6"/>
  <c r="Q10" i="6"/>
  <c r="Q5" i="6"/>
  <c r="P18" i="2"/>
  <c r="P17" i="2"/>
  <c r="P19" i="2"/>
  <c r="P16" i="2"/>
  <c r="E19" i="2"/>
  <c r="F19" i="2"/>
  <c r="G19" i="2"/>
  <c r="H19" i="2"/>
  <c r="I19" i="2"/>
  <c r="J19" i="2"/>
  <c r="K19" i="2"/>
  <c r="L19" i="2"/>
  <c r="M19" i="2"/>
  <c r="N19" i="2"/>
  <c r="O19" i="2"/>
  <c r="D19" i="2"/>
  <c r="E18" i="2"/>
  <c r="F18" i="2"/>
  <c r="G18" i="2"/>
  <c r="H18" i="2"/>
  <c r="I18" i="2"/>
  <c r="J18" i="2"/>
  <c r="K18" i="2"/>
  <c r="L18" i="2"/>
  <c r="M18" i="2"/>
  <c r="N18" i="2"/>
  <c r="O18" i="2"/>
  <c r="D18" i="2"/>
  <c r="E17" i="2"/>
  <c r="F17" i="2"/>
  <c r="G17" i="2"/>
  <c r="H17" i="2"/>
  <c r="I17" i="2"/>
  <c r="J17" i="2"/>
  <c r="K17" i="2"/>
  <c r="L17" i="2"/>
  <c r="M17" i="2"/>
  <c r="N17" i="2"/>
  <c r="O17" i="2"/>
  <c r="D17" i="2"/>
  <c r="E16" i="2"/>
  <c r="F16" i="2"/>
  <c r="G16" i="2"/>
  <c r="H16" i="2"/>
  <c r="I16" i="2"/>
  <c r="J16" i="2"/>
  <c r="K16" i="2"/>
  <c r="L16" i="2"/>
  <c r="M16" i="2"/>
  <c r="N16" i="2"/>
  <c r="O16" i="2"/>
  <c r="D16" i="2"/>
  <c r="Q15" i="2"/>
  <c r="P15" i="2"/>
  <c r="E15" i="2"/>
  <c r="F15" i="2"/>
  <c r="G15" i="2"/>
  <c r="H15" i="2"/>
  <c r="I15" i="2"/>
  <c r="J15" i="2"/>
  <c r="K15" i="2"/>
  <c r="L15" i="2"/>
  <c r="M15" i="2"/>
  <c r="N15" i="2"/>
  <c r="O15" i="2"/>
  <c r="D15" i="2"/>
  <c r="E38" i="1"/>
  <c r="E14" i="2"/>
  <c r="F14" i="2"/>
  <c r="G14" i="2"/>
  <c r="H14" i="2"/>
  <c r="I14" i="2"/>
  <c r="J14" i="2"/>
  <c r="K14" i="2"/>
  <c r="L14" i="2"/>
  <c r="M14" i="2"/>
  <c r="N14" i="2"/>
  <c r="O14" i="2"/>
  <c r="D14" i="2"/>
  <c r="Q13" i="2"/>
  <c r="P13" i="2"/>
  <c r="E13" i="2"/>
  <c r="F13" i="2"/>
  <c r="G13" i="2"/>
  <c r="H13" i="2"/>
  <c r="I13" i="2"/>
  <c r="J13" i="2"/>
  <c r="K13" i="2"/>
  <c r="L13" i="2"/>
  <c r="M13" i="2"/>
  <c r="N13" i="2"/>
  <c r="O13" i="2"/>
  <c r="D13" i="2"/>
  <c r="Q12" i="2"/>
  <c r="P12" i="2"/>
  <c r="D12" i="2"/>
  <c r="E12" i="2"/>
  <c r="F12" i="2"/>
  <c r="G12" i="2"/>
  <c r="H12" i="2"/>
  <c r="I12" i="2"/>
  <c r="J12" i="2"/>
  <c r="K12" i="2"/>
  <c r="L12" i="2"/>
  <c r="M12" i="2"/>
  <c r="N12" i="2"/>
  <c r="O12" i="2"/>
  <c r="Q11" i="2"/>
  <c r="P11" i="2"/>
  <c r="E11" i="2"/>
  <c r="F11" i="2"/>
  <c r="G11" i="2"/>
  <c r="H11" i="2"/>
  <c r="I11" i="2"/>
  <c r="J11" i="2"/>
  <c r="K11" i="2"/>
  <c r="L11" i="2"/>
  <c r="M11" i="2"/>
  <c r="N11" i="2"/>
  <c r="O11" i="2"/>
  <c r="D11" i="2"/>
  <c r="Q10" i="2"/>
  <c r="P10" i="2"/>
  <c r="E10" i="2"/>
  <c r="F10" i="2"/>
  <c r="G10" i="2"/>
  <c r="H10" i="2"/>
  <c r="I10" i="2"/>
  <c r="J10" i="2"/>
  <c r="K10" i="2"/>
  <c r="L10" i="2"/>
  <c r="M10" i="2"/>
  <c r="N10" i="2"/>
  <c r="O10" i="2"/>
  <c r="D10" i="2"/>
  <c r="Q6" i="2"/>
  <c r="P6" i="2"/>
  <c r="E6" i="2"/>
  <c r="F6" i="2"/>
  <c r="G6" i="2"/>
  <c r="H6" i="2"/>
  <c r="I6" i="2"/>
  <c r="J6" i="2"/>
  <c r="K6" i="2"/>
  <c r="L6" i="2"/>
  <c r="M6" i="2"/>
  <c r="N6" i="2"/>
  <c r="O6" i="2"/>
  <c r="D6" i="2"/>
  <c r="P5" i="2"/>
  <c r="E5" i="2"/>
  <c r="F5" i="2"/>
  <c r="G5" i="2"/>
  <c r="H5" i="2"/>
  <c r="I5" i="2"/>
  <c r="J5" i="2"/>
  <c r="K5" i="2"/>
  <c r="L5" i="2"/>
  <c r="M5" i="2"/>
  <c r="N5" i="2"/>
  <c r="O5" i="2"/>
  <c r="D5" i="2"/>
  <c r="P4" i="2"/>
  <c r="E4" i="2"/>
  <c r="F4" i="2"/>
  <c r="G4" i="2"/>
  <c r="H4" i="2"/>
  <c r="I4" i="2"/>
  <c r="J4" i="2"/>
  <c r="K4" i="2"/>
  <c r="L4" i="2"/>
  <c r="M4" i="2"/>
  <c r="N4" i="2"/>
  <c r="O4" i="2"/>
  <c r="D4" i="2"/>
  <c r="E39" i="1"/>
  <c r="E40" i="1"/>
  <c r="F41" i="1"/>
  <c r="G41" i="1"/>
  <c r="H41" i="1"/>
  <c r="I41" i="1"/>
  <c r="J41" i="1"/>
  <c r="K41" i="1"/>
  <c r="L41" i="1"/>
  <c r="M41" i="1"/>
  <c r="N41" i="1"/>
  <c r="O41" i="1"/>
  <c r="P41" i="1"/>
  <c r="E41" i="1"/>
  <c r="Q41" i="1" s="1"/>
  <c r="H40" i="1"/>
  <c r="J40" i="1"/>
  <c r="O40" i="1"/>
  <c r="F39" i="1"/>
  <c r="G39" i="1"/>
  <c r="H39" i="1"/>
  <c r="I39" i="1"/>
  <c r="J39" i="1"/>
  <c r="K39" i="1"/>
  <c r="L39" i="1"/>
  <c r="L40" i="1" s="1"/>
  <c r="M39" i="1"/>
  <c r="N39" i="1"/>
  <c r="O39" i="1"/>
  <c r="P39" i="1"/>
  <c r="Q39" i="1"/>
  <c r="F38" i="1"/>
  <c r="F40" i="1" s="1"/>
  <c r="G38" i="1"/>
  <c r="H38" i="1"/>
  <c r="I38" i="1"/>
  <c r="I40" i="1" s="1"/>
  <c r="J38" i="1"/>
  <c r="K38" i="1"/>
  <c r="K40" i="1" s="1"/>
  <c r="L38" i="1"/>
  <c r="M38" i="1"/>
  <c r="N38" i="1"/>
  <c r="N40" i="1" s="1"/>
  <c r="O38" i="1"/>
  <c r="P38" i="1"/>
  <c r="E37" i="1"/>
  <c r="F37" i="1"/>
  <c r="G37" i="1"/>
  <c r="G40" i="1" s="1"/>
  <c r="H37" i="1"/>
  <c r="I37" i="1"/>
  <c r="J37" i="1"/>
  <c r="K37" i="1"/>
  <c r="L37" i="1"/>
  <c r="M37" i="1"/>
  <c r="M40" i="1" s="1"/>
  <c r="N37" i="1"/>
  <c r="O37" i="1"/>
  <c r="P37" i="1"/>
  <c r="P40" i="1" s="1"/>
  <c r="D28" i="1"/>
  <c r="G17" i="1"/>
  <c r="E17" i="1"/>
  <c r="E18" i="1" s="1"/>
  <c r="N13" i="1"/>
  <c r="F8" i="1"/>
  <c r="F14" i="1" s="1"/>
  <c r="G8" i="1"/>
  <c r="G14" i="1" s="1"/>
  <c r="H8" i="1"/>
  <c r="H17" i="1" s="1"/>
  <c r="I8" i="1"/>
  <c r="J8" i="1"/>
  <c r="J14" i="1" s="1"/>
  <c r="K8" i="1"/>
  <c r="K13" i="1" s="1"/>
  <c r="L8" i="1"/>
  <c r="L14" i="1" s="1"/>
  <c r="M8" i="1"/>
  <c r="M17" i="1" s="1"/>
  <c r="N8" i="1"/>
  <c r="N14" i="1" s="1"/>
  <c r="O8" i="1"/>
  <c r="O14" i="1" s="1"/>
  <c r="P8" i="1"/>
  <c r="P14" i="1" s="1"/>
  <c r="E8" i="1"/>
  <c r="E14" i="1" s="1"/>
  <c r="Q5" i="1"/>
  <c r="H18" i="8" l="1"/>
  <c r="E13" i="8"/>
  <c r="E14" i="8" s="1"/>
  <c r="E18" i="8" s="1"/>
  <c r="P13" i="8"/>
  <c r="G13" i="8"/>
  <c r="G14" i="8" s="1"/>
  <c r="G18" i="8" s="1"/>
  <c r="Q6" i="8"/>
  <c r="P4" i="8"/>
  <c r="I13" i="7"/>
  <c r="J13" i="7"/>
  <c r="L13" i="7"/>
  <c r="J18" i="7"/>
  <c r="G17" i="7"/>
  <c r="G18" i="7" s="1"/>
  <c r="G14" i="7"/>
  <c r="F21" i="7"/>
  <c r="H14" i="7"/>
  <c r="E21" i="7"/>
  <c r="I14" i="7"/>
  <c r="J14" i="7"/>
  <c r="F17" i="7"/>
  <c r="F18" i="7" s="1"/>
  <c r="E18" i="7"/>
  <c r="H17" i="7"/>
  <c r="H18" i="7" s="1"/>
  <c r="I18" i="8"/>
  <c r="J18" i="8"/>
  <c r="K18" i="8"/>
  <c r="F18" i="8"/>
  <c r="N14" i="8"/>
  <c r="L18" i="8"/>
  <c r="O14" i="8"/>
  <c r="M18" i="8"/>
  <c r="Q40" i="7"/>
  <c r="Q8" i="7"/>
  <c r="N13" i="7"/>
  <c r="M14" i="7"/>
  <c r="K17" i="7"/>
  <c r="O13" i="7"/>
  <c r="N14" i="7"/>
  <c r="L17" i="7"/>
  <c r="L18" i="7" s="1"/>
  <c r="K18" i="7"/>
  <c r="P13" i="7"/>
  <c r="O14" i="7"/>
  <c r="M17" i="7"/>
  <c r="M18" i="7" s="1"/>
  <c r="I21" i="7"/>
  <c r="E13" i="7"/>
  <c r="P14" i="7"/>
  <c r="N17" i="7"/>
  <c r="N18" i="7" s="1"/>
  <c r="J21" i="7"/>
  <c r="F13" i="7"/>
  <c r="E14" i="7"/>
  <c r="O17" i="7"/>
  <c r="O18" i="7" s="1"/>
  <c r="K21" i="7"/>
  <c r="G21" i="7"/>
  <c r="H21" i="7"/>
  <c r="L21" i="7"/>
  <c r="M21" i="7"/>
  <c r="N21" i="7"/>
  <c r="K13" i="7"/>
  <c r="P21" i="7"/>
  <c r="Q8" i="6"/>
  <c r="Q18" i="6"/>
  <c r="Q17" i="6"/>
  <c r="Q37" i="6"/>
  <c r="Q21" i="6"/>
  <c r="P17" i="1"/>
  <c r="P18" i="1" s="1"/>
  <c r="F17" i="1"/>
  <c r="P13" i="1"/>
  <c r="Q37" i="1"/>
  <c r="Q38" i="1"/>
  <c r="G13" i="1"/>
  <c r="I18" i="1"/>
  <c r="I13" i="1"/>
  <c r="I14" i="1"/>
  <c r="L17" i="1"/>
  <c r="L18" i="1" s="1"/>
  <c r="M18" i="1"/>
  <c r="H13" i="1"/>
  <c r="H14" i="1"/>
  <c r="K17" i="1"/>
  <c r="F18" i="1"/>
  <c r="G18" i="1"/>
  <c r="N17" i="1"/>
  <c r="N18" i="1" s="1"/>
  <c r="Q8" i="1"/>
  <c r="F13" i="1"/>
  <c r="I17" i="1"/>
  <c r="H18" i="1"/>
  <c r="L13" i="1"/>
  <c r="O17" i="1"/>
  <c r="O18" i="1" s="1"/>
  <c r="K14" i="1"/>
  <c r="J17" i="1"/>
  <c r="J18" i="1" s="1"/>
  <c r="E13" i="1"/>
  <c r="O13" i="1"/>
  <c r="K18" i="1"/>
  <c r="M13" i="1"/>
  <c r="M14" i="1"/>
  <c r="Q14" i="1" s="1"/>
  <c r="J13" i="1"/>
  <c r="Q21" i="7" l="1"/>
  <c r="F20" i="8"/>
  <c r="K20" i="8"/>
  <c r="E20" i="8"/>
  <c r="M20" i="8"/>
  <c r="L20" i="8"/>
  <c r="G20" i="8"/>
  <c r="P16" i="8"/>
  <c r="H20" i="8"/>
  <c r="J20" i="8"/>
  <c r="O18" i="8"/>
  <c r="I20" i="8"/>
  <c r="N18" i="8"/>
  <c r="Q18" i="7"/>
  <c r="Q14" i="7"/>
  <c r="Q17" i="7"/>
  <c r="Q13" i="7"/>
  <c r="Q15" i="7" s="1"/>
  <c r="Q19" i="6"/>
  <c r="Q13" i="6"/>
  <c r="Q14" i="6"/>
  <c r="Q18" i="1"/>
  <c r="Q17" i="1"/>
  <c r="Q19" i="1" s="1"/>
  <c r="Q13" i="1"/>
  <c r="Q15" i="1" s="1"/>
  <c r="P17" i="8" l="1"/>
  <c r="Q19" i="7"/>
  <c r="N20" i="8"/>
  <c r="O20" i="8"/>
  <c r="Q15" i="6"/>
  <c r="P19" i="8" l="1"/>
  <c r="P18" i="8"/>
  <c r="D20" i="8" l="1"/>
  <c r="P20" i="8" s="1"/>
  <c r="Q27" i="5" l="1"/>
  <c r="I26" i="5"/>
  <c r="I27" i="5"/>
  <c r="O26" i="5"/>
  <c r="M26" i="5"/>
  <c r="K26" i="5"/>
  <c r="O27" i="5"/>
  <c r="M27" i="5"/>
  <c r="K27" i="5"/>
  <c r="O25" i="5"/>
  <c r="M25" i="5"/>
  <c r="K25" i="5"/>
  <c r="I25" i="5"/>
  <c r="Q22" i="5"/>
  <c r="O22" i="5"/>
  <c r="O21" i="5"/>
  <c r="O20" i="5"/>
  <c r="M22" i="5"/>
  <c r="M21" i="5"/>
  <c r="M20" i="5"/>
  <c r="K22" i="5"/>
  <c r="K21" i="5"/>
  <c r="K20" i="5"/>
  <c r="I22" i="5"/>
  <c r="I21" i="5"/>
  <c r="I20" i="5"/>
  <c r="G22" i="5"/>
  <c r="G21" i="5"/>
  <c r="G20" i="5"/>
  <c r="C20" i="2" l="1"/>
  <c r="C19" i="2"/>
  <c r="C18" i="2"/>
  <c r="C17" i="2"/>
  <c r="C16" i="2"/>
  <c r="C15" i="2"/>
  <c r="C14" i="2"/>
  <c r="C13" i="2"/>
  <c r="C12" i="2"/>
  <c r="C11" i="2"/>
  <c r="C10" i="2"/>
  <c r="C9" i="2"/>
  <c r="O3" i="2"/>
  <c r="N3" i="2"/>
  <c r="M3" i="2"/>
  <c r="L3" i="2"/>
  <c r="K3" i="2"/>
  <c r="J3" i="2"/>
  <c r="I3" i="2"/>
  <c r="H3" i="2"/>
  <c r="G3" i="2"/>
  <c r="F3" i="2"/>
  <c r="E3" i="2"/>
  <c r="D3" i="2"/>
  <c r="Q43" i="1"/>
  <c r="D40" i="1"/>
  <c r="D39" i="1"/>
  <c r="D38" i="1"/>
  <c r="D37" i="1"/>
  <c r="D36" i="1"/>
  <c r="P35" i="1"/>
  <c r="O35" i="1"/>
  <c r="N35" i="1"/>
  <c r="M35" i="1"/>
  <c r="L35" i="1"/>
  <c r="K35" i="1"/>
  <c r="J35" i="1"/>
  <c r="I35" i="1"/>
  <c r="H35" i="1"/>
  <c r="G35" i="1"/>
  <c r="F35" i="1"/>
  <c r="E35" i="1"/>
  <c r="E29" i="1"/>
  <c r="D11" i="1"/>
  <c r="D21" i="1" l="1"/>
  <c r="N21" i="1" l="1"/>
  <c r="E21" i="1"/>
  <c r="G21" i="1"/>
  <c r="H21" i="1"/>
  <c r="I21" i="1"/>
  <c r="O21" i="1"/>
  <c r="J21" i="1"/>
  <c r="K21" i="1"/>
  <c r="L21" i="1"/>
  <c r="M21" i="1"/>
  <c r="P21" i="1"/>
  <c r="F21" i="1"/>
  <c r="Q40" i="1"/>
  <c r="I20" i="2" l="1"/>
  <c r="F20" i="2"/>
  <c r="E20" i="2"/>
  <c r="J20" i="2"/>
  <c r="Q21" i="1"/>
  <c r="Q10" i="1"/>
  <c r="M20" i="2" l="1"/>
  <c r="G20" i="2"/>
  <c r="K20" i="2"/>
  <c r="N20" i="2"/>
  <c r="H20" i="2"/>
  <c r="O20" i="2"/>
  <c r="L20" i="2"/>
  <c r="D20" i="2" l="1"/>
  <c r="P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tc={B78557AB-E2E4-493A-AF4A-2D1764785399}</author>
    <author>tc={6AE12A1F-34BA-4D9B-B270-9E7FD2A7B4EE}</author>
  </authors>
  <commentList>
    <comment ref="D39" authorId="0" shapeId="0" xr:uid="{B78557AB-E2E4-493A-AF4A-2D17647853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monto de depreciación y se divide entre 12. Recuerden fijar la celda del monto de la depreciación y luego arrastrar</t>
      </text>
    </comment>
    <comment ref="D41" authorId="1" shapeId="0" xr:uid="{6AE12A1F-34BA-4D9B-B270-9E7FD2A7B4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monto de Gasto financiero y se divide entre 12. Recuerden fijar la celda del monto del Gasto financiero y luego arrastrar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tc={505E302E-AC6B-40CE-A264-7AA4D7710D7B}</author>
    <author>tc={FBC35E3D-0947-4ED7-AC38-682D122B3C49}</author>
  </authors>
  <commentList>
    <comment ref="C14" authorId="0" shapeId="0" xr:uid="{505E302E-AC6B-40CE-A264-7AA4D7710D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MARGEN DE GANANCIA menos TOTAL GASTO OPERATIVO</t>
      </text>
    </comment>
    <comment ref="C16" authorId="1" shapeId="0" xr:uid="{FBC35E3D-0947-4ED7-AC38-682D122B3C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UTILIDADES OPERATIVOS menos GASTO FINANCIERO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tc={582164BC-7B96-4EA1-A9A3-D4993F738C1A}</author>
    <author>tc={F96FE9FA-C5EA-4B87-BBA6-CBEE3F79650E}</author>
  </authors>
  <commentList>
    <comment ref="D39" authorId="0" shapeId="0" xr:uid="{582164BC-7B96-4EA1-A9A3-D4993F738C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monto de depreciación y se divide entre 12. Recuerden fijar la celda del monto de la depreciación y luego arrastrar</t>
      </text>
    </comment>
    <comment ref="D41" authorId="1" shapeId="0" xr:uid="{F96FE9FA-C5EA-4B87-BBA6-CBEE3F7965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monto de Gasto financiero y se divide entre 12. Recuerden fijar la celda del monto del Gasto financiero y luego arrastrar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tc={495F1BB5-1277-424B-9E37-ECD4374250E0}</author>
    <author>tc={16DB3990-C25B-45C1-A0CF-48AD89BDB225}</author>
  </authors>
  <commentList>
    <comment ref="C14" authorId="0" shapeId="0" xr:uid="{495F1BB5-1277-424B-9E37-ECD4374250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MARGEN DE GANANCIA menos TOTAL GASTO OPERATIVO</t>
      </text>
    </comment>
    <comment ref="C16" authorId="1" shapeId="0" xr:uid="{16DB3990-C25B-45C1-A0CF-48AD89BDB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UTILIDADES OPERATIVOS menos GASTO FINANCIERO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tc={95985D79-119D-404B-8C4C-134AC87C6F26}</author>
    <author>tc={9A75D469-8A12-47F6-B43F-2154E7466024}</author>
  </authors>
  <commentList>
    <comment ref="D39" authorId="0" shapeId="0" xr:uid="{95985D79-119D-404B-8C4C-134AC87C6F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monto de depreciación y se divide entre 12. Recuerden fijar la celda del monto de la depreciación y luego arrastrar</t>
      </text>
    </comment>
    <comment ref="D41" authorId="1" shapeId="0" xr:uid="{9A75D469-8A12-47F6-B43F-2154E74660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el monto de Gasto financiero y se divide entre 12. Recuerden fijar la celda del monto del Gasto financiero y luego arrastrar</t>
      </text>
    </comment>
  </commentList>
</comments>
</file>

<file path=xl/sharedStrings.xml><?xml version="1.0" encoding="utf-8"?>
<sst xmlns="http://schemas.openxmlformats.org/spreadsheetml/2006/main" count="130" uniqueCount="56">
  <si>
    <t>Estacionalidad</t>
  </si>
  <si>
    <t>PLAN DE VENTAS</t>
  </si>
  <si>
    <t>Ventas 2023</t>
  </si>
  <si>
    <t>Total</t>
  </si>
  <si>
    <t>Ventas modificadas</t>
  </si>
  <si>
    <t>Ventas de Contado</t>
  </si>
  <si>
    <t>Ventas de Crédito</t>
  </si>
  <si>
    <t>Costo ventas</t>
  </si>
  <si>
    <t>Margen de Ganancia</t>
  </si>
  <si>
    <t>PLAN DE GASTOS</t>
  </si>
  <si>
    <t>GASTOS TOTALES OPERATIVOS FINANCIEROS</t>
  </si>
  <si>
    <t>OBJETIVOS DE GASTO 2023</t>
  </si>
  <si>
    <t>GASTO OPERATIVO</t>
  </si>
  <si>
    <t xml:space="preserve">REDUCCIÓN DEL 10% RESPECTO AL  2022 </t>
  </si>
  <si>
    <t>GASTO DE VENTAS</t>
  </si>
  <si>
    <t>DEL GASTO OPERATIVO 2023</t>
  </si>
  <si>
    <t>GASTO ADMINISTRATIVO</t>
  </si>
  <si>
    <t>POR AJUSTE</t>
  </si>
  <si>
    <t>GASTO DEPRECIACIÓN</t>
  </si>
  <si>
    <t>IGUAL A AÑOS ANTERIORES</t>
  </si>
  <si>
    <t>GASTO FINANCIERO</t>
  </si>
  <si>
    <t>SEGÚN PLAN DE DEUDA</t>
  </si>
  <si>
    <t>Gasto Financiero</t>
  </si>
  <si>
    <t>TOTAL</t>
  </si>
  <si>
    <t>Ventas</t>
  </si>
  <si>
    <t>Margen de Ganancia %</t>
  </si>
  <si>
    <t>CONTROL</t>
  </si>
  <si>
    <t>a</t>
  </si>
  <si>
    <t>b</t>
  </si>
  <si>
    <t>c</t>
  </si>
  <si>
    <t>UAII</t>
  </si>
  <si>
    <t>PROYECCIÓN DE VENTAS</t>
  </si>
  <si>
    <t>Marzo</t>
  </si>
  <si>
    <t>Abril</t>
  </si>
  <si>
    <t>Mayo</t>
  </si>
  <si>
    <t>Junio</t>
  </si>
  <si>
    <t>PRESUPUESTO DE VENTAS</t>
  </si>
  <si>
    <t>Realice el presupuesto de ventas, a continuación los datos:</t>
  </si>
  <si>
    <t>Ventas de crédito 40%</t>
  </si>
  <si>
    <t>Ventas totales</t>
  </si>
  <si>
    <t xml:space="preserve">Ventas en efectivo este mes </t>
  </si>
  <si>
    <t>más 100% de las ventas a crédito del mes pasado</t>
  </si>
  <si>
    <t>Cobros totales</t>
  </si>
  <si>
    <t>Julio</t>
  </si>
  <si>
    <t>Ventas crédito</t>
  </si>
  <si>
    <t>Ventas contado</t>
  </si>
  <si>
    <t>Los cobros se toman el porcentaje de contado del mes actual y se suma la ventas de crédito del mes anterior.</t>
  </si>
  <si>
    <t>VENTAS</t>
  </si>
  <si>
    <t xml:space="preserve">Presupuesto de Compras </t>
  </si>
  <si>
    <r>
      <rPr>
        <b/>
        <sz val="12"/>
        <color rgb="FF0000CC"/>
        <rFont val="Arial Nova"/>
        <family val="2"/>
      </rPr>
      <t>más:</t>
    </r>
    <r>
      <rPr>
        <sz val="12"/>
        <color rgb="FF0000CC"/>
        <rFont val="Arial Nova"/>
        <family val="2"/>
      </rPr>
      <t xml:space="preserve">  ventas de efectivo/ contado, 60%</t>
    </r>
  </si>
  <si>
    <t>Cobros en efectivo (contado)</t>
  </si>
  <si>
    <t>Abril - Julio</t>
  </si>
  <si>
    <t>Diferencia es el margen  45%</t>
  </si>
  <si>
    <t>ESTADOS RESULTADOS PROYECTADOS 2023</t>
  </si>
  <si>
    <t>Ventas 2022</t>
  </si>
  <si>
    <t>OBJETIVOS DE GASTO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</si>
</sst>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₡-140A]* #,##0_-;\-[$₡-140A]* #,##0_-;_-[$₡-140A]* &quot;-&quot;??_-;_-@_-"/>
    <numFmt numFmtId="165" formatCode="_-[$₡-140A]* #,##0.00_-;\-[$₡-140A]* #,##0.00_-;_-[$₡-140A]* &quot;-&quot;??_-;_-@_-"/>
    <numFmt numFmtId="166" formatCode="_(&quot;$&quot;* #,##0_);_(&quot;$&quot;* \(#,##0\);_(&quot;$&quot;* &quot;-&quot;_);_(@_)"/>
    <numFmt numFmtId="167" formatCode="[$$-540A]#,##0.00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ova"/>
      <family val="2"/>
    </font>
    <font>
      <sz val="12"/>
      <name val="Arial Nova"/>
      <family val="2"/>
    </font>
    <font>
      <sz val="12"/>
      <color theme="0"/>
      <name val="Arial Nova"/>
      <family val="2"/>
    </font>
    <font>
      <b/>
      <sz val="18"/>
      <name val="Arial Nova"/>
      <family val="2"/>
    </font>
    <font>
      <b/>
      <sz val="12"/>
      <color rgb="FF0000CC"/>
      <name val="Arial Nova"/>
      <family val="2"/>
    </font>
    <font>
      <b/>
      <sz val="12"/>
      <color theme="0"/>
      <name val="Arial Nova"/>
      <family val="2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sz val="12"/>
      <color rgb="FF0000CC"/>
      <name val="Arial Nova"/>
      <family val="2"/>
    </font>
    <font>
      <sz val="12"/>
      <name val="Arial"/>
      <family val="2"/>
    </font>
    <font>
      <b/>
      <sz val="18"/>
      <color theme="1"/>
      <name val="Arial Nova"/>
      <family val="2"/>
    </font>
    <font>
      <b/>
      <sz val="14"/>
      <color rgb="FF0000CC"/>
      <name val="Arial Nova"/>
      <family val="2"/>
    </font>
    <font>
      <i/>
      <sz val="12"/>
      <name val="Arial Nov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10" borderId="9" applyNumberFormat="0" applyFont="0" applyAlignment="0" applyProtection="0"/>
    <xf numFmtId="0" fontId="1" fillId="0" borderId="0"/>
  </cellStyleXfs>
  <cellXfs count="141">
    <xf numFmtId="0" fontId="0" fillId="0" borderId="0" xfId="0"/>
    <xf numFmtId="0" fontId="3" fillId="2" borderId="0" xfId="0" applyFont="1" applyFill="1"/>
    <xf numFmtId="0" fontId="4" fillId="0" borderId="0" xfId="0" applyFont="1"/>
    <xf numFmtId="10" fontId="4" fillId="0" borderId="1" xfId="0" applyNumberFormat="1" applyFont="1" applyBorder="1" applyAlignment="1">
      <alignment horizontal="center"/>
    </xf>
    <xf numFmtId="17" fontId="4" fillId="0" borderId="2" xfId="0" applyNumberFormat="1" applyFont="1" applyBorder="1" applyAlignment="1">
      <alignment horizontal="center"/>
    </xf>
    <xf numFmtId="164" fontId="4" fillId="0" borderId="1" xfId="0" applyNumberFormat="1" applyFont="1" applyBorder="1"/>
    <xf numFmtId="10" fontId="3" fillId="0" borderId="1" xfId="1" applyNumberFormat="1" applyFont="1" applyFill="1" applyBorder="1" applyAlignment="1">
      <alignment horizontal="center"/>
    </xf>
    <xf numFmtId="9" fontId="4" fillId="0" borderId="0" xfId="0" applyNumberFormat="1" applyFont="1"/>
    <xf numFmtId="164" fontId="3" fillId="2" borderId="1" xfId="0" applyNumberFormat="1" applyFont="1" applyFill="1" applyBorder="1"/>
    <xf numFmtId="165" fontId="4" fillId="0" borderId="0" xfId="0" applyNumberFormat="1" applyFont="1"/>
    <xf numFmtId="9" fontId="4" fillId="0" borderId="1" xfId="0" applyNumberFormat="1" applyFont="1" applyBorder="1"/>
    <xf numFmtId="0" fontId="5" fillId="0" borderId="0" xfId="0" applyFont="1"/>
    <xf numFmtId="164" fontId="4" fillId="3" borderId="1" xfId="0" applyNumberFormat="1" applyFont="1" applyFill="1" applyBorder="1"/>
    <xf numFmtId="164" fontId="4" fillId="0" borderId="0" xfId="0" applyNumberFormat="1" applyFont="1"/>
    <xf numFmtId="9" fontId="3" fillId="2" borderId="0" xfId="0" applyNumberFormat="1" applyFont="1" applyFill="1"/>
    <xf numFmtId="164" fontId="3" fillId="2" borderId="0" xfId="0" applyNumberFormat="1" applyFont="1" applyFill="1"/>
    <xf numFmtId="0" fontId="4" fillId="0" borderId="1" xfId="0" applyFont="1" applyBorder="1"/>
    <xf numFmtId="0" fontId="3" fillId="4" borderId="1" xfId="0" applyFont="1" applyFill="1" applyBorder="1"/>
    <xf numFmtId="164" fontId="4" fillId="4" borderId="6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7" fontId="4" fillId="0" borderId="0" xfId="0" applyNumberFormat="1" applyFont="1"/>
    <xf numFmtId="0" fontId="4" fillId="2" borderId="1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7" borderId="1" xfId="0" applyFont="1" applyFill="1" applyBorder="1"/>
    <xf numFmtId="0" fontId="4" fillId="8" borderId="0" xfId="0" applyFont="1" applyFill="1" applyAlignment="1">
      <alignment horizontal="center"/>
    </xf>
    <xf numFmtId="0" fontId="7" fillId="9" borderId="0" xfId="0" applyFont="1" applyFill="1"/>
    <xf numFmtId="17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165" fontId="3" fillId="3" borderId="1" xfId="2" applyNumberFormat="1" applyFont="1" applyFill="1" applyBorder="1" applyAlignment="1">
      <alignment horizontal="center"/>
    </xf>
    <xf numFmtId="0" fontId="4" fillId="3" borderId="0" xfId="0" applyFont="1" applyFill="1"/>
    <xf numFmtId="10" fontId="4" fillId="3" borderId="1" xfId="1" applyNumberFormat="1" applyFont="1" applyFill="1" applyBorder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right"/>
    </xf>
    <xf numFmtId="0" fontId="3" fillId="6" borderId="0" xfId="0" applyFont="1" applyFill="1"/>
    <xf numFmtId="0" fontId="3" fillId="4" borderId="0" xfId="0" applyFont="1" applyFill="1"/>
    <xf numFmtId="0" fontId="8" fillId="0" borderId="0" xfId="0" applyFont="1"/>
    <xf numFmtId="0" fontId="9" fillId="0" borderId="0" xfId="4" applyFont="1"/>
    <xf numFmtId="0" fontId="9" fillId="0" borderId="0" xfId="4" applyFont="1" applyAlignment="1">
      <alignment horizontal="left"/>
    </xf>
    <xf numFmtId="0" fontId="10" fillId="0" borderId="0" xfId="4" applyFont="1" applyAlignment="1">
      <alignment horizontal="center"/>
    </xf>
    <xf numFmtId="167" fontId="4" fillId="0" borderId="0" xfId="4" applyNumberFormat="1" applyFont="1"/>
    <xf numFmtId="0" fontId="4" fillId="0" borderId="0" xfId="4" applyFont="1"/>
    <xf numFmtId="167" fontId="4" fillId="0" borderId="7" xfId="4" applyNumberFormat="1" applyFont="1" applyBorder="1"/>
    <xf numFmtId="167" fontId="3" fillId="0" borderId="0" xfId="4" applyNumberFormat="1" applyFont="1"/>
    <xf numFmtId="167" fontId="4" fillId="0" borderId="0" xfId="4" applyNumberFormat="1" applyFont="1" applyAlignment="1">
      <alignment horizontal="center"/>
    </xf>
    <xf numFmtId="0" fontId="3" fillId="0" borderId="0" xfId="4" applyFont="1"/>
    <xf numFmtId="0" fontId="9" fillId="10" borderId="9" xfId="3" applyFont="1" applyAlignment="1">
      <alignment horizontal="center"/>
    </xf>
    <xf numFmtId="9" fontId="9" fillId="10" borderId="9" xfId="3" applyNumberFormat="1" applyFont="1" applyAlignment="1">
      <alignment horizontal="center"/>
    </xf>
    <xf numFmtId="0" fontId="9" fillId="10" borderId="10" xfId="3" applyFont="1" applyBorder="1" applyAlignment="1">
      <alignment horizontal="left"/>
    </xf>
    <xf numFmtId="0" fontId="9" fillId="10" borderId="12" xfId="3" applyFont="1" applyBorder="1" applyAlignment="1">
      <alignment horizontal="left"/>
    </xf>
    <xf numFmtId="0" fontId="9" fillId="10" borderId="14" xfId="3" applyFont="1" applyBorder="1" applyAlignment="1">
      <alignment horizontal="left"/>
    </xf>
    <xf numFmtId="0" fontId="12" fillId="0" borderId="0" xfId="0" applyFont="1"/>
    <xf numFmtId="167" fontId="9" fillId="9" borderId="11" xfId="3" applyNumberFormat="1" applyFont="1" applyFill="1" applyBorder="1" applyAlignment="1">
      <alignment horizontal="center"/>
    </xf>
    <xf numFmtId="167" fontId="4" fillId="9" borderId="0" xfId="4" applyNumberFormat="1" applyFont="1" applyFill="1"/>
    <xf numFmtId="167" fontId="9" fillId="7" borderId="13" xfId="3" applyNumberFormat="1" applyFont="1" applyFill="1" applyBorder="1" applyAlignment="1">
      <alignment horizontal="center"/>
    </xf>
    <xf numFmtId="167" fontId="9" fillId="8" borderId="13" xfId="3" applyNumberFormat="1" applyFont="1" applyFill="1" applyBorder="1" applyAlignment="1">
      <alignment horizontal="center"/>
    </xf>
    <xf numFmtId="167" fontId="9" fillId="12" borderId="13" xfId="3" applyNumberFormat="1" applyFont="1" applyFill="1" applyBorder="1" applyAlignment="1">
      <alignment horizontal="center"/>
    </xf>
    <xf numFmtId="167" fontId="9" fillId="13" borderId="15" xfId="3" applyNumberFormat="1" applyFont="1" applyFill="1" applyBorder="1" applyAlignment="1">
      <alignment horizontal="center"/>
    </xf>
    <xf numFmtId="167" fontId="4" fillId="11" borderId="0" xfId="4" applyNumberFormat="1" applyFont="1" applyFill="1"/>
    <xf numFmtId="0" fontId="10" fillId="0" borderId="17" xfId="4" applyFont="1" applyBorder="1" applyAlignment="1">
      <alignment horizontal="center"/>
    </xf>
    <xf numFmtId="0" fontId="10" fillId="0" borderId="18" xfId="4" applyFont="1" applyBorder="1" applyAlignment="1">
      <alignment horizontal="center"/>
    </xf>
    <xf numFmtId="0" fontId="9" fillId="0" borderId="18" xfId="4" applyFont="1" applyBorder="1"/>
    <xf numFmtId="0" fontId="10" fillId="0" borderId="19" xfId="4" applyFont="1" applyBorder="1" applyAlignment="1">
      <alignment horizontal="center"/>
    </xf>
    <xf numFmtId="167" fontId="4" fillId="0" borderId="20" xfId="4" applyNumberFormat="1" applyFont="1" applyBorder="1"/>
    <xf numFmtId="167" fontId="4" fillId="0" borderId="21" xfId="4" applyNumberFormat="1" applyFont="1" applyBorder="1"/>
    <xf numFmtId="167" fontId="4" fillId="0" borderId="22" xfId="4" applyNumberFormat="1" applyFont="1" applyBorder="1"/>
    <xf numFmtId="167" fontId="4" fillId="0" borderId="23" xfId="4" applyNumberFormat="1" applyFont="1" applyBorder="1"/>
    <xf numFmtId="167" fontId="4" fillId="7" borderId="24" xfId="4" applyNumberFormat="1" applyFont="1" applyFill="1" applyBorder="1"/>
    <xf numFmtId="167" fontId="4" fillId="0" borderId="16" xfId="4" applyNumberFormat="1" applyFont="1" applyBorder="1"/>
    <xf numFmtId="167" fontId="4" fillId="8" borderId="16" xfId="4" applyNumberFormat="1" applyFont="1" applyFill="1" applyBorder="1"/>
    <xf numFmtId="0" fontId="4" fillId="0" borderId="16" xfId="4" applyFont="1" applyBorder="1"/>
    <xf numFmtId="167" fontId="4" fillId="12" borderId="16" xfId="4" applyNumberFormat="1" applyFont="1" applyFill="1" applyBorder="1"/>
    <xf numFmtId="167" fontId="4" fillId="13" borderId="25" xfId="4" applyNumberFormat="1" applyFont="1" applyFill="1" applyBorder="1"/>
    <xf numFmtId="167" fontId="3" fillId="0" borderId="8" xfId="4" applyNumberFormat="1" applyFont="1" applyBorder="1"/>
    <xf numFmtId="164" fontId="4" fillId="13" borderId="1" xfId="0" applyNumberFormat="1" applyFont="1" applyFill="1" applyBorder="1"/>
    <xf numFmtId="164" fontId="4" fillId="8" borderId="1" xfId="0" applyNumberFormat="1" applyFont="1" applyFill="1" applyBorder="1"/>
    <xf numFmtId="164" fontId="14" fillId="8" borderId="1" xfId="0" applyNumberFormat="1" applyFont="1" applyFill="1" applyBorder="1" applyAlignment="1">
      <alignment horizontal="center"/>
    </xf>
    <xf numFmtId="164" fontId="7" fillId="8" borderId="1" xfId="0" applyNumberFormat="1" applyFont="1" applyFill="1" applyBorder="1"/>
    <xf numFmtId="9" fontId="4" fillId="0" borderId="0" xfId="0" applyNumberFormat="1" applyFont="1" applyAlignment="1">
      <alignment horizontal="center" wrapText="1"/>
    </xf>
    <xf numFmtId="164" fontId="4" fillId="9" borderId="1" xfId="0" applyNumberFormat="1" applyFont="1" applyFill="1" applyBorder="1"/>
    <xf numFmtId="164" fontId="4" fillId="7" borderId="1" xfId="0" applyNumberFormat="1" applyFont="1" applyFill="1" applyBorder="1"/>
    <xf numFmtId="164" fontId="7" fillId="0" borderId="1" xfId="0" applyNumberFormat="1" applyFont="1" applyBorder="1"/>
    <xf numFmtId="164" fontId="4" fillId="7" borderId="0" xfId="0" applyNumberFormat="1" applyFont="1" applyFill="1"/>
    <xf numFmtId="164" fontId="3" fillId="7" borderId="0" xfId="0" applyNumberFormat="1" applyFont="1" applyFill="1"/>
    <xf numFmtId="164" fontId="4" fillId="8" borderId="0" xfId="0" applyNumberFormat="1" applyFont="1" applyFill="1"/>
    <xf numFmtId="164" fontId="3" fillId="8" borderId="0" xfId="0" applyNumberFormat="1" applyFont="1" applyFill="1"/>
    <xf numFmtId="164" fontId="7" fillId="0" borderId="0" xfId="0" applyNumberFormat="1" applyFont="1"/>
    <xf numFmtId="164" fontId="4" fillId="13" borderId="0" xfId="0" applyNumberFormat="1" applyFont="1" applyFill="1"/>
    <xf numFmtId="164" fontId="3" fillId="13" borderId="0" xfId="0" applyNumberFormat="1" applyFont="1" applyFill="1"/>
    <xf numFmtId="164" fontId="4" fillId="9" borderId="7" xfId="0" applyNumberFormat="1" applyFont="1" applyFill="1" applyBorder="1"/>
    <xf numFmtId="164" fontId="3" fillId="9" borderId="7" xfId="0" applyNumberFormat="1" applyFont="1" applyFill="1" applyBorder="1"/>
    <xf numFmtId="164" fontId="3" fillId="0" borderId="0" xfId="0" applyNumberFormat="1" applyFont="1"/>
    <xf numFmtId="164" fontId="4" fillId="3" borderId="1" xfId="2" applyNumberFormat="1" applyFont="1" applyFill="1" applyBorder="1"/>
    <xf numFmtId="164" fontId="3" fillId="3" borderId="1" xfId="2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7" borderId="1" xfId="2" applyNumberFormat="1" applyFont="1" applyFill="1" applyBorder="1"/>
    <xf numFmtId="164" fontId="3" fillId="0" borderId="1" xfId="2" applyNumberFormat="1" applyFont="1" applyBorder="1" applyAlignment="1">
      <alignment horizontal="center"/>
    </xf>
    <xf numFmtId="164" fontId="4" fillId="0" borderId="1" xfId="2" applyNumberFormat="1" applyFont="1" applyBorder="1"/>
    <xf numFmtId="164" fontId="4" fillId="6" borderId="1" xfId="2" applyNumberFormat="1" applyFont="1" applyFill="1" applyBorder="1"/>
    <xf numFmtId="164" fontId="3" fillId="6" borderId="1" xfId="2" applyNumberFormat="1" applyFont="1" applyFill="1" applyBorder="1" applyAlignment="1">
      <alignment horizontal="center"/>
    </xf>
    <xf numFmtId="164" fontId="4" fillId="4" borderId="1" xfId="2" applyNumberFormat="1" applyFont="1" applyFill="1" applyBorder="1"/>
    <xf numFmtId="164" fontId="5" fillId="0" borderId="1" xfId="2" applyNumberFormat="1" applyFont="1" applyBorder="1"/>
    <xf numFmtId="164" fontId="8" fillId="0" borderId="1" xfId="2" applyNumberFormat="1" applyFont="1" applyBorder="1" applyAlignment="1">
      <alignment horizontal="center"/>
    </xf>
    <xf numFmtId="164" fontId="3" fillId="7" borderId="1" xfId="2" applyNumberFormat="1" applyFont="1" applyFill="1" applyBorder="1" applyAlignment="1">
      <alignment horizontal="center"/>
    </xf>
    <xf numFmtId="164" fontId="3" fillId="8" borderId="1" xfId="2" applyNumberFormat="1" applyFont="1" applyFill="1" applyBorder="1" applyAlignment="1">
      <alignment horizontal="center"/>
    </xf>
    <xf numFmtId="164" fontId="4" fillId="8" borderId="1" xfId="2" applyNumberFormat="1" applyFont="1" applyFill="1" applyBorder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164" fontId="4" fillId="9" borderId="1" xfId="2" applyNumberFormat="1" applyFont="1" applyFill="1" applyBorder="1"/>
    <xf numFmtId="164" fontId="4" fillId="0" borderId="1" xfId="2" applyNumberFormat="1" applyFont="1" applyFill="1" applyBorder="1"/>
    <xf numFmtId="164" fontId="3" fillId="0" borderId="1" xfId="2" applyNumberFormat="1" applyFont="1" applyFill="1" applyBorder="1" applyAlignment="1">
      <alignment horizontal="center"/>
    </xf>
    <xf numFmtId="164" fontId="3" fillId="9" borderId="1" xfId="2" applyNumberFormat="1" applyFont="1" applyFill="1" applyBorder="1" applyAlignment="1">
      <alignment horizontal="center"/>
    </xf>
    <xf numFmtId="164" fontId="7" fillId="0" borderId="1" xfId="2" applyNumberFormat="1" applyFont="1" applyFill="1" applyBorder="1"/>
    <xf numFmtId="0" fontId="7" fillId="0" borderId="0" xfId="0" applyFont="1"/>
    <xf numFmtId="0" fontId="15" fillId="3" borderId="0" xfId="0" applyFont="1" applyFill="1"/>
    <xf numFmtId="164" fontId="15" fillId="3" borderId="1" xfId="2" applyNumberFormat="1" applyFont="1" applyFill="1" applyBorder="1"/>
    <xf numFmtId="164" fontId="4" fillId="13" borderId="1" xfId="2" applyNumberFormat="1" applyFont="1" applyFill="1" applyBorder="1"/>
    <xf numFmtId="0" fontId="3" fillId="13" borderId="0" xfId="0" applyFont="1" applyFill="1"/>
    <xf numFmtId="164" fontId="3" fillId="13" borderId="1" xfId="2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horizontal="center"/>
    </xf>
    <xf numFmtId="164" fontId="3" fillId="12" borderId="1" xfId="2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0" xfId="4" applyFont="1" applyAlignment="1">
      <alignment horizontal="center" vertical="center"/>
    </xf>
    <xf numFmtId="0" fontId="13" fillId="0" borderId="8" xfId="4" applyFont="1" applyBorder="1" applyAlignment="1">
      <alignment horizontal="center"/>
    </xf>
    <xf numFmtId="0" fontId="9" fillId="0" borderId="0" xfId="4" applyFont="1" applyAlignment="1">
      <alignment horizontal="left"/>
    </xf>
    <xf numFmtId="0" fontId="11" fillId="0" borderId="0" xfId="4" applyFont="1" applyAlignment="1">
      <alignment horizontal="left"/>
    </xf>
    <xf numFmtId="0" fontId="10" fillId="0" borderId="0" xfId="4" applyFont="1" applyAlignment="1">
      <alignment horizontal="left"/>
    </xf>
    <xf numFmtId="0" fontId="10" fillId="0" borderId="16" xfId="4" applyFont="1" applyBorder="1" applyAlignment="1">
      <alignment horizontal="center"/>
    </xf>
    <xf numFmtId="0" fontId="7" fillId="0" borderId="0" xfId="4" applyFont="1" applyAlignment="1">
      <alignment horizontal="left"/>
    </xf>
    <xf numFmtId="0" fontId="9" fillId="0" borderId="0" xfId="4" applyFont="1" applyAlignment="1">
      <alignment horizontal="center"/>
    </xf>
    <xf numFmtId="0" fontId="10" fillId="11" borderId="0" xfId="4" applyFont="1" applyFill="1" applyAlignment="1">
      <alignment horizontal="left"/>
    </xf>
    <xf numFmtId="0" fontId="9" fillId="0" borderId="0" xfId="4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5">
    <cellStyle name="Moneda [0] 2" xfId="2" xr:uid="{D44434DB-22E5-48DD-B63C-96F092F94BC5}"/>
    <cellStyle name="Normal" xfId="0" builtinId="0"/>
    <cellStyle name="Normal 2" xfId="4" xr:uid="{2870A1CB-2562-40F1-95FA-4ECDEAB08373}"/>
    <cellStyle name="Notas" xfId="3" builtinId="10"/>
    <cellStyle name="Porcentaje" xfId="1" builtinId="5"/>
  </cellStyles>
  <dxfs count="0"/>
  <tableStyles count="0" defaultTableStyle="TableStyleMedium2" defaultPivotStyle="PivotStyleLight16"/>
  <colors>
    <mruColors>
      <color rgb="FF0000CC"/>
      <color rgb="FFFFCC99"/>
      <color rgb="FF66FFCC"/>
      <color rgb="FFFFCCFF"/>
      <color rgb="FFCC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75614</xdr:colOff>
      <xdr:row>29</xdr:row>
      <xdr:rowOff>190501</xdr:rowOff>
    </xdr:from>
    <xdr:to>
      <xdr:col>16</xdr:col>
      <xdr:colOff>673178</xdr:colOff>
      <xdr:row>45</xdr:row>
      <xdr:rowOff>142619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CD4A5C-D5AA-107D-F05C-85251C529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2260" y="6245470"/>
          <a:ext cx="5843641" cy="3140795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14</xdr:row>
      <xdr:rowOff>22860</xdr:rowOff>
    </xdr:from>
    <xdr:to>
      <xdr:col>1</xdr:col>
      <xdr:colOff>441960</xdr:colOff>
      <xdr:row>26</xdr:row>
      <xdr:rowOff>114300</xdr:rowOff>
    </xdr:to>
    <xdr:sp macro="" textlink="">
      <xdr:nvSpPr>
        <xdr:cNvPr id="3" name="Flecha: curvada hacia la derecha 2">
          <a:extLst>
            <a:ext uri="{FF2B5EF4-FFF2-40B4-BE49-F238E27FC236}">
              <a16:creationId xmlns:a16="http://schemas.microsoft.com/office/drawing/2014/main" id="{C0E3560E-9F2B-B419-C3EA-07DF1CAC291B}"/>
            </a:ext>
          </a:extLst>
        </xdr:cNvPr>
        <xdr:cNvSpPr/>
      </xdr:nvSpPr>
      <xdr:spPr>
        <a:xfrm>
          <a:off x="167640" y="3086100"/>
          <a:ext cx="1066800" cy="2468880"/>
        </a:xfrm>
        <a:prstGeom prst="curved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312420</xdr:colOff>
      <xdr:row>20</xdr:row>
      <xdr:rowOff>45720</xdr:rowOff>
    </xdr:from>
    <xdr:to>
      <xdr:col>1</xdr:col>
      <xdr:colOff>670560</xdr:colOff>
      <xdr:row>25</xdr:row>
      <xdr:rowOff>15240</xdr:rowOff>
    </xdr:to>
    <xdr:sp macro="" textlink="">
      <xdr:nvSpPr>
        <xdr:cNvPr id="4" name="Flecha: curvada hacia la derecha 3">
          <a:extLst>
            <a:ext uri="{FF2B5EF4-FFF2-40B4-BE49-F238E27FC236}">
              <a16:creationId xmlns:a16="http://schemas.microsoft.com/office/drawing/2014/main" id="{3A230B79-2DFE-8FBA-44DA-FDE9FF69DC52}"/>
            </a:ext>
          </a:extLst>
        </xdr:cNvPr>
        <xdr:cNvSpPr/>
      </xdr:nvSpPr>
      <xdr:spPr>
        <a:xfrm>
          <a:off x="1104900" y="4297680"/>
          <a:ext cx="358140" cy="960120"/>
        </a:xfrm>
        <a:prstGeom prst="curved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442194</xdr:colOff>
      <xdr:row>18</xdr:row>
      <xdr:rowOff>20782</xdr:rowOff>
    </xdr:from>
    <xdr:to>
      <xdr:col>4</xdr:col>
      <xdr:colOff>484910</xdr:colOff>
      <xdr:row>20</xdr:row>
      <xdr:rowOff>13989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924EA8A-1279-D479-80BC-6F247F1ADAA5}"/>
            </a:ext>
          </a:extLst>
        </xdr:cNvPr>
        <xdr:cNvCxnSpPr/>
      </xdr:nvCxnSpPr>
      <xdr:spPr>
        <a:xfrm flipH="1">
          <a:off x="4092867" y="3761509"/>
          <a:ext cx="42716" cy="394989"/>
        </a:xfrm>
        <a:prstGeom prst="line">
          <a:avLst/>
        </a:prstGeom>
        <a:gradFill>
          <a:gsLst>
            <a:gs pos="1000">
              <a:srgbClr val="489CD1">
                <a:alpha val="5000"/>
              </a:srgbClr>
            </a:gs>
            <a:gs pos="25000">
              <a:srgbClr val="A9D7B2">
                <a:alpha val="5000"/>
              </a:srgbClr>
            </a:gs>
            <a:gs pos="50000">
              <a:srgbClr val="B92B65">
                <a:alpha val="5000"/>
              </a:srgbClr>
            </a:gs>
            <a:gs pos="76000">
              <a:srgbClr val="9B2486">
                <a:alpha val="5000"/>
              </a:srgbClr>
            </a:gs>
            <a:gs pos="100000">
              <a:srgbClr val="244F85">
                <a:alpha val="5000"/>
              </a:srgbClr>
            </a:gs>
          </a:gsLst>
        </a:gradFill>
        <a:ln w="36000">
          <a:gradFill>
            <a:gsLst>
              <a:gs pos="1000">
                <a:srgbClr val="489CD1"/>
              </a:gs>
              <a:gs pos="25000">
                <a:srgbClr val="A9D7B2"/>
              </a:gs>
              <a:gs pos="50000">
                <a:srgbClr val="B92B65"/>
              </a:gs>
              <a:gs pos="76000">
                <a:srgbClr val="9B2486"/>
              </a:gs>
              <a:gs pos="100000">
                <a:srgbClr val="244F85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6927</xdr:colOff>
      <xdr:row>28</xdr:row>
      <xdr:rowOff>131618</xdr:rowOff>
    </xdr:from>
    <xdr:to>
      <xdr:col>16</xdr:col>
      <xdr:colOff>103910</xdr:colOff>
      <xdr:row>36</xdr:row>
      <xdr:rowOff>48491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5302C36-8DB6-ACDB-735A-81416D1E813C}"/>
            </a:ext>
          </a:extLst>
        </xdr:cNvPr>
        <xdr:cNvCxnSpPr/>
      </xdr:nvCxnSpPr>
      <xdr:spPr>
        <a:xfrm>
          <a:off x="4301836" y="6116782"/>
          <a:ext cx="8589819" cy="1524000"/>
        </a:xfrm>
        <a:prstGeom prst="line">
          <a:avLst/>
        </a:prstGeom>
        <a:gradFill>
          <a:gsLst>
            <a:gs pos="1000">
              <a:srgbClr val="7FC83F">
                <a:alpha val="5000"/>
              </a:srgbClr>
            </a:gs>
            <a:gs pos="18000">
              <a:srgbClr val="489CD1">
                <a:alpha val="5000"/>
              </a:srgbClr>
            </a:gs>
            <a:gs pos="36000">
              <a:srgbClr val="9B2486">
                <a:alpha val="5000"/>
              </a:srgbClr>
            </a:gs>
            <a:gs pos="52000">
              <a:srgbClr val="D33634">
                <a:alpha val="5000"/>
              </a:srgbClr>
            </a:gs>
            <a:gs pos="68000">
              <a:srgbClr val="E93668">
                <a:alpha val="5000"/>
              </a:srgbClr>
            </a:gs>
            <a:gs pos="83000">
              <a:srgbClr val="E46C33">
                <a:alpha val="5000"/>
              </a:srgbClr>
            </a:gs>
            <a:gs pos="95000">
              <a:srgbClr val="F5C248">
                <a:alpha val="5000"/>
              </a:srgbClr>
            </a:gs>
          </a:gsLst>
        </a:gradFill>
        <a:ln w="36000">
          <a:gradFill>
            <a:gsLst>
              <a:gs pos="1000">
                <a:srgbClr val="7FC83F"/>
              </a:gs>
              <a:gs pos="18000">
                <a:srgbClr val="489CD1"/>
              </a:gs>
              <a:gs pos="36000">
                <a:srgbClr val="9B2486"/>
              </a:gs>
              <a:gs pos="52000">
                <a:srgbClr val="D33634"/>
              </a:gs>
              <a:gs pos="68000">
                <a:srgbClr val="E93668"/>
              </a:gs>
              <a:gs pos="83000">
                <a:srgbClr val="E46C33"/>
              </a:gs>
              <a:gs pos="95000">
                <a:srgbClr val="F5C248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34636</xdr:colOff>
      <xdr:row>29</xdr:row>
      <xdr:rowOff>83127</xdr:rowOff>
    </xdr:from>
    <xdr:to>
      <xdr:col>16</xdr:col>
      <xdr:colOff>152400</xdr:colOff>
      <xdr:row>37</xdr:row>
      <xdr:rowOff>83127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40AB804-6977-1595-F17C-9AD39ABB87A6}"/>
            </a:ext>
          </a:extLst>
        </xdr:cNvPr>
        <xdr:cNvCxnSpPr/>
      </xdr:nvCxnSpPr>
      <xdr:spPr>
        <a:xfrm>
          <a:off x="4329545" y="6269182"/>
          <a:ext cx="8610600" cy="1607127"/>
        </a:xfrm>
        <a:prstGeom prst="line">
          <a:avLst/>
        </a:prstGeom>
        <a:solidFill>
          <a:srgbClr val="004F8B">
            <a:alpha val="5000"/>
          </a:srgbClr>
        </a:solidFill>
        <a:ln w="36000">
          <a:solidFill>
            <a:srgbClr val="004F8B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1617062</xdr:colOff>
      <xdr:row>30</xdr:row>
      <xdr:rowOff>81146</xdr:rowOff>
    </xdr:from>
    <xdr:to>
      <xdr:col>16</xdr:col>
      <xdr:colOff>166255</xdr:colOff>
      <xdr:row>38</xdr:row>
      <xdr:rowOff>131618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6E7B2397-A64E-CE52-B9F1-6EC92A800AE6}"/>
            </a:ext>
          </a:extLst>
        </xdr:cNvPr>
        <xdr:cNvCxnSpPr/>
      </xdr:nvCxnSpPr>
      <xdr:spPr>
        <a:xfrm>
          <a:off x="4256353" y="6468091"/>
          <a:ext cx="8697647" cy="1657600"/>
        </a:xfrm>
        <a:prstGeom prst="line">
          <a:avLst/>
        </a:prstGeom>
        <a:solidFill>
          <a:srgbClr val="FF0066">
            <a:alpha val="5000"/>
          </a:srgbClr>
        </a:solidFill>
        <a:ln w="36000">
          <a:solidFill>
            <a:srgbClr val="FF006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13855</xdr:colOff>
      <xdr:row>27</xdr:row>
      <xdr:rowOff>69272</xdr:rowOff>
    </xdr:from>
    <xdr:to>
      <xdr:col>16</xdr:col>
      <xdr:colOff>187037</xdr:colOff>
      <xdr:row>39</xdr:row>
      <xdr:rowOff>83127</xdr:rowOff>
    </xdr:to>
    <xdr:cxnSp macro="">
      <xdr:nvCxnSpPr>
        <xdr:cNvPr id="41" name="Conector: curvado 40">
          <a:extLst>
            <a:ext uri="{FF2B5EF4-FFF2-40B4-BE49-F238E27FC236}">
              <a16:creationId xmlns:a16="http://schemas.microsoft.com/office/drawing/2014/main" id="{3025075F-3C0F-A90E-C470-6E0B370283E3}"/>
            </a:ext>
          </a:extLst>
        </xdr:cNvPr>
        <xdr:cNvCxnSpPr/>
      </xdr:nvCxnSpPr>
      <xdr:spPr>
        <a:xfrm>
          <a:off x="4308764" y="5853545"/>
          <a:ext cx="8666018" cy="2424546"/>
        </a:xfrm>
        <a:prstGeom prst="curvedConnector3">
          <a:avLst>
            <a:gd name="adj1" fmla="val 50000"/>
          </a:avLst>
        </a:prstGeom>
        <a:solidFill>
          <a:srgbClr val="66CC00">
            <a:alpha val="5000"/>
          </a:srgbClr>
        </a:solidFill>
        <a:ln w="36000">
          <a:solidFill>
            <a:srgbClr val="0000CC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442194</xdr:colOff>
      <xdr:row>18</xdr:row>
      <xdr:rowOff>20782</xdr:rowOff>
    </xdr:from>
    <xdr:to>
      <xdr:col>4</xdr:col>
      <xdr:colOff>484910</xdr:colOff>
      <xdr:row>20</xdr:row>
      <xdr:rowOff>13989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30364B-5AE2-4859-A60F-B21F3CDBB976}"/>
            </a:ext>
          </a:extLst>
        </xdr:cNvPr>
        <xdr:cNvCxnSpPr/>
      </xdr:nvCxnSpPr>
      <xdr:spPr>
        <a:xfrm flipH="1">
          <a:off x="4732254" y="3952702"/>
          <a:ext cx="42716" cy="389447"/>
        </a:xfrm>
        <a:prstGeom prst="line">
          <a:avLst/>
        </a:prstGeom>
        <a:gradFill>
          <a:gsLst>
            <a:gs pos="1000">
              <a:srgbClr val="489CD1">
                <a:alpha val="5000"/>
              </a:srgbClr>
            </a:gs>
            <a:gs pos="25000">
              <a:srgbClr val="A9D7B2">
                <a:alpha val="5000"/>
              </a:srgbClr>
            </a:gs>
            <a:gs pos="50000">
              <a:srgbClr val="B92B65">
                <a:alpha val="5000"/>
              </a:srgbClr>
            </a:gs>
            <a:gs pos="76000">
              <a:srgbClr val="9B2486">
                <a:alpha val="5000"/>
              </a:srgbClr>
            </a:gs>
            <a:gs pos="100000">
              <a:srgbClr val="244F85">
                <a:alpha val="5000"/>
              </a:srgbClr>
            </a:gs>
          </a:gsLst>
        </a:gradFill>
        <a:ln w="36000">
          <a:gradFill>
            <a:gsLst>
              <a:gs pos="1000">
                <a:srgbClr val="489CD1"/>
              </a:gs>
              <a:gs pos="25000">
                <a:srgbClr val="A9D7B2"/>
              </a:gs>
              <a:gs pos="50000">
                <a:srgbClr val="B92B65"/>
              </a:gs>
              <a:gs pos="76000">
                <a:srgbClr val="9B2486"/>
              </a:gs>
              <a:gs pos="100000">
                <a:srgbClr val="244F85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6927</xdr:colOff>
      <xdr:row>28</xdr:row>
      <xdr:rowOff>131618</xdr:rowOff>
    </xdr:from>
    <xdr:to>
      <xdr:col>16</xdr:col>
      <xdr:colOff>103910</xdr:colOff>
      <xdr:row>36</xdr:row>
      <xdr:rowOff>48491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95C9265-E996-49B0-8C03-BF1E37B4E8A3}"/>
            </a:ext>
          </a:extLst>
        </xdr:cNvPr>
        <xdr:cNvCxnSpPr/>
      </xdr:nvCxnSpPr>
      <xdr:spPr>
        <a:xfrm>
          <a:off x="4296987" y="6044738"/>
          <a:ext cx="8616143" cy="1501833"/>
        </a:xfrm>
        <a:prstGeom prst="line">
          <a:avLst/>
        </a:prstGeom>
        <a:gradFill>
          <a:gsLst>
            <a:gs pos="1000">
              <a:srgbClr val="7FC83F">
                <a:alpha val="5000"/>
              </a:srgbClr>
            </a:gs>
            <a:gs pos="18000">
              <a:srgbClr val="489CD1">
                <a:alpha val="5000"/>
              </a:srgbClr>
            </a:gs>
            <a:gs pos="36000">
              <a:srgbClr val="9B2486">
                <a:alpha val="5000"/>
              </a:srgbClr>
            </a:gs>
            <a:gs pos="52000">
              <a:srgbClr val="D33634">
                <a:alpha val="5000"/>
              </a:srgbClr>
            </a:gs>
            <a:gs pos="68000">
              <a:srgbClr val="E93668">
                <a:alpha val="5000"/>
              </a:srgbClr>
            </a:gs>
            <a:gs pos="83000">
              <a:srgbClr val="E46C33">
                <a:alpha val="5000"/>
              </a:srgbClr>
            </a:gs>
            <a:gs pos="95000">
              <a:srgbClr val="F5C248">
                <a:alpha val="5000"/>
              </a:srgbClr>
            </a:gs>
          </a:gsLst>
        </a:gradFill>
        <a:ln w="36000">
          <a:gradFill>
            <a:gsLst>
              <a:gs pos="1000">
                <a:srgbClr val="7FC83F"/>
              </a:gs>
              <a:gs pos="18000">
                <a:srgbClr val="489CD1"/>
              </a:gs>
              <a:gs pos="36000">
                <a:srgbClr val="9B2486"/>
              </a:gs>
              <a:gs pos="52000">
                <a:srgbClr val="D33634"/>
              </a:gs>
              <a:gs pos="68000">
                <a:srgbClr val="E93668"/>
              </a:gs>
              <a:gs pos="83000">
                <a:srgbClr val="E46C33"/>
              </a:gs>
              <a:gs pos="95000">
                <a:srgbClr val="F5C248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34636</xdr:colOff>
      <xdr:row>29</xdr:row>
      <xdr:rowOff>83127</xdr:rowOff>
    </xdr:from>
    <xdr:to>
      <xdr:col>16</xdr:col>
      <xdr:colOff>152400</xdr:colOff>
      <xdr:row>37</xdr:row>
      <xdr:rowOff>83127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F2C0213-62F3-4F38-87DB-FB8B8DBFB648}"/>
            </a:ext>
          </a:extLst>
        </xdr:cNvPr>
        <xdr:cNvCxnSpPr/>
      </xdr:nvCxnSpPr>
      <xdr:spPr>
        <a:xfrm>
          <a:off x="4324696" y="6194367"/>
          <a:ext cx="8636924" cy="1584960"/>
        </a:xfrm>
        <a:prstGeom prst="line">
          <a:avLst/>
        </a:prstGeom>
        <a:solidFill>
          <a:srgbClr val="004F8B">
            <a:alpha val="5000"/>
          </a:srgbClr>
        </a:solidFill>
        <a:ln w="36000">
          <a:solidFill>
            <a:srgbClr val="004F8B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1617062</xdr:colOff>
      <xdr:row>30</xdr:row>
      <xdr:rowOff>81146</xdr:rowOff>
    </xdr:from>
    <xdr:to>
      <xdr:col>16</xdr:col>
      <xdr:colOff>166255</xdr:colOff>
      <xdr:row>38</xdr:row>
      <xdr:rowOff>131618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835AB95-50DB-4570-9ABC-14F69C407978}"/>
            </a:ext>
          </a:extLst>
        </xdr:cNvPr>
        <xdr:cNvCxnSpPr/>
      </xdr:nvCxnSpPr>
      <xdr:spPr>
        <a:xfrm>
          <a:off x="4253582" y="6390506"/>
          <a:ext cx="8721893" cy="1635432"/>
        </a:xfrm>
        <a:prstGeom prst="line">
          <a:avLst/>
        </a:prstGeom>
        <a:solidFill>
          <a:srgbClr val="FF0066">
            <a:alpha val="5000"/>
          </a:srgbClr>
        </a:solidFill>
        <a:ln w="36000">
          <a:solidFill>
            <a:srgbClr val="FF006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13855</xdr:colOff>
      <xdr:row>27</xdr:row>
      <xdr:rowOff>69272</xdr:rowOff>
    </xdr:from>
    <xdr:to>
      <xdr:col>16</xdr:col>
      <xdr:colOff>187037</xdr:colOff>
      <xdr:row>39</xdr:row>
      <xdr:rowOff>83127</xdr:rowOff>
    </xdr:to>
    <xdr:cxnSp macro="">
      <xdr:nvCxnSpPr>
        <xdr:cNvPr id="6" name="Conector: curvado 5">
          <a:extLst>
            <a:ext uri="{FF2B5EF4-FFF2-40B4-BE49-F238E27FC236}">
              <a16:creationId xmlns:a16="http://schemas.microsoft.com/office/drawing/2014/main" id="{C3062FAA-9790-4FA4-A81D-0E3DEC9CF5B1}"/>
            </a:ext>
          </a:extLst>
        </xdr:cNvPr>
        <xdr:cNvCxnSpPr/>
      </xdr:nvCxnSpPr>
      <xdr:spPr>
        <a:xfrm>
          <a:off x="4303915" y="5784272"/>
          <a:ext cx="8692342" cy="2391295"/>
        </a:xfrm>
        <a:prstGeom prst="curvedConnector3">
          <a:avLst>
            <a:gd name="adj1" fmla="val 50000"/>
          </a:avLst>
        </a:prstGeom>
        <a:solidFill>
          <a:srgbClr val="66CC00">
            <a:alpha val="5000"/>
          </a:srgbClr>
        </a:solidFill>
        <a:ln w="36000">
          <a:solidFill>
            <a:srgbClr val="0000CC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442194</xdr:colOff>
      <xdr:row>18</xdr:row>
      <xdr:rowOff>20782</xdr:rowOff>
    </xdr:from>
    <xdr:to>
      <xdr:col>4</xdr:col>
      <xdr:colOff>484910</xdr:colOff>
      <xdr:row>20</xdr:row>
      <xdr:rowOff>13989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0231E8D-BCE5-4C2E-9AA5-CBDBB16E7EF4}"/>
            </a:ext>
          </a:extLst>
        </xdr:cNvPr>
        <xdr:cNvCxnSpPr/>
      </xdr:nvCxnSpPr>
      <xdr:spPr>
        <a:xfrm flipH="1">
          <a:off x="4732254" y="3952702"/>
          <a:ext cx="42716" cy="389447"/>
        </a:xfrm>
        <a:prstGeom prst="line">
          <a:avLst/>
        </a:prstGeom>
        <a:gradFill>
          <a:gsLst>
            <a:gs pos="1000">
              <a:srgbClr val="489CD1">
                <a:alpha val="5000"/>
              </a:srgbClr>
            </a:gs>
            <a:gs pos="25000">
              <a:srgbClr val="A9D7B2">
                <a:alpha val="5000"/>
              </a:srgbClr>
            </a:gs>
            <a:gs pos="50000">
              <a:srgbClr val="B92B65">
                <a:alpha val="5000"/>
              </a:srgbClr>
            </a:gs>
            <a:gs pos="76000">
              <a:srgbClr val="9B2486">
                <a:alpha val="5000"/>
              </a:srgbClr>
            </a:gs>
            <a:gs pos="100000">
              <a:srgbClr val="244F85">
                <a:alpha val="5000"/>
              </a:srgbClr>
            </a:gs>
          </a:gsLst>
        </a:gradFill>
        <a:ln w="36000">
          <a:gradFill>
            <a:gsLst>
              <a:gs pos="1000">
                <a:srgbClr val="489CD1"/>
              </a:gs>
              <a:gs pos="25000">
                <a:srgbClr val="A9D7B2"/>
              </a:gs>
              <a:gs pos="50000">
                <a:srgbClr val="B92B65"/>
              </a:gs>
              <a:gs pos="76000">
                <a:srgbClr val="9B2486"/>
              </a:gs>
              <a:gs pos="100000">
                <a:srgbClr val="244F85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6927</xdr:colOff>
      <xdr:row>28</xdr:row>
      <xdr:rowOff>131618</xdr:rowOff>
    </xdr:from>
    <xdr:to>
      <xdr:col>16</xdr:col>
      <xdr:colOff>103910</xdr:colOff>
      <xdr:row>36</xdr:row>
      <xdr:rowOff>48491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AB0F5E2-7A80-4CC7-B1E3-8DDC927A3C44}"/>
            </a:ext>
          </a:extLst>
        </xdr:cNvPr>
        <xdr:cNvCxnSpPr/>
      </xdr:nvCxnSpPr>
      <xdr:spPr>
        <a:xfrm>
          <a:off x="4296987" y="6044738"/>
          <a:ext cx="8616143" cy="1501833"/>
        </a:xfrm>
        <a:prstGeom prst="line">
          <a:avLst/>
        </a:prstGeom>
        <a:gradFill>
          <a:gsLst>
            <a:gs pos="1000">
              <a:srgbClr val="7FC83F">
                <a:alpha val="5000"/>
              </a:srgbClr>
            </a:gs>
            <a:gs pos="18000">
              <a:srgbClr val="489CD1">
                <a:alpha val="5000"/>
              </a:srgbClr>
            </a:gs>
            <a:gs pos="36000">
              <a:srgbClr val="9B2486">
                <a:alpha val="5000"/>
              </a:srgbClr>
            </a:gs>
            <a:gs pos="52000">
              <a:srgbClr val="D33634">
                <a:alpha val="5000"/>
              </a:srgbClr>
            </a:gs>
            <a:gs pos="68000">
              <a:srgbClr val="E93668">
                <a:alpha val="5000"/>
              </a:srgbClr>
            </a:gs>
            <a:gs pos="83000">
              <a:srgbClr val="E46C33">
                <a:alpha val="5000"/>
              </a:srgbClr>
            </a:gs>
            <a:gs pos="95000">
              <a:srgbClr val="F5C248">
                <a:alpha val="5000"/>
              </a:srgbClr>
            </a:gs>
          </a:gsLst>
        </a:gradFill>
        <a:ln w="36000">
          <a:gradFill>
            <a:gsLst>
              <a:gs pos="1000">
                <a:srgbClr val="7FC83F"/>
              </a:gs>
              <a:gs pos="18000">
                <a:srgbClr val="489CD1"/>
              </a:gs>
              <a:gs pos="36000">
                <a:srgbClr val="9B2486"/>
              </a:gs>
              <a:gs pos="52000">
                <a:srgbClr val="D33634"/>
              </a:gs>
              <a:gs pos="68000">
                <a:srgbClr val="E93668"/>
              </a:gs>
              <a:gs pos="83000">
                <a:srgbClr val="E46C33"/>
              </a:gs>
              <a:gs pos="95000">
                <a:srgbClr val="F5C248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34636</xdr:colOff>
      <xdr:row>29</xdr:row>
      <xdr:rowOff>83127</xdr:rowOff>
    </xdr:from>
    <xdr:to>
      <xdr:col>16</xdr:col>
      <xdr:colOff>152400</xdr:colOff>
      <xdr:row>37</xdr:row>
      <xdr:rowOff>83127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9528676-B776-4599-81AD-26B986E9DCDB}"/>
            </a:ext>
          </a:extLst>
        </xdr:cNvPr>
        <xdr:cNvCxnSpPr/>
      </xdr:nvCxnSpPr>
      <xdr:spPr>
        <a:xfrm>
          <a:off x="4324696" y="6194367"/>
          <a:ext cx="8636924" cy="1584960"/>
        </a:xfrm>
        <a:prstGeom prst="line">
          <a:avLst/>
        </a:prstGeom>
        <a:solidFill>
          <a:srgbClr val="004F8B">
            <a:alpha val="5000"/>
          </a:srgbClr>
        </a:solidFill>
        <a:ln w="36000">
          <a:solidFill>
            <a:srgbClr val="004F8B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1617062</xdr:colOff>
      <xdr:row>30</xdr:row>
      <xdr:rowOff>81146</xdr:rowOff>
    </xdr:from>
    <xdr:to>
      <xdr:col>16</xdr:col>
      <xdr:colOff>166255</xdr:colOff>
      <xdr:row>38</xdr:row>
      <xdr:rowOff>131618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6FFB960-90C4-4CC6-A62C-26C2A2531EE9}"/>
            </a:ext>
          </a:extLst>
        </xdr:cNvPr>
        <xdr:cNvCxnSpPr/>
      </xdr:nvCxnSpPr>
      <xdr:spPr>
        <a:xfrm>
          <a:off x="4253582" y="6390506"/>
          <a:ext cx="8721893" cy="1635432"/>
        </a:xfrm>
        <a:prstGeom prst="line">
          <a:avLst/>
        </a:prstGeom>
        <a:solidFill>
          <a:srgbClr val="FF0066">
            <a:alpha val="5000"/>
          </a:srgbClr>
        </a:solidFill>
        <a:ln w="36000">
          <a:solidFill>
            <a:srgbClr val="FF0066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13855</xdr:colOff>
      <xdr:row>27</xdr:row>
      <xdr:rowOff>69272</xdr:rowOff>
    </xdr:from>
    <xdr:to>
      <xdr:col>16</xdr:col>
      <xdr:colOff>187037</xdr:colOff>
      <xdr:row>39</xdr:row>
      <xdr:rowOff>83127</xdr:rowOff>
    </xdr:to>
    <xdr:cxnSp macro="">
      <xdr:nvCxnSpPr>
        <xdr:cNvPr id="6" name="Conector: curvado 5">
          <a:extLst>
            <a:ext uri="{FF2B5EF4-FFF2-40B4-BE49-F238E27FC236}">
              <a16:creationId xmlns:a16="http://schemas.microsoft.com/office/drawing/2014/main" id="{99D39DA5-B409-43C7-BC24-FA121E224C07}"/>
            </a:ext>
          </a:extLst>
        </xdr:cNvPr>
        <xdr:cNvCxnSpPr/>
      </xdr:nvCxnSpPr>
      <xdr:spPr>
        <a:xfrm>
          <a:off x="4303915" y="5784272"/>
          <a:ext cx="8692342" cy="2391295"/>
        </a:xfrm>
        <a:prstGeom prst="curvedConnector3">
          <a:avLst>
            <a:gd name="adj1" fmla="val 50000"/>
          </a:avLst>
        </a:prstGeom>
        <a:solidFill>
          <a:srgbClr val="66CC00">
            <a:alpha val="5000"/>
          </a:srgbClr>
        </a:solidFill>
        <a:ln w="36000">
          <a:solidFill>
            <a:srgbClr val="0000CC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EMANA%2014/Caso%20El%20pegalotodo%20Feliz%20SA%20resuelto%20y%20completo%20(version%201).xls" TargetMode="External"/><Relationship Id="rId2" Type="http://schemas.openxmlformats.org/officeDocument/2006/relationships/externalLinkPath" Target="file:///C:\Users\Inspiron\Documents\UHISPANOAMERICANA\FINANZAS%201\SEMANA%2014\Caso%20El%20pegalotodo%20Feliz%20SA%20resuelto%20y%20completo%20(version%201).xls" TargetMode="External"/><Relationship Id="rId1" Type="http://schemas.openxmlformats.org/officeDocument/2006/relationships/externalLinkPath" Target="/Users/Inspiron/Documents/UHISPANOAMERICANA/FINANZAS%201/SEMANA%2014/Caso%20El%20pegalotodo%20Feliz%20SA%20resuelto%20y%20completo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entarios 2023"/>
      <sheetName val="Base de Datos"/>
      <sheetName val="DEUDA"/>
      <sheetName val="Balances"/>
      <sheetName val="Resultados"/>
      <sheetName val="Modelos Ventas"/>
      <sheetName val="Plan de Ventas Y gastos"/>
      <sheetName val="RESULTADOS PROYECTO"/>
      <sheetName val="Capital de Trabajo"/>
      <sheetName val="FLJJO DE CAJA"/>
      <sheetName val="Hoja1"/>
    </sheetNames>
    <sheetDataSet>
      <sheetData sheetId="0"/>
      <sheetData sheetId="1">
        <row r="28">
          <cell r="E28">
            <v>0.4</v>
          </cell>
        </row>
      </sheetData>
      <sheetData sheetId="2">
        <row r="42">
          <cell r="I42">
            <v>5084.5361944990418</v>
          </cell>
        </row>
      </sheetData>
      <sheetData sheetId="3"/>
      <sheetData sheetId="4">
        <row r="8">
          <cell r="C8" t="str">
            <v>Gastos Operativos</v>
          </cell>
        </row>
        <row r="9">
          <cell r="C9" t="str">
            <v>Gasto Ventas</v>
          </cell>
        </row>
        <row r="10">
          <cell r="C10" t="str">
            <v>Gasto Administrativo</v>
          </cell>
        </row>
        <row r="11">
          <cell r="C11" t="str">
            <v>Depreciaciones</v>
          </cell>
        </row>
        <row r="12">
          <cell r="C12" t="str">
            <v>Total Gasto Operativo</v>
          </cell>
        </row>
        <row r="13">
          <cell r="C13" t="str">
            <v>Utlidades Operativas</v>
          </cell>
        </row>
        <row r="14">
          <cell r="C14" t="str">
            <v>Gasto Financiero</v>
          </cell>
        </row>
        <row r="15">
          <cell r="C15" t="str">
            <v>Utilidad antes de Impuestos</v>
          </cell>
        </row>
        <row r="16">
          <cell r="C16" t="str">
            <v>Impuestos Renta</v>
          </cell>
        </row>
        <row r="17">
          <cell r="C17" t="str">
            <v>Utilidad Neta</v>
          </cell>
        </row>
        <row r="18">
          <cell r="C18" t="str">
            <v>Dividendos</v>
          </cell>
        </row>
        <row r="19">
          <cell r="C19" t="str">
            <v>Utilidades Retenidas</v>
          </cell>
        </row>
      </sheetData>
      <sheetData sheetId="5">
        <row r="11">
          <cell r="K11">
            <v>252226.24390656003</v>
          </cell>
        </row>
      </sheetData>
      <sheetData sheetId="6">
        <row r="3">
          <cell r="E3">
            <v>44927</v>
          </cell>
          <cell r="F3">
            <v>44958</v>
          </cell>
          <cell r="G3">
            <v>44986</v>
          </cell>
          <cell r="H3">
            <v>45017</v>
          </cell>
          <cell r="I3">
            <v>45047</v>
          </cell>
          <cell r="J3">
            <v>45078</v>
          </cell>
          <cell r="K3">
            <v>45108</v>
          </cell>
          <cell r="L3">
            <v>45139</v>
          </cell>
          <cell r="M3">
            <v>45170</v>
          </cell>
          <cell r="N3">
            <v>45200</v>
          </cell>
          <cell r="O3">
            <v>45231</v>
          </cell>
          <cell r="P3">
            <v>45261</v>
          </cell>
        </row>
      </sheetData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ORALES ESPINOZA FERNANDA VALENTINA" id="{0D396268-6E36-44E2-8125-A62BB785F7C7}" userId="S::fernanda.morales0100@uhispano.ac.cr::ec3cedbd-9f1f-46f5-aaa3-8609e9c4c948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9" dT="2026-04-01T17:02:33.40" personId="{0D396268-6E36-44E2-8125-A62BB785F7C7}" id="{B78557AB-E2E4-493A-AF4A-2D1764785399}">
    <text>Se toma el monto de depreciación y se divide entre 12. Recuerden fijar la celda del monto de la depreciación y luego arrastrar</text>
  </threadedComment>
  <threadedComment ref="D41" dT="2026-04-01T17:02:51.68" personId="{0D396268-6E36-44E2-8125-A62BB785F7C7}" id="{6AE12A1F-34BA-4D9B-B270-9E7FD2A7B4EE}">
    <text>Se toma el monto de Gasto financiero y se divide entre 12. Recuerden fijar la celda del monto del Gasto financiero y luego arrastrar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" dT="2026-04-01T17:14:59.90" personId="{0D396268-6E36-44E2-8125-A62BB785F7C7}" id="{505E302E-AC6B-40CE-A264-7AA4D7710D7B}">
    <text>Se toma el MARGEN DE GANANCIA menos TOTAL GASTO OPERATIVO</text>
  </threadedComment>
  <threadedComment ref="C16" dT="2026-04-01T17:17:16.06" personId="{0D396268-6E36-44E2-8125-A62BB785F7C7}" id="{FBC35E3D-0947-4ED7-AC38-682D122B3C49}">
    <text>UTILIDADES OPERATIVOS menos GASTO FINANCIERO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39" dT="2026-04-01T17:02:33.40" personId="{0D396268-6E36-44E2-8125-A62BB785F7C7}" id="{582164BC-7B96-4EA1-A9A3-D4993F738C1A}">
    <text>Se toma el monto de depreciación y se divide entre 12. Recuerden fijar la celda del monto de la depreciación y luego arrastrar</text>
  </threadedComment>
  <threadedComment ref="D41" dT="2026-04-01T17:02:51.68" personId="{0D396268-6E36-44E2-8125-A62BB785F7C7}" id="{F96FE9FA-C5EA-4B87-BBA6-CBEE3F79650E}">
    <text>Se toma el monto de Gasto financiero y se divide entre 12. Recuerden fijar la celda del monto del Gasto financiero y luego arrastrar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4" dT="2026-04-01T17:14:59.90" personId="{0D396268-6E36-44E2-8125-A62BB785F7C7}" id="{495F1BB5-1277-424B-9E37-ECD4374250E0}">
    <text>Se toma el MARGEN DE GANANCIA menos TOTAL GASTO OPERATIVO</text>
  </threadedComment>
  <threadedComment ref="C16" dT="2026-04-01T17:17:16.06" personId="{0D396268-6E36-44E2-8125-A62BB785F7C7}" id="{16DB3990-C25B-45C1-A0CF-48AD89BDB225}">
    <text>UTILIDADES OPERATIVOS menos GASTO FINANCIERO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39" dT="2026-04-01T17:02:33.40" personId="{0D396268-6E36-44E2-8125-A62BB785F7C7}" id="{95985D79-119D-404B-8C4C-134AC87C6F26}">
    <text>Se toma el monto de depreciación y se divide entre 12. Recuerden fijar la celda del monto de la depreciación y luego arrastrar</text>
  </threadedComment>
  <threadedComment ref="D41" dT="2026-04-01T17:02:51.68" personId="{0D396268-6E36-44E2-8125-A62BB785F7C7}" id="{9A75D469-8A12-47F6-B43F-2154E7466024}">
    <text>Se toma el monto de Gasto financiero y se divide entre 12. Recuerden fijar la celda del monto del Gasto financiero y luego arrastrar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EEAD-36F9-4053-8597-E756B436DA82}">
  <dimension ref="C3:Q29"/>
  <sheetViews>
    <sheetView tabSelected="1" zoomScaleNormal="100" workbookViewId="0">
      <selection activeCell="C3" sqref="C3:O3"/>
    </sheetView>
  </sheetViews>
  <sheetFormatPr baseColWidth="10" defaultRowHeight="15.6" x14ac:dyDescent="0.3"/>
  <cols>
    <col min="1" max="3" width="11.5546875" style="39"/>
    <col min="4" max="4" width="11.88671875" style="39" bestFit="1" customWidth="1"/>
    <col min="5" max="5" width="11.5546875" style="39"/>
    <col min="6" max="6" width="19.88671875" style="39" customWidth="1"/>
    <col min="7" max="7" width="12.109375" style="39" customWidth="1"/>
    <col min="8" max="8" width="5.77734375" style="39" customWidth="1"/>
    <col min="9" max="9" width="14.44140625" style="39" customWidth="1"/>
    <col min="10" max="10" width="5.33203125" style="39" customWidth="1"/>
    <col min="11" max="11" width="12.44140625" style="39" customWidth="1"/>
    <col min="12" max="12" width="6.5546875" style="39" customWidth="1"/>
    <col min="13" max="13" width="12.109375" style="39" customWidth="1"/>
    <col min="14" max="14" width="5.77734375" style="39" customWidth="1"/>
    <col min="15" max="15" width="14.44140625" style="39" customWidth="1"/>
    <col min="16" max="16" width="5.33203125" style="39" customWidth="1"/>
    <col min="17" max="17" width="13.6640625" style="39" bestFit="1" customWidth="1"/>
    <col min="18" max="16384" width="11.5546875" style="39"/>
  </cols>
  <sheetData>
    <row r="3" spans="3:15" ht="23.4" thickBot="1" x14ac:dyDescent="0.45">
      <c r="C3" s="127" t="s">
        <v>36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3:15" ht="16.2" thickTop="1" x14ac:dyDescent="0.3"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3:15" x14ac:dyDescent="0.3">
      <c r="C5" s="40" t="s">
        <v>37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3:15" x14ac:dyDescent="0.3">
      <c r="C6" s="40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3:15" ht="16.2" thickBot="1" x14ac:dyDescent="0.35">
      <c r="C7" s="131" t="s">
        <v>47</v>
      </c>
      <c r="D7" s="13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3:15" ht="18.600000000000001" customHeight="1" x14ac:dyDescent="0.3">
      <c r="C8" s="50" t="s">
        <v>32</v>
      </c>
      <c r="D8" s="54">
        <v>40000</v>
      </c>
      <c r="E8" s="40"/>
      <c r="F8" s="48" t="s">
        <v>44</v>
      </c>
      <c r="G8" s="49">
        <v>0.4</v>
      </c>
      <c r="H8" s="41"/>
      <c r="I8" s="41"/>
      <c r="J8" s="41"/>
      <c r="K8" s="41"/>
      <c r="L8" s="41"/>
      <c r="M8" s="41"/>
      <c r="N8" s="41"/>
      <c r="O8" s="41"/>
    </row>
    <row r="9" spans="3:15" ht="18" customHeight="1" x14ac:dyDescent="0.3">
      <c r="C9" s="51" t="s">
        <v>33</v>
      </c>
      <c r="D9" s="56">
        <v>50000</v>
      </c>
      <c r="E9" s="40"/>
      <c r="F9" s="48" t="s">
        <v>45</v>
      </c>
      <c r="G9" s="49">
        <v>0.6</v>
      </c>
      <c r="H9" s="41"/>
      <c r="I9" s="41"/>
      <c r="J9" s="41"/>
      <c r="K9" s="41"/>
      <c r="L9" s="41"/>
      <c r="M9" s="41"/>
      <c r="N9" s="41"/>
      <c r="O9" s="41"/>
    </row>
    <row r="10" spans="3:15" ht="15.6" customHeight="1" x14ac:dyDescent="0.3">
      <c r="C10" s="51" t="s">
        <v>34</v>
      </c>
      <c r="D10" s="57">
        <v>80000</v>
      </c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3:15" ht="18" customHeight="1" x14ac:dyDescent="0.3">
      <c r="C11" s="51" t="s">
        <v>35</v>
      </c>
      <c r="D11" s="58">
        <v>60000</v>
      </c>
      <c r="E11" s="40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3:15" ht="18.600000000000001" customHeight="1" thickBot="1" x14ac:dyDescent="0.35">
      <c r="C12" s="52" t="s">
        <v>43</v>
      </c>
      <c r="D12" s="59">
        <v>50000</v>
      </c>
      <c r="E12" s="40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spans="3:15" s="53" customFormat="1" ht="18.600000000000001" customHeight="1" x14ac:dyDescent="0.25"/>
    <row r="14" spans="3:15" x14ac:dyDescent="0.3">
      <c r="C14" s="132" t="s">
        <v>46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</row>
    <row r="17" spans="3:17" x14ac:dyDescent="0.3">
      <c r="C17" s="126" t="s">
        <v>48</v>
      </c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3:17" ht="16.2" thickBot="1" x14ac:dyDescent="0.35"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3:17" x14ac:dyDescent="0.3">
      <c r="G19" s="41" t="s">
        <v>32</v>
      </c>
      <c r="H19" s="41"/>
      <c r="I19" s="61" t="s">
        <v>33</v>
      </c>
      <c r="J19" s="62"/>
      <c r="K19" s="62" t="s">
        <v>34</v>
      </c>
      <c r="L19" s="63"/>
      <c r="M19" s="62" t="s">
        <v>35</v>
      </c>
      <c r="N19" s="62"/>
      <c r="O19" s="64" t="s">
        <v>43</v>
      </c>
      <c r="P19" s="41"/>
      <c r="Q19" s="41" t="s">
        <v>51</v>
      </c>
    </row>
    <row r="20" spans="3:17" x14ac:dyDescent="0.3">
      <c r="C20" s="128" t="s">
        <v>38</v>
      </c>
      <c r="D20" s="128"/>
      <c r="E20" s="128"/>
      <c r="F20" s="128"/>
      <c r="G20" s="42">
        <f>+D8*0.4</f>
        <v>16000</v>
      </c>
      <c r="H20" s="42"/>
      <c r="I20" s="65">
        <f>+D9*0.4</f>
        <v>20000</v>
      </c>
      <c r="J20" s="42"/>
      <c r="K20" s="42">
        <f>+D10*0.4</f>
        <v>32000</v>
      </c>
      <c r="L20" s="43"/>
      <c r="M20" s="42">
        <f>+D11*0.4</f>
        <v>24000</v>
      </c>
      <c r="N20" s="42"/>
      <c r="O20" s="66">
        <f>+D12*0.4</f>
        <v>20000</v>
      </c>
      <c r="P20" s="42"/>
      <c r="Q20" s="42"/>
    </row>
    <row r="21" spans="3:17" x14ac:dyDescent="0.3">
      <c r="C21" s="129" t="s">
        <v>49</v>
      </c>
      <c r="D21" s="129"/>
      <c r="E21" s="129"/>
      <c r="F21" s="129"/>
      <c r="G21" s="44">
        <f>+D8*0.6</f>
        <v>24000</v>
      </c>
      <c r="H21" s="44"/>
      <c r="I21" s="67">
        <f>+D9*0.6</f>
        <v>30000</v>
      </c>
      <c r="J21" s="42"/>
      <c r="K21" s="44">
        <f>+D10*0.6</f>
        <v>48000</v>
      </c>
      <c r="L21" s="43"/>
      <c r="M21" s="44">
        <f>+D11*0.6</f>
        <v>36000</v>
      </c>
      <c r="N21" s="44"/>
      <c r="O21" s="68">
        <f>+D12*0.6</f>
        <v>30000</v>
      </c>
      <c r="P21" s="42"/>
      <c r="Q21" s="44"/>
    </row>
    <row r="22" spans="3:17" ht="16.2" thickBot="1" x14ac:dyDescent="0.35">
      <c r="C22" s="130" t="s">
        <v>39</v>
      </c>
      <c r="D22" s="130"/>
      <c r="E22" s="130"/>
      <c r="F22" s="130"/>
      <c r="G22" s="55">
        <f>SUM(G20:G21)</f>
        <v>40000</v>
      </c>
      <c r="H22" s="42"/>
      <c r="I22" s="69">
        <f>SUM(I20:I21)</f>
        <v>50000</v>
      </c>
      <c r="J22" s="70"/>
      <c r="K22" s="71">
        <f>SUM(K20:K21)</f>
        <v>80000</v>
      </c>
      <c r="L22" s="72"/>
      <c r="M22" s="73">
        <f>SUM(M20:M21)</f>
        <v>60000</v>
      </c>
      <c r="N22" s="70"/>
      <c r="O22" s="74">
        <f>SUM(O20:O21)</f>
        <v>50000</v>
      </c>
      <c r="P22" s="42"/>
      <c r="Q22" s="45">
        <f>SUM(I22:O22)</f>
        <v>240000</v>
      </c>
    </row>
    <row r="23" spans="3:17" x14ac:dyDescent="0.3">
      <c r="C23" s="133"/>
      <c r="D23" s="133"/>
      <c r="E23" s="133"/>
      <c r="F23" s="133"/>
      <c r="G23" s="45"/>
      <c r="H23" s="45"/>
      <c r="I23" s="45"/>
      <c r="J23" s="42"/>
      <c r="K23" s="42"/>
      <c r="L23" s="43"/>
      <c r="M23" s="45"/>
      <c r="N23" s="45"/>
      <c r="O23" s="45"/>
      <c r="P23" s="42"/>
      <c r="Q23" s="42"/>
    </row>
    <row r="24" spans="3:17" x14ac:dyDescent="0.3">
      <c r="C24" s="134" t="s">
        <v>50</v>
      </c>
      <c r="D24" s="134"/>
      <c r="E24" s="134"/>
      <c r="F24" s="134"/>
      <c r="G24" s="60"/>
      <c r="H24" s="60"/>
      <c r="I24" s="60"/>
      <c r="J24" s="60"/>
      <c r="K24" s="60"/>
      <c r="L24" s="43"/>
      <c r="M24" s="60"/>
      <c r="N24" s="60"/>
      <c r="O24" s="60"/>
      <c r="P24" s="60"/>
      <c r="Q24" s="60"/>
    </row>
    <row r="25" spans="3:17" x14ac:dyDescent="0.3">
      <c r="C25" s="135" t="s">
        <v>40</v>
      </c>
      <c r="D25" s="135"/>
      <c r="E25" s="135"/>
      <c r="F25" s="135"/>
      <c r="G25" s="42"/>
      <c r="H25" s="46"/>
      <c r="I25" s="42">
        <f>+I21</f>
        <v>30000</v>
      </c>
      <c r="J25" s="42"/>
      <c r="K25" s="42">
        <f>+K21</f>
        <v>48000</v>
      </c>
      <c r="L25" s="43"/>
      <c r="M25" s="42">
        <f>+M21</f>
        <v>36000</v>
      </c>
      <c r="N25" s="46"/>
      <c r="O25" s="42">
        <f>+O21</f>
        <v>30000</v>
      </c>
      <c r="P25" s="42"/>
      <c r="Q25" s="42"/>
    </row>
    <row r="26" spans="3:17" x14ac:dyDescent="0.3">
      <c r="C26" s="132" t="s">
        <v>41</v>
      </c>
      <c r="D26" s="132"/>
      <c r="E26" s="132"/>
      <c r="F26" s="132"/>
      <c r="G26" s="42"/>
      <c r="H26" s="46"/>
      <c r="I26" s="44">
        <f>+G20</f>
        <v>16000</v>
      </c>
      <c r="J26" s="42"/>
      <c r="K26" s="44">
        <f>+I20</f>
        <v>20000</v>
      </c>
      <c r="L26" s="43"/>
      <c r="M26" s="44">
        <f>+K20</f>
        <v>32000</v>
      </c>
      <c r="N26" s="46"/>
      <c r="O26" s="44">
        <f>+M20</f>
        <v>24000</v>
      </c>
      <c r="P26" s="42"/>
      <c r="Q26" s="42"/>
    </row>
    <row r="27" spans="3:17" ht="16.2" thickBot="1" x14ac:dyDescent="0.35">
      <c r="C27" s="130" t="s">
        <v>42</v>
      </c>
      <c r="D27" s="130"/>
      <c r="E27" s="130"/>
      <c r="F27" s="130"/>
      <c r="G27" s="45"/>
      <c r="H27" s="45"/>
      <c r="I27" s="75">
        <f>SUM(I25:I26)</f>
        <v>46000</v>
      </c>
      <c r="J27" s="45"/>
      <c r="K27" s="75">
        <f>SUM(K25:K26)</f>
        <v>68000</v>
      </c>
      <c r="L27" s="47"/>
      <c r="M27" s="75">
        <f>SUM(M25:M26)</f>
        <v>68000</v>
      </c>
      <c r="N27" s="45"/>
      <c r="O27" s="75">
        <f>SUM(O25:O26)</f>
        <v>54000</v>
      </c>
      <c r="P27" s="42"/>
      <c r="Q27" s="45">
        <f>SUM(I27:O27)</f>
        <v>236000</v>
      </c>
    </row>
    <row r="28" spans="3:17" ht="16.2" thickTop="1" x14ac:dyDescent="0.3"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spans="3:17" x14ac:dyDescent="0.3"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</sheetData>
  <mergeCells count="12">
    <mergeCell ref="C23:F23"/>
    <mergeCell ref="C24:F24"/>
    <mergeCell ref="C25:F25"/>
    <mergeCell ref="C26:F26"/>
    <mergeCell ref="C27:F27"/>
    <mergeCell ref="C17:Q18"/>
    <mergeCell ref="C3:O3"/>
    <mergeCell ref="C20:F20"/>
    <mergeCell ref="C21:F21"/>
    <mergeCell ref="C22:F22"/>
    <mergeCell ref="C7:D7"/>
    <mergeCell ref="C14:M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DB26-FBBD-47F0-AC68-B6279C08C982}">
  <dimension ref="B2:R43"/>
  <sheetViews>
    <sheetView topLeftCell="B12" zoomScale="110" zoomScaleNormal="110" workbookViewId="0">
      <selection activeCell="E39" sqref="E39"/>
    </sheetView>
  </sheetViews>
  <sheetFormatPr baseColWidth="10" defaultRowHeight="15.6" x14ac:dyDescent="0.3"/>
  <cols>
    <col min="1" max="1" width="7.5546875" style="2" customWidth="1"/>
    <col min="2" max="2" width="25" style="2" customWidth="1"/>
    <col min="3" max="3" width="5.88671875" style="2" bestFit="1" customWidth="1"/>
    <col min="4" max="4" width="24.109375" style="2" customWidth="1"/>
    <col min="5" max="9" width="10.44140625" style="2" bestFit="1" customWidth="1"/>
    <col min="10" max="10" width="10.5546875" style="2" bestFit="1" customWidth="1"/>
    <col min="11" max="11" width="10.44140625" style="2" bestFit="1" customWidth="1"/>
    <col min="12" max="12" width="9.21875" style="2" bestFit="1" customWidth="1"/>
    <col min="13" max="16" width="10.44140625" style="2" bestFit="1" customWidth="1"/>
    <col min="17" max="17" width="11.6640625" style="2" bestFit="1" customWidth="1"/>
    <col min="18" max="18" width="11.77734375" style="2" bestFit="1" customWidth="1"/>
    <col min="19" max="257" width="11.5546875" style="2"/>
    <col min="258" max="258" width="19.6640625" style="2" bestFit="1" customWidth="1"/>
    <col min="259" max="259" width="5.6640625" style="2" bestFit="1" customWidth="1"/>
    <col min="260" max="260" width="18.6640625" style="2" bestFit="1" customWidth="1"/>
    <col min="261" max="263" width="9.21875" style="2" bestFit="1" customWidth="1"/>
    <col min="264" max="264" width="8.33203125" style="2" bestFit="1" customWidth="1"/>
    <col min="265" max="265" width="8.5546875" style="2" bestFit="1" customWidth="1"/>
    <col min="266" max="266" width="10.33203125" style="2" bestFit="1" customWidth="1"/>
    <col min="267" max="267" width="8.33203125" style="2" bestFit="1" customWidth="1"/>
    <col min="268" max="268" width="8.21875" style="2" bestFit="1" customWidth="1"/>
    <col min="269" max="272" width="9.21875" style="2" bestFit="1" customWidth="1"/>
    <col min="273" max="273" width="10.21875" style="2" bestFit="1" customWidth="1"/>
    <col min="274" max="513" width="11.5546875" style="2"/>
    <col min="514" max="514" width="19.6640625" style="2" bestFit="1" customWidth="1"/>
    <col min="515" max="515" width="5.6640625" style="2" bestFit="1" customWidth="1"/>
    <col min="516" max="516" width="18.6640625" style="2" bestFit="1" customWidth="1"/>
    <col min="517" max="519" width="9.21875" style="2" bestFit="1" customWidth="1"/>
    <col min="520" max="520" width="8.33203125" style="2" bestFit="1" customWidth="1"/>
    <col min="521" max="521" width="8.5546875" style="2" bestFit="1" customWidth="1"/>
    <col min="522" max="522" width="10.33203125" style="2" bestFit="1" customWidth="1"/>
    <col min="523" max="523" width="8.33203125" style="2" bestFit="1" customWidth="1"/>
    <col min="524" max="524" width="8.21875" style="2" bestFit="1" customWidth="1"/>
    <col min="525" max="528" width="9.21875" style="2" bestFit="1" customWidth="1"/>
    <col min="529" max="529" width="10.21875" style="2" bestFit="1" customWidth="1"/>
    <col min="530" max="769" width="11.5546875" style="2"/>
    <col min="770" max="770" width="19.6640625" style="2" bestFit="1" customWidth="1"/>
    <col min="771" max="771" width="5.6640625" style="2" bestFit="1" customWidth="1"/>
    <col min="772" max="772" width="18.6640625" style="2" bestFit="1" customWidth="1"/>
    <col min="773" max="775" width="9.21875" style="2" bestFit="1" customWidth="1"/>
    <col min="776" max="776" width="8.33203125" style="2" bestFit="1" customWidth="1"/>
    <col min="777" max="777" width="8.5546875" style="2" bestFit="1" customWidth="1"/>
    <col min="778" max="778" width="10.33203125" style="2" bestFit="1" customWidth="1"/>
    <col min="779" max="779" width="8.33203125" style="2" bestFit="1" customWidth="1"/>
    <col min="780" max="780" width="8.21875" style="2" bestFit="1" customWidth="1"/>
    <col min="781" max="784" width="9.21875" style="2" bestFit="1" customWidth="1"/>
    <col min="785" max="785" width="10.21875" style="2" bestFit="1" customWidth="1"/>
    <col min="786" max="1025" width="11.5546875" style="2"/>
    <col min="1026" max="1026" width="19.6640625" style="2" bestFit="1" customWidth="1"/>
    <col min="1027" max="1027" width="5.6640625" style="2" bestFit="1" customWidth="1"/>
    <col min="1028" max="1028" width="18.6640625" style="2" bestFit="1" customWidth="1"/>
    <col min="1029" max="1031" width="9.21875" style="2" bestFit="1" customWidth="1"/>
    <col min="1032" max="1032" width="8.33203125" style="2" bestFit="1" customWidth="1"/>
    <col min="1033" max="1033" width="8.5546875" style="2" bestFit="1" customWidth="1"/>
    <col min="1034" max="1034" width="10.33203125" style="2" bestFit="1" customWidth="1"/>
    <col min="1035" max="1035" width="8.33203125" style="2" bestFit="1" customWidth="1"/>
    <col min="1036" max="1036" width="8.21875" style="2" bestFit="1" customWidth="1"/>
    <col min="1037" max="1040" width="9.21875" style="2" bestFit="1" customWidth="1"/>
    <col min="1041" max="1041" width="10.21875" style="2" bestFit="1" customWidth="1"/>
    <col min="1042" max="1281" width="11.5546875" style="2"/>
    <col min="1282" max="1282" width="19.6640625" style="2" bestFit="1" customWidth="1"/>
    <col min="1283" max="1283" width="5.6640625" style="2" bestFit="1" customWidth="1"/>
    <col min="1284" max="1284" width="18.6640625" style="2" bestFit="1" customWidth="1"/>
    <col min="1285" max="1287" width="9.21875" style="2" bestFit="1" customWidth="1"/>
    <col min="1288" max="1288" width="8.33203125" style="2" bestFit="1" customWidth="1"/>
    <col min="1289" max="1289" width="8.5546875" style="2" bestFit="1" customWidth="1"/>
    <col min="1290" max="1290" width="10.33203125" style="2" bestFit="1" customWidth="1"/>
    <col min="1291" max="1291" width="8.33203125" style="2" bestFit="1" customWidth="1"/>
    <col min="1292" max="1292" width="8.21875" style="2" bestFit="1" customWidth="1"/>
    <col min="1293" max="1296" width="9.21875" style="2" bestFit="1" customWidth="1"/>
    <col min="1297" max="1297" width="10.21875" style="2" bestFit="1" customWidth="1"/>
    <col min="1298" max="1537" width="11.5546875" style="2"/>
    <col min="1538" max="1538" width="19.6640625" style="2" bestFit="1" customWidth="1"/>
    <col min="1539" max="1539" width="5.6640625" style="2" bestFit="1" customWidth="1"/>
    <col min="1540" max="1540" width="18.6640625" style="2" bestFit="1" customWidth="1"/>
    <col min="1541" max="1543" width="9.21875" style="2" bestFit="1" customWidth="1"/>
    <col min="1544" max="1544" width="8.33203125" style="2" bestFit="1" customWidth="1"/>
    <col min="1545" max="1545" width="8.5546875" style="2" bestFit="1" customWidth="1"/>
    <col min="1546" max="1546" width="10.33203125" style="2" bestFit="1" customWidth="1"/>
    <col min="1547" max="1547" width="8.33203125" style="2" bestFit="1" customWidth="1"/>
    <col min="1548" max="1548" width="8.21875" style="2" bestFit="1" customWidth="1"/>
    <col min="1549" max="1552" width="9.21875" style="2" bestFit="1" customWidth="1"/>
    <col min="1553" max="1553" width="10.21875" style="2" bestFit="1" customWidth="1"/>
    <col min="1554" max="1793" width="11.5546875" style="2"/>
    <col min="1794" max="1794" width="19.6640625" style="2" bestFit="1" customWidth="1"/>
    <col min="1795" max="1795" width="5.6640625" style="2" bestFit="1" customWidth="1"/>
    <col min="1796" max="1796" width="18.6640625" style="2" bestFit="1" customWidth="1"/>
    <col min="1797" max="1799" width="9.21875" style="2" bestFit="1" customWidth="1"/>
    <col min="1800" max="1800" width="8.33203125" style="2" bestFit="1" customWidth="1"/>
    <col min="1801" max="1801" width="8.5546875" style="2" bestFit="1" customWidth="1"/>
    <col min="1802" max="1802" width="10.33203125" style="2" bestFit="1" customWidth="1"/>
    <col min="1803" max="1803" width="8.33203125" style="2" bestFit="1" customWidth="1"/>
    <col min="1804" max="1804" width="8.21875" style="2" bestFit="1" customWidth="1"/>
    <col min="1805" max="1808" width="9.21875" style="2" bestFit="1" customWidth="1"/>
    <col min="1809" max="1809" width="10.21875" style="2" bestFit="1" customWidth="1"/>
    <col min="1810" max="2049" width="11.5546875" style="2"/>
    <col min="2050" max="2050" width="19.6640625" style="2" bestFit="1" customWidth="1"/>
    <col min="2051" max="2051" width="5.6640625" style="2" bestFit="1" customWidth="1"/>
    <col min="2052" max="2052" width="18.6640625" style="2" bestFit="1" customWidth="1"/>
    <col min="2053" max="2055" width="9.21875" style="2" bestFit="1" customWidth="1"/>
    <col min="2056" max="2056" width="8.33203125" style="2" bestFit="1" customWidth="1"/>
    <col min="2057" max="2057" width="8.5546875" style="2" bestFit="1" customWidth="1"/>
    <col min="2058" max="2058" width="10.33203125" style="2" bestFit="1" customWidth="1"/>
    <col min="2059" max="2059" width="8.33203125" style="2" bestFit="1" customWidth="1"/>
    <col min="2060" max="2060" width="8.21875" style="2" bestFit="1" customWidth="1"/>
    <col min="2061" max="2064" width="9.21875" style="2" bestFit="1" customWidth="1"/>
    <col min="2065" max="2065" width="10.21875" style="2" bestFit="1" customWidth="1"/>
    <col min="2066" max="2305" width="11.5546875" style="2"/>
    <col min="2306" max="2306" width="19.6640625" style="2" bestFit="1" customWidth="1"/>
    <col min="2307" max="2307" width="5.6640625" style="2" bestFit="1" customWidth="1"/>
    <col min="2308" max="2308" width="18.6640625" style="2" bestFit="1" customWidth="1"/>
    <col min="2309" max="2311" width="9.21875" style="2" bestFit="1" customWidth="1"/>
    <col min="2312" max="2312" width="8.33203125" style="2" bestFit="1" customWidth="1"/>
    <col min="2313" max="2313" width="8.5546875" style="2" bestFit="1" customWidth="1"/>
    <col min="2314" max="2314" width="10.33203125" style="2" bestFit="1" customWidth="1"/>
    <col min="2315" max="2315" width="8.33203125" style="2" bestFit="1" customWidth="1"/>
    <col min="2316" max="2316" width="8.21875" style="2" bestFit="1" customWidth="1"/>
    <col min="2317" max="2320" width="9.21875" style="2" bestFit="1" customWidth="1"/>
    <col min="2321" max="2321" width="10.21875" style="2" bestFit="1" customWidth="1"/>
    <col min="2322" max="2561" width="11.5546875" style="2"/>
    <col min="2562" max="2562" width="19.6640625" style="2" bestFit="1" customWidth="1"/>
    <col min="2563" max="2563" width="5.6640625" style="2" bestFit="1" customWidth="1"/>
    <col min="2564" max="2564" width="18.6640625" style="2" bestFit="1" customWidth="1"/>
    <col min="2565" max="2567" width="9.21875" style="2" bestFit="1" customWidth="1"/>
    <col min="2568" max="2568" width="8.33203125" style="2" bestFit="1" customWidth="1"/>
    <col min="2569" max="2569" width="8.5546875" style="2" bestFit="1" customWidth="1"/>
    <col min="2570" max="2570" width="10.33203125" style="2" bestFit="1" customWidth="1"/>
    <col min="2571" max="2571" width="8.33203125" style="2" bestFit="1" customWidth="1"/>
    <col min="2572" max="2572" width="8.21875" style="2" bestFit="1" customWidth="1"/>
    <col min="2573" max="2576" width="9.21875" style="2" bestFit="1" customWidth="1"/>
    <col min="2577" max="2577" width="10.21875" style="2" bestFit="1" customWidth="1"/>
    <col min="2578" max="2817" width="11.5546875" style="2"/>
    <col min="2818" max="2818" width="19.6640625" style="2" bestFit="1" customWidth="1"/>
    <col min="2819" max="2819" width="5.6640625" style="2" bestFit="1" customWidth="1"/>
    <col min="2820" max="2820" width="18.6640625" style="2" bestFit="1" customWidth="1"/>
    <col min="2821" max="2823" width="9.21875" style="2" bestFit="1" customWidth="1"/>
    <col min="2824" max="2824" width="8.33203125" style="2" bestFit="1" customWidth="1"/>
    <col min="2825" max="2825" width="8.5546875" style="2" bestFit="1" customWidth="1"/>
    <col min="2826" max="2826" width="10.33203125" style="2" bestFit="1" customWidth="1"/>
    <col min="2827" max="2827" width="8.33203125" style="2" bestFit="1" customWidth="1"/>
    <col min="2828" max="2828" width="8.21875" style="2" bestFit="1" customWidth="1"/>
    <col min="2829" max="2832" width="9.21875" style="2" bestFit="1" customWidth="1"/>
    <col min="2833" max="2833" width="10.21875" style="2" bestFit="1" customWidth="1"/>
    <col min="2834" max="3073" width="11.5546875" style="2"/>
    <col min="3074" max="3074" width="19.6640625" style="2" bestFit="1" customWidth="1"/>
    <col min="3075" max="3075" width="5.6640625" style="2" bestFit="1" customWidth="1"/>
    <col min="3076" max="3076" width="18.6640625" style="2" bestFit="1" customWidth="1"/>
    <col min="3077" max="3079" width="9.21875" style="2" bestFit="1" customWidth="1"/>
    <col min="3080" max="3080" width="8.33203125" style="2" bestFit="1" customWidth="1"/>
    <col min="3081" max="3081" width="8.5546875" style="2" bestFit="1" customWidth="1"/>
    <col min="3082" max="3082" width="10.33203125" style="2" bestFit="1" customWidth="1"/>
    <col min="3083" max="3083" width="8.33203125" style="2" bestFit="1" customWidth="1"/>
    <col min="3084" max="3084" width="8.21875" style="2" bestFit="1" customWidth="1"/>
    <col min="3085" max="3088" width="9.21875" style="2" bestFit="1" customWidth="1"/>
    <col min="3089" max="3089" width="10.21875" style="2" bestFit="1" customWidth="1"/>
    <col min="3090" max="3329" width="11.5546875" style="2"/>
    <col min="3330" max="3330" width="19.6640625" style="2" bestFit="1" customWidth="1"/>
    <col min="3331" max="3331" width="5.6640625" style="2" bestFit="1" customWidth="1"/>
    <col min="3332" max="3332" width="18.6640625" style="2" bestFit="1" customWidth="1"/>
    <col min="3333" max="3335" width="9.21875" style="2" bestFit="1" customWidth="1"/>
    <col min="3336" max="3336" width="8.33203125" style="2" bestFit="1" customWidth="1"/>
    <col min="3337" max="3337" width="8.5546875" style="2" bestFit="1" customWidth="1"/>
    <col min="3338" max="3338" width="10.33203125" style="2" bestFit="1" customWidth="1"/>
    <col min="3339" max="3339" width="8.33203125" style="2" bestFit="1" customWidth="1"/>
    <col min="3340" max="3340" width="8.21875" style="2" bestFit="1" customWidth="1"/>
    <col min="3341" max="3344" width="9.21875" style="2" bestFit="1" customWidth="1"/>
    <col min="3345" max="3345" width="10.21875" style="2" bestFit="1" customWidth="1"/>
    <col min="3346" max="3585" width="11.5546875" style="2"/>
    <col min="3586" max="3586" width="19.6640625" style="2" bestFit="1" customWidth="1"/>
    <col min="3587" max="3587" width="5.6640625" style="2" bestFit="1" customWidth="1"/>
    <col min="3588" max="3588" width="18.6640625" style="2" bestFit="1" customWidth="1"/>
    <col min="3589" max="3591" width="9.21875" style="2" bestFit="1" customWidth="1"/>
    <col min="3592" max="3592" width="8.33203125" style="2" bestFit="1" customWidth="1"/>
    <col min="3593" max="3593" width="8.5546875" style="2" bestFit="1" customWidth="1"/>
    <col min="3594" max="3594" width="10.33203125" style="2" bestFit="1" customWidth="1"/>
    <col min="3595" max="3595" width="8.33203125" style="2" bestFit="1" customWidth="1"/>
    <col min="3596" max="3596" width="8.21875" style="2" bestFit="1" customWidth="1"/>
    <col min="3597" max="3600" width="9.21875" style="2" bestFit="1" customWidth="1"/>
    <col min="3601" max="3601" width="10.21875" style="2" bestFit="1" customWidth="1"/>
    <col min="3602" max="3841" width="11.5546875" style="2"/>
    <col min="3842" max="3842" width="19.6640625" style="2" bestFit="1" customWidth="1"/>
    <col min="3843" max="3843" width="5.6640625" style="2" bestFit="1" customWidth="1"/>
    <col min="3844" max="3844" width="18.6640625" style="2" bestFit="1" customWidth="1"/>
    <col min="3845" max="3847" width="9.21875" style="2" bestFit="1" customWidth="1"/>
    <col min="3848" max="3848" width="8.33203125" style="2" bestFit="1" customWidth="1"/>
    <col min="3849" max="3849" width="8.5546875" style="2" bestFit="1" customWidth="1"/>
    <col min="3850" max="3850" width="10.33203125" style="2" bestFit="1" customWidth="1"/>
    <col min="3851" max="3851" width="8.33203125" style="2" bestFit="1" customWidth="1"/>
    <col min="3852" max="3852" width="8.21875" style="2" bestFit="1" customWidth="1"/>
    <col min="3853" max="3856" width="9.21875" style="2" bestFit="1" customWidth="1"/>
    <col min="3857" max="3857" width="10.21875" style="2" bestFit="1" customWidth="1"/>
    <col min="3858" max="4097" width="11.5546875" style="2"/>
    <col min="4098" max="4098" width="19.6640625" style="2" bestFit="1" customWidth="1"/>
    <col min="4099" max="4099" width="5.6640625" style="2" bestFit="1" customWidth="1"/>
    <col min="4100" max="4100" width="18.6640625" style="2" bestFit="1" customWidth="1"/>
    <col min="4101" max="4103" width="9.21875" style="2" bestFit="1" customWidth="1"/>
    <col min="4104" max="4104" width="8.33203125" style="2" bestFit="1" customWidth="1"/>
    <col min="4105" max="4105" width="8.5546875" style="2" bestFit="1" customWidth="1"/>
    <col min="4106" max="4106" width="10.33203125" style="2" bestFit="1" customWidth="1"/>
    <col min="4107" max="4107" width="8.33203125" style="2" bestFit="1" customWidth="1"/>
    <col min="4108" max="4108" width="8.21875" style="2" bestFit="1" customWidth="1"/>
    <col min="4109" max="4112" width="9.21875" style="2" bestFit="1" customWidth="1"/>
    <col min="4113" max="4113" width="10.21875" style="2" bestFit="1" customWidth="1"/>
    <col min="4114" max="4353" width="11.5546875" style="2"/>
    <col min="4354" max="4354" width="19.6640625" style="2" bestFit="1" customWidth="1"/>
    <col min="4355" max="4355" width="5.6640625" style="2" bestFit="1" customWidth="1"/>
    <col min="4356" max="4356" width="18.6640625" style="2" bestFit="1" customWidth="1"/>
    <col min="4357" max="4359" width="9.21875" style="2" bestFit="1" customWidth="1"/>
    <col min="4360" max="4360" width="8.33203125" style="2" bestFit="1" customWidth="1"/>
    <col min="4361" max="4361" width="8.5546875" style="2" bestFit="1" customWidth="1"/>
    <col min="4362" max="4362" width="10.33203125" style="2" bestFit="1" customWidth="1"/>
    <col min="4363" max="4363" width="8.33203125" style="2" bestFit="1" customWidth="1"/>
    <col min="4364" max="4364" width="8.21875" style="2" bestFit="1" customWidth="1"/>
    <col min="4365" max="4368" width="9.21875" style="2" bestFit="1" customWidth="1"/>
    <col min="4369" max="4369" width="10.21875" style="2" bestFit="1" customWidth="1"/>
    <col min="4370" max="4609" width="11.5546875" style="2"/>
    <col min="4610" max="4610" width="19.6640625" style="2" bestFit="1" customWidth="1"/>
    <col min="4611" max="4611" width="5.6640625" style="2" bestFit="1" customWidth="1"/>
    <col min="4612" max="4612" width="18.6640625" style="2" bestFit="1" customWidth="1"/>
    <col min="4613" max="4615" width="9.21875" style="2" bestFit="1" customWidth="1"/>
    <col min="4616" max="4616" width="8.33203125" style="2" bestFit="1" customWidth="1"/>
    <col min="4617" max="4617" width="8.5546875" style="2" bestFit="1" customWidth="1"/>
    <col min="4618" max="4618" width="10.33203125" style="2" bestFit="1" customWidth="1"/>
    <col min="4619" max="4619" width="8.33203125" style="2" bestFit="1" customWidth="1"/>
    <col min="4620" max="4620" width="8.21875" style="2" bestFit="1" customWidth="1"/>
    <col min="4621" max="4624" width="9.21875" style="2" bestFit="1" customWidth="1"/>
    <col min="4625" max="4625" width="10.21875" style="2" bestFit="1" customWidth="1"/>
    <col min="4626" max="4865" width="11.5546875" style="2"/>
    <col min="4866" max="4866" width="19.6640625" style="2" bestFit="1" customWidth="1"/>
    <col min="4867" max="4867" width="5.6640625" style="2" bestFit="1" customWidth="1"/>
    <col min="4868" max="4868" width="18.6640625" style="2" bestFit="1" customWidth="1"/>
    <col min="4869" max="4871" width="9.21875" style="2" bestFit="1" customWidth="1"/>
    <col min="4872" max="4872" width="8.33203125" style="2" bestFit="1" customWidth="1"/>
    <col min="4873" max="4873" width="8.5546875" style="2" bestFit="1" customWidth="1"/>
    <col min="4874" max="4874" width="10.33203125" style="2" bestFit="1" customWidth="1"/>
    <col min="4875" max="4875" width="8.33203125" style="2" bestFit="1" customWidth="1"/>
    <col min="4876" max="4876" width="8.21875" style="2" bestFit="1" customWidth="1"/>
    <col min="4877" max="4880" width="9.21875" style="2" bestFit="1" customWidth="1"/>
    <col min="4881" max="4881" width="10.21875" style="2" bestFit="1" customWidth="1"/>
    <col min="4882" max="5121" width="11.5546875" style="2"/>
    <col min="5122" max="5122" width="19.6640625" style="2" bestFit="1" customWidth="1"/>
    <col min="5123" max="5123" width="5.6640625" style="2" bestFit="1" customWidth="1"/>
    <col min="5124" max="5124" width="18.6640625" style="2" bestFit="1" customWidth="1"/>
    <col min="5125" max="5127" width="9.21875" style="2" bestFit="1" customWidth="1"/>
    <col min="5128" max="5128" width="8.33203125" style="2" bestFit="1" customWidth="1"/>
    <col min="5129" max="5129" width="8.5546875" style="2" bestFit="1" customWidth="1"/>
    <col min="5130" max="5130" width="10.33203125" style="2" bestFit="1" customWidth="1"/>
    <col min="5131" max="5131" width="8.33203125" style="2" bestFit="1" customWidth="1"/>
    <col min="5132" max="5132" width="8.21875" style="2" bestFit="1" customWidth="1"/>
    <col min="5133" max="5136" width="9.21875" style="2" bestFit="1" customWidth="1"/>
    <col min="5137" max="5137" width="10.21875" style="2" bestFit="1" customWidth="1"/>
    <col min="5138" max="5377" width="11.5546875" style="2"/>
    <col min="5378" max="5378" width="19.6640625" style="2" bestFit="1" customWidth="1"/>
    <col min="5379" max="5379" width="5.6640625" style="2" bestFit="1" customWidth="1"/>
    <col min="5380" max="5380" width="18.6640625" style="2" bestFit="1" customWidth="1"/>
    <col min="5381" max="5383" width="9.21875" style="2" bestFit="1" customWidth="1"/>
    <col min="5384" max="5384" width="8.33203125" style="2" bestFit="1" customWidth="1"/>
    <col min="5385" max="5385" width="8.5546875" style="2" bestFit="1" customWidth="1"/>
    <col min="5386" max="5386" width="10.33203125" style="2" bestFit="1" customWidth="1"/>
    <col min="5387" max="5387" width="8.33203125" style="2" bestFit="1" customWidth="1"/>
    <col min="5388" max="5388" width="8.21875" style="2" bestFit="1" customWidth="1"/>
    <col min="5389" max="5392" width="9.21875" style="2" bestFit="1" customWidth="1"/>
    <col min="5393" max="5393" width="10.21875" style="2" bestFit="1" customWidth="1"/>
    <col min="5394" max="5633" width="11.5546875" style="2"/>
    <col min="5634" max="5634" width="19.6640625" style="2" bestFit="1" customWidth="1"/>
    <col min="5635" max="5635" width="5.6640625" style="2" bestFit="1" customWidth="1"/>
    <col min="5636" max="5636" width="18.6640625" style="2" bestFit="1" customWidth="1"/>
    <col min="5637" max="5639" width="9.21875" style="2" bestFit="1" customWidth="1"/>
    <col min="5640" max="5640" width="8.33203125" style="2" bestFit="1" customWidth="1"/>
    <col min="5641" max="5641" width="8.5546875" style="2" bestFit="1" customWidth="1"/>
    <col min="5642" max="5642" width="10.33203125" style="2" bestFit="1" customWidth="1"/>
    <col min="5643" max="5643" width="8.33203125" style="2" bestFit="1" customWidth="1"/>
    <col min="5644" max="5644" width="8.21875" style="2" bestFit="1" customWidth="1"/>
    <col min="5645" max="5648" width="9.21875" style="2" bestFit="1" customWidth="1"/>
    <col min="5649" max="5649" width="10.21875" style="2" bestFit="1" customWidth="1"/>
    <col min="5650" max="5889" width="11.5546875" style="2"/>
    <col min="5890" max="5890" width="19.6640625" style="2" bestFit="1" customWidth="1"/>
    <col min="5891" max="5891" width="5.6640625" style="2" bestFit="1" customWidth="1"/>
    <col min="5892" max="5892" width="18.6640625" style="2" bestFit="1" customWidth="1"/>
    <col min="5893" max="5895" width="9.21875" style="2" bestFit="1" customWidth="1"/>
    <col min="5896" max="5896" width="8.33203125" style="2" bestFit="1" customWidth="1"/>
    <col min="5897" max="5897" width="8.5546875" style="2" bestFit="1" customWidth="1"/>
    <col min="5898" max="5898" width="10.33203125" style="2" bestFit="1" customWidth="1"/>
    <col min="5899" max="5899" width="8.33203125" style="2" bestFit="1" customWidth="1"/>
    <col min="5900" max="5900" width="8.21875" style="2" bestFit="1" customWidth="1"/>
    <col min="5901" max="5904" width="9.21875" style="2" bestFit="1" customWidth="1"/>
    <col min="5905" max="5905" width="10.21875" style="2" bestFit="1" customWidth="1"/>
    <col min="5906" max="6145" width="11.5546875" style="2"/>
    <col min="6146" max="6146" width="19.6640625" style="2" bestFit="1" customWidth="1"/>
    <col min="6147" max="6147" width="5.6640625" style="2" bestFit="1" customWidth="1"/>
    <col min="6148" max="6148" width="18.6640625" style="2" bestFit="1" customWidth="1"/>
    <col min="6149" max="6151" width="9.21875" style="2" bestFit="1" customWidth="1"/>
    <col min="6152" max="6152" width="8.33203125" style="2" bestFit="1" customWidth="1"/>
    <col min="6153" max="6153" width="8.5546875" style="2" bestFit="1" customWidth="1"/>
    <col min="6154" max="6154" width="10.33203125" style="2" bestFit="1" customWidth="1"/>
    <col min="6155" max="6155" width="8.33203125" style="2" bestFit="1" customWidth="1"/>
    <col min="6156" max="6156" width="8.21875" style="2" bestFit="1" customWidth="1"/>
    <col min="6157" max="6160" width="9.21875" style="2" bestFit="1" customWidth="1"/>
    <col min="6161" max="6161" width="10.21875" style="2" bestFit="1" customWidth="1"/>
    <col min="6162" max="6401" width="11.5546875" style="2"/>
    <col min="6402" max="6402" width="19.6640625" style="2" bestFit="1" customWidth="1"/>
    <col min="6403" max="6403" width="5.6640625" style="2" bestFit="1" customWidth="1"/>
    <col min="6404" max="6404" width="18.6640625" style="2" bestFit="1" customWidth="1"/>
    <col min="6405" max="6407" width="9.21875" style="2" bestFit="1" customWidth="1"/>
    <col min="6408" max="6408" width="8.33203125" style="2" bestFit="1" customWidth="1"/>
    <col min="6409" max="6409" width="8.5546875" style="2" bestFit="1" customWidth="1"/>
    <col min="6410" max="6410" width="10.33203125" style="2" bestFit="1" customWidth="1"/>
    <col min="6411" max="6411" width="8.33203125" style="2" bestFit="1" customWidth="1"/>
    <col min="6412" max="6412" width="8.21875" style="2" bestFit="1" customWidth="1"/>
    <col min="6413" max="6416" width="9.21875" style="2" bestFit="1" customWidth="1"/>
    <col min="6417" max="6417" width="10.21875" style="2" bestFit="1" customWidth="1"/>
    <col min="6418" max="6657" width="11.5546875" style="2"/>
    <col min="6658" max="6658" width="19.6640625" style="2" bestFit="1" customWidth="1"/>
    <col min="6659" max="6659" width="5.6640625" style="2" bestFit="1" customWidth="1"/>
    <col min="6660" max="6660" width="18.6640625" style="2" bestFit="1" customWidth="1"/>
    <col min="6661" max="6663" width="9.21875" style="2" bestFit="1" customWidth="1"/>
    <col min="6664" max="6664" width="8.33203125" style="2" bestFit="1" customWidth="1"/>
    <col min="6665" max="6665" width="8.5546875" style="2" bestFit="1" customWidth="1"/>
    <col min="6666" max="6666" width="10.33203125" style="2" bestFit="1" customWidth="1"/>
    <col min="6667" max="6667" width="8.33203125" style="2" bestFit="1" customWidth="1"/>
    <col min="6668" max="6668" width="8.21875" style="2" bestFit="1" customWidth="1"/>
    <col min="6669" max="6672" width="9.21875" style="2" bestFit="1" customWidth="1"/>
    <col min="6673" max="6673" width="10.21875" style="2" bestFit="1" customWidth="1"/>
    <col min="6674" max="6913" width="11.5546875" style="2"/>
    <col min="6914" max="6914" width="19.6640625" style="2" bestFit="1" customWidth="1"/>
    <col min="6915" max="6915" width="5.6640625" style="2" bestFit="1" customWidth="1"/>
    <col min="6916" max="6916" width="18.6640625" style="2" bestFit="1" customWidth="1"/>
    <col min="6917" max="6919" width="9.21875" style="2" bestFit="1" customWidth="1"/>
    <col min="6920" max="6920" width="8.33203125" style="2" bestFit="1" customWidth="1"/>
    <col min="6921" max="6921" width="8.5546875" style="2" bestFit="1" customWidth="1"/>
    <col min="6922" max="6922" width="10.33203125" style="2" bestFit="1" customWidth="1"/>
    <col min="6923" max="6923" width="8.33203125" style="2" bestFit="1" customWidth="1"/>
    <col min="6924" max="6924" width="8.21875" style="2" bestFit="1" customWidth="1"/>
    <col min="6925" max="6928" width="9.21875" style="2" bestFit="1" customWidth="1"/>
    <col min="6929" max="6929" width="10.21875" style="2" bestFit="1" customWidth="1"/>
    <col min="6930" max="7169" width="11.5546875" style="2"/>
    <col min="7170" max="7170" width="19.6640625" style="2" bestFit="1" customWidth="1"/>
    <col min="7171" max="7171" width="5.6640625" style="2" bestFit="1" customWidth="1"/>
    <col min="7172" max="7172" width="18.6640625" style="2" bestFit="1" customWidth="1"/>
    <col min="7173" max="7175" width="9.21875" style="2" bestFit="1" customWidth="1"/>
    <col min="7176" max="7176" width="8.33203125" style="2" bestFit="1" customWidth="1"/>
    <col min="7177" max="7177" width="8.5546875" style="2" bestFit="1" customWidth="1"/>
    <col min="7178" max="7178" width="10.33203125" style="2" bestFit="1" customWidth="1"/>
    <col min="7179" max="7179" width="8.33203125" style="2" bestFit="1" customWidth="1"/>
    <col min="7180" max="7180" width="8.21875" style="2" bestFit="1" customWidth="1"/>
    <col min="7181" max="7184" width="9.21875" style="2" bestFit="1" customWidth="1"/>
    <col min="7185" max="7185" width="10.21875" style="2" bestFit="1" customWidth="1"/>
    <col min="7186" max="7425" width="11.5546875" style="2"/>
    <col min="7426" max="7426" width="19.6640625" style="2" bestFit="1" customWidth="1"/>
    <col min="7427" max="7427" width="5.6640625" style="2" bestFit="1" customWidth="1"/>
    <col min="7428" max="7428" width="18.6640625" style="2" bestFit="1" customWidth="1"/>
    <col min="7429" max="7431" width="9.21875" style="2" bestFit="1" customWidth="1"/>
    <col min="7432" max="7432" width="8.33203125" style="2" bestFit="1" customWidth="1"/>
    <col min="7433" max="7433" width="8.5546875" style="2" bestFit="1" customWidth="1"/>
    <col min="7434" max="7434" width="10.33203125" style="2" bestFit="1" customWidth="1"/>
    <col min="7435" max="7435" width="8.33203125" style="2" bestFit="1" customWidth="1"/>
    <col min="7436" max="7436" width="8.21875" style="2" bestFit="1" customWidth="1"/>
    <col min="7437" max="7440" width="9.21875" style="2" bestFit="1" customWidth="1"/>
    <col min="7441" max="7441" width="10.21875" style="2" bestFit="1" customWidth="1"/>
    <col min="7442" max="7681" width="11.5546875" style="2"/>
    <col min="7682" max="7682" width="19.6640625" style="2" bestFit="1" customWidth="1"/>
    <col min="7683" max="7683" width="5.6640625" style="2" bestFit="1" customWidth="1"/>
    <col min="7684" max="7684" width="18.6640625" style="2" bestFit="1" customWidth="1"/>
    <col min="7685" max="7687" width="9.21875" style="2" bestFit="1" customWidth="1"/>
    <col min="7688" max="7688" width="8.33203125" style="2" bestFit="1" customWidth="1"/>
    <col min="7689" max="7689" width="8.5546875" style="2" bestFit="1" customWidth="1"/>
    <col min="7690" max="7690" width="10.33203125" style="2" bestFit="1" customWidth="1"/>
    <col min="7691" max="7691" width="8.33203125" style="2" bestFit="1" customWidth="1"/>
    <col min="7692" max="7692" width="8.21875" style="2" bestFit="1" customWidth="1"/>
    <col min="7693" max="7696" width="9.21875" style="2" bestFit="1" customWidth="1"/>
    <col min="7697" max="7697" width="10.21875" style="2" bestFit="1" customWidth="1"/>
    <col min="7698" max="7937" width="11.5546875" style="2"/>
    <col min="7938" max="7938" width="19.6640625" style="2" bestFit="1" customWidth="1"/>
    <col min="7939" max="7939" width="5.6640625" style="2" bestFit="1" customWidth="1"/>
    <col min="7940" max="7940" width="18.6640625" style="2" bestFit="1" customWidth="1"/>
    <col min="7941" max="7943" width="9.21875" style="2" bestFit="1" customWidth="1"/>
    <col min="7944" max="7944" width="8.33203125" style="2" bestFit="1" customWidth="1"/>
    <col min="7945" max="7945" width="8.5546875" style="2" bestFit="1" customWidth="1"/>
    <col min="7946" max="7946" width="10.33203125" style="2" bestFit="1" customWidth="1"/>
    <col min="7947" max="7947" width="8.33203125" style="2" bestFit="1" customWidth="1"/>
    <col min="7948" max="7948" width="8.21875" style="2" bestFit="1" customWidth="1"/>
    <col min="7949" max="7952" width="9.21875" style="2" bestFit="1" customWidth="1"/>
    <col min="7953" max="7953" width="10.21875" style="2" bestFit="1" customWidth="1"/>
    <col min="7954" max="8193" width="11.5546875" style="2"/>
    <col min="8194" max="8194" width="19.6640625" style="2" bestFit="1" customWidth="1"/>
    <col min="8195" max="8195" width="5.6640625" style="2" bestFit="1" customWidth="1"/>
    <col min="8196" max="8196" width="18.6640625" style="2" bestFit="1" customWidth="1"/>
    <col min="8197" max="8199" width="9.21875" style="2" bestFit="1" customWidth="1"/>
    <col min="8200" max="8200" width="8.33203125" style="2" bestFit="1" customWidth="1"/>
    <col min="8201" max="8201" width="8.5546875" style="2" bestFit="1" customWidth="1"/>
    <col min="8202" max="8202" width="10.33203125" style="2" bestFit="1" customWidth="1"/>
    <col min="8203" max="8203" width="8.33203125" style="2" bestFit="1" customWidth="1"/>
    <col min="8204" max="8204" width="8.21875" style="2" bestFit="1" customWidth="1"/>
    <col min="8205" max="8208" width="9.21875" style="2" bestFit="1" customWidth="1"/>
    <col min="8209" max="8209" width="10.21875" style="2" bestFit="1" customWidth="1"/>
    <col min="8210" max="8449" width="11.5546875" style="2"/>
    <col min="8450" max="8450" width="19.6640625" style="2" bestFit="1" customWidth="1"/>
    <col min="8451" max="8451" width="5.6640625" style="2" bestFit="1" customWidth="1"/>
    <col min="8452" max="8452" width="18.6640625" style="2" bestFit="1" customWidth="1"/>
    <col min="8453" max="8455" width="9.21875" style="2" bestFit="1" customWidth="1"/>
    <col min="8456" max="8456" width="8.33203125" style="2" bestFit="1" customWidth="1"/>
    <col min="8457" max="8457" width="8.5546875" style="2" bestFit="1" customWidth="1"/>
    <col min="8458" max="8458" width="10.33203125" style="2" bestFit="1" customWidth="1"/>
    <col min="8459" max="8459" width="8.33203125" style="2" bestFit="1" customWidth="1"/>
    <col min="8460" max="8460" width="8.21875" style="2" bestFit="1" customWidth="1"/>
    <col min="8461" max="8464" width="9.21875" style="2" bestFit="1" customWidth="1"/>
    <col min="8465" max="8465" width="10.21875" style="2" bestFit="1" customWidth="1"/>
    <col min="8466" max="8705" width="11.5546875" style="2"/>
    <col min="8706" max="8706" width="19.6640625" style="2" bestFit="1" customWidth="1"/>
    <col min="8707" max="8707" width="5.6640625" style="2" bestFit="1" customWidth="1"/>
    <col min="8708" max="8708" width="18.6640625" style="2" bestFit="1" customWidth="1"/>
    <col min="8709" max="8711" width="9.21875" style="2" bestFit="1" customWidth="1"/>
    <col min="8712" max="8712" width="8.33203125" style="2" bestFit="1" customWidth="1"/>
    <col min="8713" max="8713" width="8.5546875" style="2" bestFit="1" customWidth="1"/>
    <col min="8714" max="8714" width="10.33203125" style="2" bestFit="1" customWidth="1"/>
    <col min="8715" max="8715" width="8.33203125" style="2" bestFit="1" customWidth="1"/>
    <col min="8716" max="8716" width="8.21875" style="2" bestFit="1" customWidth="1"/>
    <col min="8717" max="8720" width="9.21875" style="2" bestFit="1" customWidth="1"/>
    <col min="8721" max="8721" width="10.21875" style="2" bestFit="1" customWidth="1"/>
    <col min="8722" max="8961" width="11.5546875" style="2"/>
    <col min="8962" max="8962" width="19.6640625" style="2" bestFit="1" customWidth="1"/>
    <col min="8963" max="8963" width="5.6640625" style="2" bestFit="1" customWidth="1"/>
    <col min="8964" max="8964" width="18.6640625" style="2" bestFit="1" customWidth="1"/>
    <col min="8965" max="8967" width="9.21875" style="2" bestFit="1" customWidth="1"/>
    <col min="8968" max="8968" width="8.33203125" style="2" bestFit="1" customWidth="1"/>
    <col min="8969" max="8969" width="8.5546875" style="2" bestFit="1" customWidth="1"/>
    <col min="8970" max="8970" width="10.33203125" style="2" bestFit="1" customWidth="1"/>
    <col min="8971" max="8971" width="8.33203125" style="2" bestFit="1" customWidth="1"/>
    <col min="8972" max="8972" width="8.21875" style="2" bestFit="1" customWidth="1"/>
    <col min="8973" max="8976" width="9.21875" style="2" bestFit="1" customWidth="1"/>
    <col min="8977" max="8977" width="10.21875" style="2" bestFit="1" customWidth="1"/>
    <col min="8978" max="9217" width="11.5546875" style="2"/>
    <col min="9218" max="9218" width="19.6640625" style="2" bestFit="1" customWidth="1"/>
    <col min="9219" max="9219" width="5.6640625" style="2" bestFit="1" customWidth="1"/>
    <col min="9220" max="9220" width="18.6640625" style="2" bestFit="1" customWidth="1"/>
    <col min="9221" max="9223" width="9.21875" style="2" bestFit="1" customWidth="1"/>
    <col min="9224" max="9224" width="8.33203125" style="2" bestFit="1" customWidth="1"/>
    <col min="9225" max="9225" width="8.5546875" style="2" bestFit="1" customWidth="1"/>
    <col min="9226" max="9226" width="10.33203125" style="2" bestFit="1" customWidth="1"/>
    <col min="9227" max="9227" width="8.33203125" style="2" bestFit="1" customWidth="1"/>
    <col min="9228" max="9228" width="8.21875" style="2" bestFit="1" customWidth="1"/>
    <col min="9229" max="9232" width="9.21875" style="2" bestFit="1" customWidth="1"/>
    <col min="9233" max="9233" width="10.21875" style="2" bestFit="1" customWidth="1"/>
    <col min="9234" max="9473" width="11.5546875" style="2"/>
    <col min="9474" max="9474" width="19.6640625" style="2" bestFit="1" customWidth="1"/>
    <col min="9475" max="9475" width="5.6640625" style="2" bestFit="1" customWidth="1"/>
    <col min="9476" max="9476" width="18.6640625" style="2" bestFit="1" customWidth="1"/>
    <col min="9477" max="9479" width="9.21875" style="2" bestFit="1" customWidth="1"/>
    <col min="9480" max="9480" width="8.33203125" style="2" bestFit="1" customWidth="1"/>
    <col min="9481" max="9481" width="8.5546875" style="2" bestFit="1" customWidth="1"/>
    <col min="9482" max="9482" width="10.33203125" style="2" bestFit="1" customWidth="1"/>
    <col min="9483" max="9483" width="8.33203125" style="2" bestFit="1" customWidth="1"/>
    <col min="9484" max="9484" width="8.21875" style="2" bestFit="1" customWidth="1"/>
    <col min="9485" max="9488" width="9.21875" style="2" bestFit="1" customWidth="1"/>
    <col min="9489" max="9489" width="10.21875" style="2" bestFit="1" customWidth="1"/>
    <col min="9490" max="9729" width="11.5546875" style="2"/>
    <col min="9730" max="9730" width="19.6640625" style="2" bestFit="1" customWidth="1"/>
    <col min="9731" max="9731" width="5.6640625" style="2" bestFit="1" customWidth="1"/>
    <col min="9732" max="9732" width="18.6640625" style="2" bestFit="1" customWidth="1"/>
    <col min="9733" max="9735" width="9.21875" style="2" bestFit="1" customWidth="1"/>
    <col min="9736" max="9736" width="8.33203125" style="2" bestFit="1" customWidth="1"/>
    <col min="9737" max="9737" width="8.5546875" style="2" bestFit="1" customWidth="1"/>
    <col min="9738" max="9738" width="10.33203125" style="2" bestFit="1" customWidth="1"/>
    <col min="9739" max="9739" width="8.33203125" style="2" bestFit="1" customWidth="1"/>
    <col min="9740" max="9740" width="8.21875" style="2" bestFit="1" customWidth="1"/>
    <col min="9741" max="9744" width="9.21875" style="2" bestFit="1" customWidth="1"/>
    <col min="9745" max="9745" width="10.21875" style="2" bestFit="1" customWidth="1"/>
    <col min="9746" max="9985" width="11.5546875" style="2"/>
    <col min="9986" max="9986" width="19.6640625" style="2" bestFit="1" customWidth="1"/>
    <col min="9987" max="9987" width="5.6640625" style="2" bestFit="1" customWidth="1"/>
    <col min="9988" max="9988" width="18.6640625" style="2" bestFit="1" customWidth="1"/>
    <col min="9989" max="9991" width="9.21875" style="2" bestFit="1" customWidth="1"/>
    <col min="9992" max="9992" width="8.33203125" style="2" bestFit="1" customWidth="1"/>
    <col min="9993" max="9993" width="8.5546875" style="2" bestFit="1" customWidth="1"/>
    <col min="9994" max="9994" width="10.33203125" style="2" bestFit="1" customWidth="1"/>
    <col min="9995" max="9995" width="8.33203125" style="2" bestFit="1" customWidth="1"/>
    <col min="9996" max="9996" width="8.21875" style="2" bestFit="1" customWidth="1"/>
    <col min="9997" max="10000" width="9.21875" style="2" bestFit="1" customWidth="1"/>
    <col min="10001" max="10001" width="10.21875" style="2" bestFit="1" customWidth="1"/>
    <col min="10002" max="10241" width="11.5546875" style="2"/>
    <col min="10242" max="10242" width="19.6640625" style="2" bestFit="1" customWidth="1"/>
    <col min="10243" max="10243" width="5.6640625" style="2" bestFit="1" customWidth="1"/>
    <col min="10244" max="10244" width="18.6640625" style="2" bestFit="1" customWidth="1"/>
    <col min="10245" max="10247" width="9.21875" style="2" bestFit="1" customWidth="1"/>
    <col min="10248" max="10248" width="8.33203125" style="2" bestFit="1" customWidth="1"/>
    <col min="10249" max="10249" width="8.5546875" style="2" bestFit="1" customWidth="1"/>
    <col min="10250" max="10250" width="10.33203125" style="2" bestFit="1" customWidth="1"/>
    <col min="10251" max="10251" width="8.33203125" style="2" bestFit="1" customWidth="1"/>
    <col min="10252" max="10252" width="8.21875" style="2" bestFit="1" customWidth="1"/>
    <col min="10253" max="10256" width="9.21875" style="2" bestFit="1" customWidth="1"/>
    <col min="10257" max="10257" width="10.21875" style="2" bestFit="1" customWidth="1"/>
    <col min="10258" max="10497" width="11.5546875" style="2"/>
    <col min="10498" max="10498" width="19.6640625" style="2" bestFit="1" customWidth="1"/>
    <col min="10499" max="10499" width="5.6640625" style="2" bestFit="1" customWidth="1"/>
    <col min="10500" max="10500" width="18.6640625" style="2" bestFit="1" customWidth="1"/>
    <col min="10501" max="10503" width="9.21875" style="2" bestFit="1" customWidth="1"/>
    <col min="10504" max="10504" width="8.33203125" style="2" bestFit="1" customWidth="1"/>
    <col min="10505" max="10505" width="8.5546875" style="2" bestFit="1" customWidth="1"/>
    <col min="10506" max="10506" width="10.33203125" style="2" bestFit="1" customWidth="1"/>
    <col min="10507" max="10507" width="8.33203125" style="2" bestFit="1" customWidth="1"/>
    <col min="10508" max="10508" width="8.21875" style="2" bestFit="1" customWidth="1"/>
    <col min="10509" max="10512" width="9.21875" style="2" bestFit="1" customWidth="1"/>
    <col min="10513" max="10513" width="10.21875" style="2" bestFit="1" customWidth="1"/>
    <col min="10514" max="10753" width="11.5546875" style="2"/>
    <col min="10754" max="10754" width="19.6640625" style="2" bestFit="1" customWidth="1"/>
    <col min="10755" max="10755" width="5.6640625" style="2" bestFit="1" customWidth="1"/>
    <col min="10756" max="10756" width="18.6640625" style="2" bestFit="1" customWidth="1"/>
    <col min="10757" max="10759" width="9.21875" style="2" bestFit="1" customWidth="1"/>
    <col min="10760" max="10760" width="8.33203125" style="2" bestFit="1" customWidth="1"/>
    <col min="10761" max="10761" width="8.5546875" style="2" bestFit="1" customWidth="1"/>
    <col min="10762" max="10762" width="10.33203125" style="2" bestFit="1" customWidth="1"/>
    <col min="10763" max="10763" width="8.33203125" style="2" bestFit="1" customWidth="1"/>
    <col min="10764" max="10764" width="8.21875" style="2" bestFit="1" customWidth="1"/>
    <col min="10765" max="10768" width="9.21875" style="2" bestFit="1" customWidth="1"/>
    <col min="10769" max="10769" width="10.21875" style="2" bestFit="1" customWidth="1"/>
    <col min="10770" max="11009" width="11.5546875" style="2"/>
    <col min="11010" max="11010" width="19.6640625" style="2" bestFit="1" customWidth="1"/>
    <col min="11011" max="11011" width="5.6640625" style="2" bestFit="1" customWidth="1"/>
    <col min="11012" max="11012" width="18.6640625" style="2" bestFit="1" customWidth="1"/>
    <col min="11013" max="11015" width="9.21875" style="2" bestFit="1" customWidth="1"/>
    <col min="11016" max="11016" width="8.33203125" style="2" bestFit="1" customWidth="1"/>
    <col min="11017" max="11017" width="8.5546875" style="2" bestFit="1" customWidth="1"/>
    <col min="11018" max="11018" width="10.33203125" style="2" bestFit="1" customWidth="1"/>
    <col min="11019" max="11019" width="8.33203125" style="2" bestFit="1" customWidth="1"/>
    <col min="11020" max="11020" width="8.21875" style="2" bestFit="1" customWidth="1"/>
    <col min="11021" max="11024" width="9.21875" style="2" bestFit="1" customWidth="1"/>
    <col min="11025" max="11025" width="10.21875" style="2" bestFit="1" customWidth="1"/>
    <col min="11026" max="11265" width="11.5546875" style="2"/>
    <col min="11266" max="11266" width="19.6640625" style="2" bestFit="1" customWidth="1"/>
    <col min="11267" max="11267" width="5.6640625" style="2" bestFit="1" customWidth="1"/>
    <col min="11268" max="11268" width="18.6640625" style="2" bestFit="1" customWidth="1"/>
    <col min="11269" max="11271" width="9.21875" style="2" bestFit="1" customWidth="1"/>
    <col min="11272" max="11272" width="8.33203125" style="2" bestFit="1" customWidth="1"/>
    <col min="11273" max="11273" width="8.5546875" style="2" bestFit="1" customWidth="1"/>
    <col min="11274" max="11274" width="10.33203125" style="2" bestFit="1" customWidth="1"/>
    <col min="11275" max="11275" width="8.33203125" style="2" bestFit="1" customWidth="1"/>
    <col min="11276" max="11276" width="8.21875" style="2" bestFit="1" customWidth="1"/>
    <col min="11277" max="11280" width="9.21875" style="2" bestFit="1" customWidth="1"/>
    <col min="11281" max="11281" width="10.21875" style="2" bestFit="1" customWidth="1"/>
    <col min="11282" max="11521" width="11.5546875" style="2"/>
    <col min="11522" max="11522" width="19.6640625" style="2" bestFit="1" customWidth="1"/>
    <col min="11523" max="11523" width="5.6640625" style="2" bestFit="1" customWidth="1"/>
    <col min="11524" max="11524" width="18.6640625" style="2" bestFit="1" customWidth="1"/>
    <col min="11525" max="11527" width="9.21875" style="2" bestFit="1" customWidth="1"/>
    <col min="11528" max="11528" width="8.33203125" style="2" bestFit="1" customWidth="1"/>
    <col min="11529" max="11529" width="8.5546875" style="2" bestFit="1" customWidth="1"/>
    <col min="11530" max="11530" width="10.33203125" style="2" bestFit="1" customWidth="1"/>
    <col min="11531" max="11531" width="8.33203125" style="2" bestFit="1" customWidth="1"/>
    <col min="11532" max="11532" width="8.21875" style="2" bestFit="1" customWidth="1"/>
    <col min="11533" max="11536" width="9.21875" style="2" bestFit="1" customWidth="1"/>
    <col min="11537" max="11537" width="10.21875" style="2" bestFit="1" customWidth="1"/>
    <col min="11538" max="11777" width="11.5546875" style="2"/>
    <col min="11778" max="11778" width="19.6640625" style="2" bestFit="1" customWidth="1"/>
    <col min="11779" max="11779" width="5.6640625" style="2" bestFit="1" customWidth="1"/>
    <col min="11780" max="11780" width="18.6640625" style="2" bestFit="1" customWidth="1"/>
    <col min="11781" max="11783" width="9.21875" style="2" bestFit="1" customWidth="1"/>
    <col min="11784" max="11784" width="8.33203125" style="2" bestFit="1" customWidth="1"/>
    <col min="11785" max="11785" width="8.5546875" style="2" bestFit="1" customWidth="1"/>
    <col min="11786" max="11786" width="10.33203125" style="2" bestFit="1" customWidth="1"/>
    <col min="11787" max="11787" width="8.33203125" style="2" bestFit="1" customWidth="1"/>
    <col min="11788" max="11788" width="8.21875" style="2" bestFit="1" customWidth="1"/>
    <col min="11789" max="11792" width="9.21875" style="2" bestFit="1" customWidth="1"/>
    <col min="11793" max="11793" width="10.21875" style="2" bestFit="1" customWidth="1"/>
    <col min="11794" max="12033" width="11.5546875" style="2"/>
    <col min="12034" max="12034" width="19.6640625" style="2" bestFit="1" customWidth="1"/>
    <col min="12035" max="12035" width="5.6640625" style="2" bestFit="1" customWidth="1"/>
    <col min="12036" max="12036" width="18.6640625" style="2" bestFit="1" customWidth="1"/>
    <col min="12037" max="12039" width="9.21875" style="2" bestFit="1" customWidth="1"/>
    <col min="12040" max="12040" width="8.33203125" style="2" bestFit="1" customWidth="1"/>
    <col min="12041" max="12041" width="8.5546875" style="2" bestFit="1" customWidth="1"/>
    <col min="12042" max="12042" width="10.33203125" style="2" bestFit="1" customWidth="1"/>
    <col min="12043" max="12043" width="8.33203125" style="2" bestFit="1" customWidth="1"/>
    <col min="12044" max="12044" width="8.21875" style="2" bestFit="1" customWidth="1"/>
    <col min="12045" max="12048" width="9.21875" style="2" bestFit="1" customWidth="1"/>
    <col min="12049" max="12049" width="10.21875" style="2" bestFit="1" customWidth="1"/>
    <col min="12050" max="12289" width="11.5546875" style="2"/>
    <col min="12290" max="12290" width="19.6640625" style="2" bestFit="1" customWidth="1"/>
    <col min="12291" max="12291" width="5.6640625" style="2" bestFit="1" customWidth="1"/>
    <col min="12292" max="12292" width="18.6640625" style="2" bestFit="1" customWidth="1"/>
    <col min="12293" max="12295" width="9.21875" style="2" bestFit="1" customWidth="1"/>
    <col min="12296" max="12296" width="8.33203125" style="2" bestFit="1" customWidth="1"/>
    <col min="12297" max="12297" width="8.5546875" style="2" bestFit="1" customWidth="1"/>
    <col min="12298" max="12298" width="10.33203125" style="2" bestFit="1" customWidth="1"/>
    <col min="12299" max="12299" width="8.33203125" style="2" bestFit="1" customWidth="1"/>
    <col min="12300" max="12300" width="8.21875" style="2" bestFit="1" customWidth="1"/>
    <col min="12301" max="12304" width="9.21875" style="2" bestFit="1" customWidth="1"/>
    <col min="12305" max="12305" width="10.21875" style="2" bestFit="1" customWidth="1"/>
    <col min="12306" max="12545" width="11.5546875" style="2"/>
    <col min="12546" max="12546" width="19.6640625" style="2" bestFit="1" customWidth="1"/>
    <col min="12547" max="12547" width="5.6640625" style="2" bestFit="1" customWidth="1"/>
    <col min="12548" max="12548" width="18.6640625" style="2" bestFit="1" customWidth="1"/>
    <col min="12549" max="12551" width="9.21875" style="2" bestFit="1" customWidth="1"/>
    <col min="12552" max="12552" width="8.33203125" style="2" bestFit="1" customWidth="1"/>
    <col min="12553" max="12553" width="8.5546875" style="2" bestFit="1" customWidth="1"/>
    <col min="12554" max="12554" width="10.33203125" style="2" bestFit="1" customWidth="1"/>
    <col min="12555" max="12555" width="8.33203125" style="2" bestFit="1" customWidth="1"/>
    <col min="12556" max="12556" width="8.21875" style="2" bestFit="1" customWidth="1"/>
    <col min="12557" max="12560" width="9.21875" style="2" bestFit="1" customWidth="1"/>
    <col min="12561" max="12561" width="10.21875" style="2" bestFit="1" customWidth="1"/>
    <col min="12562" max="12801" width="11.5546875" style="2"/>
    <col min="12802" max="12802" width="19.6640625" style="2" bestFit="1" customWidth="1"/>
    <col min="12803" max="12803" width="5.6640625" style="2" bestFit="1" customWidth="1"/>
    <col min="12804" max="12804" width="18.6640625" style="2" bestFit="1" customWidth="1"/>
    <col min="12805" max="12807" width="9.21875" style="2" bestFit="1" customWidth="1"/>
    <col min="12808" max="12808" width="8.33203125" style="2" bestFit="1" customWidth="1"/>
    <col min="12809" max="12809" width="8.5546875" style="2" bestFit="1" customWidth="1"/>
    <col min="12810" max="12810" width="10.33203125" style="2" bestFit="1" customWidth="1"/>
    <col min="12811" max="12811" width="8.33203125" style="2" bestFit="1" customWidth="1"/>
    <col min="12812" max="12812" width="8.21875" style="2" bestFit="1" customWidth="1"/>
    <col min="12813" max="12816" width="9.21875" style="2" bestFit="1" customWidth="1"/>
    <col min="12817" max="12817" width="10.21875" style="2" bestFit="1" customWidth="1"/>
    <col min="12818" max="13057" width="11.5546875" style="2"/>
    <col min="13058" max="13058" width="19.6640625" style="2" bestFit="1" customWidth="1"/>
    <col min="13059" max="13059" width="5.6640625" style="2" bestFit="1" customWidth="1"/>
    <col min="13060" max="13060" width="18.6640625" style="2" bestFit="1" customWidth="1"/>
    <col min="13061" max="13063" width="9.21875" style="2" bestFit="1" customWidth="1"/>
    <col min="13064" max="13064" width="8.33203125" style="2" bestFit="1" customWidth="1"/>
    <col min="13065" max="13065" width="8.5546875" style="2" bestFit="1" customWidth="1"/>
    <col min="13066" max="13066" width="10.33203125" style="2" bestFit="1" customWidth="1"/>
    <col min="13067" max="13067" width="8.33203125" style="2" bestFit="1" customWidth="1"/>
    <col min="13068" max="13068" width="8.21875" style="2" bestFit="1" customWidth="1"/>
    <col min="13069" max="13072" width="9.21875" style="2" bestFit="1" customWidth="1"/>
    <col min="13073" max="13073" width="10.21875" style="2" bestFit="1" customWidth="1"/>
    <col min="13074" max="13313" width="11.5546875" style="2"/>
    <col min="13314" max="13314" width="19.6640625" style="2" bestFit="1" customWidth="1"/>
    <col min="13315" max="13315" width="5.6640625" style="2" bestFit="1" customWidth="1"/>
    <col min="13316" max="13316" width="18.6640625" style="2" bestFit="1" customWidth="1"/>
    <col min="13317" max="13319" width="9.21875" style="2" bestFit="1" customWidth="1"/>
    <col min="13320" max="13320" width="8.33203125" style="2" bestFit="1" customWidth="1"/>
    <col min="13321" max="13321" width="8.5546875" style="2" bestFit="1" customWidth="1"/>
    <col min="13322" max="13322" width="10.33203125" style="2" bestFit="1" customWidth="1"/>
    <col min="13323" max="13323" width="8.33203125" style="2" bestFit="1" customWidth="1"/>
    <col min="13324" max="13324" width="8.21875" style="2" bestFit="1" customWidth="1"/>
    <col min="13325" max="13328" width="9.21875" style="2" bestFit="1" customWidth="1"/>
    <col min="13329" max="13329" width="10.21875" style="2" bestFit="1" customWidth="1"/>
    <col min="13330" max="13569" width="11.5546875" style="2"/>
    <col min="13570" max="13570" width="19.6640625" style="2" bestFit="1" customWidth="1"/>
    <col min="13571" max="13571" width="5.6640625" style="2" bestFit="1" customWidth="1"/>
    <col min="13572" max="13572" width="18.6640625" style="2" bestFit="1" customWidth="1"/>
    <col min="13573" max="13575" width="9.21875" style="2" bestFit="1" customWidth="1"/>
    <col min="13576" max="13576" width="8.33203125" style="2" bestFit="1" customWidth="1"/>
    <col min="13577" max="13577" width="8.5546875" style="2" bestFit="1" customWidth="1"/>
    <col min="13578" max="13578" width="10.33203125" style="2" bestFit="1" customWidth="1"/>
    <col min="13579" max="13579" width="8.33203125" style="2" bestFit="1" customWidth="1"/>
    <col min="13580" max="13580" width="8.21875" style="2" bestFit="1" customWidth="1"/>
    <col min="13581" max="13584" width="9.21875" style="2" bestFit="1" customWidth="1"/>
    <col min="13585" max="13585" width="10.21875" style="2" bestFit="1" customWidth="1"/>
    <col min="13586" max="13825" width="11.5546875" style="2"/>
    <col min="13826" max="13826" width="19.6640625" style="2" bestFit="1" customWidth="1"/>
    <col min="13827" max="13827" width="5.6640625" style="2" bestFit="1" customWidth="1"/>
    <col min="13828" max="13828" width="18.6640625" style="2" bestFit="1" customWidth="1"/>
    <col min="13829" max="13831" width="9.21875" style="2" bestFit="1" customWidth="1"/>
    <col min="13832" max="13832" width="8.33203125" style="2" bestFit="1" customWidth="1"/>
    <col min="13833" max="13833" width="8.5546875" style="2" bestFit="1" customWidth="1"/>
    <col min="13834" max="13834" width="10.33203125" style="2" bestFit="1" customWidth="1"/>
    <col min="13835" max="13835" width="8.33203125" style="2" bestFit="1" customWidth="1"/>
    <col min="13836" max="13836" width="8.21875" style="2" bestFit="1" customWidth="1"/>
    <col min="13837" max="13840" width="9.21875" style="2" bestFit="1" customWidth="1"/>
    <col min="13841" max="13841" width="10.21875" style="2" bestFit="1" customWidth="1"/>
    <col min="13842" max="14081" width="11.5546875" style="2"/>
    <col min="14082" max="14082" width="19.6640625" style="2" bestFit="1" customWidth="1"/>
    <col min="14083" max="14083" width="5.6640625" style="2" bestFit="1" customWidth="1"/>
    <col min="14084" max="14084" width="18.6640625" style="2" bestFit="1" customWidth="1"/>
    <col min="14085" max="14087" width="9.21875" style="2" bestFit="1" customWidth="1"/>
    <col min="14088" max="14088" width="8.33203125" style="2" bestFit="1" customWidth="1"/>
    <col min="14089" max="14089" width="8.5546875" style="2" bestFit="1" customWidth="1"/>
    <col min="14090" max="14090" width="10.33203125" style="2" bestFit="1" customWidth="1"/>
    <col min="14091" max="14091" width="8.33203125" style="2" bestFit="1" customWidth="1"/>
    <col min="14092" max="14092" width="8.21875" style="2" bestFit="1" customWidth="1"/>
    <col min="14093" max="14096" width="9.21875" style="2" bestFit="1" customWidth="1"/>
    <col min="14097" max="14097" width="10.21875" style="2" bestFit="1" customWidth="1"/>
    <col min="14098" max="14337" width="11.5546875" style="2"/>
    <col min="14338" max="14338" width="19.6640625" style="2" bestFit="1" customWidth="1"/>
    <col min="14339" max="14339" width="5.6640625" style="2" bestFit="1" customWidth="1"/>
    <col min="14340" max="14340" width="18.6640625" style="2" bestFit="1" customWidth="1"/>
    <col min="14341" max="14343" width="9.21875" style="2" bestFit="1" customWidth="1"/>
    <col min="14344" max="14344" width="8.33203125" style="2" bestFit="1" customWidth="1"/>
    <col min="14345" max="14345" width="8.5546875" style="2" bestFit="1" customWidth="1"/>
    <col min="14346" max="14346" width="10.33203125" style="2" bestFit="1" customWidth="1"/>
    <col min="14347" max="14347" width="8.33203125" style="2" bestFit="1" customWidth="1"/>
    <col min="14348" max="14348" width="8.21875" style="2" bestFit="1" customWidth="1"/>
    <col min="14349" max="14352" width="9.21875" style="2" bestFit="1" customWidth="1"/>
    <col min="14353" max="14353" width="10.21875" style="2" bestFit="1" customWidth="1"/>
    <col min="14354" max="14593" width="11.5546875" style="2"/>
    <col min="14594" max="14594" width="19.6640625" style="2" bestFit="1" customWidth="1"/>
    <col min="14595" max="14595" width="5.6640625" style="2" bestFit="1" customWidth="1"/>
    <col min="14596" max="14596" width="18.6640625" style="2" bestFit="1" customWidth="1"/>
    <col min="14597" max="14599" width="9.21875" style="2" bestFit="1" customWidth="1"/>
    <col min="14600" max="14600" width="8.33203125" style="2" bestFit="1" customWidth="1"/>
    <col min="14601" max="14601" width="8.5546875" style="2" bestFit="1" customWidth="1"/>
    <col min="14602" max="14602" width="10.33203125" style="2" bestFit="1" customWidth="1"/>
    <col min="14603" max="14603" width="8.33203125" style="2" bestFit="1" customWidth="1"/>
    <col min="14604" max="14604" width="8.21875" style="2" bestFit="1" customWidth="1"/>
    <col min="14605" max="14608" width="9.21875" style="2" bestFit="1" customWidth="1"/>
    <col min="14609" max="14609" width="10.21875" style="2" bestFit="1" customWidth="1"/>
    <col min="14610" max="14849" width="11.5546875" style="2"/>
    <col min="14850" max="14850" width="19.6640625" style="2" bestFit="1" customWidth="1"/>
    <col min="14851" max="14851" width="5.6640625" style="2" bestFit="1" customWidth="1"/>
    <col min="14852" max="14852" width="18.6640625" style="2" bestFit="1" customWidth="1"/>
    <col min="14853" max="14855" width="9.21875" style="2" bestFit="1" customWidth="1"/>
    <col min="14856" max="14856" width="8.33203125" style="2" bestFit="1" customWidth="1"/>
    <col min="14857" max="14857" width="8.5546875" style="2" bestFit="1" customWidth="1"/>
    <col min="14858" max="14858" width="10.33203125" style="2" bestFit="1" customWidth="1"/>
    <col min="14859" max="14859" width="8.33203125" style="2" bestFit="1" customWidth="1"/>
    <col min="14860" max="14860" width="8.21875" style="2" bestFit="1" customWidth="1"/>
    <col min="14861" max="14864" width="9.21875" style="2" bestFit="1" customWidth="1"/>
    <col min="14865" max="14865" width="10.21875" style="2" bestFit="1" customWidth="1"/>
    <col min="14866" max="15105" width="11.5546875" style="2"/>
    <col min="15106" max="15106" width="19.6640625" style="2" bestFit="1" customWidth="1"/>
    <col min="15107" max="15107" width="5.6640625" style="2" bestFit="1" customWidth="1"/>
    <col min="15108" max="15108" width="18.6640625" style="2" bestFit="1" customWidth="1"/>
    <col min="15109" max="15111" width="9.21875" style="2" bestFit="1" customWidth="1"/>
    <col min="15112" max="15112" width="8.33203125" style="2" bestFit="1" customWidth="1"/>
    <col min="15113" max="15113" width="8.5546875" style="2" bestFit="1" customWidth="1"/>
    <col min="15114" max="15114" width="10.33203125" style="2" bestFit="1" customWidth="1"/>
    <col min="15115" max="15115" width="8.33203125" style="2" bestFit="1" customWidth="1"/>
    <col min="15116" max="15116" width="8.21875" style="2" bestFit="1" customWidth="1"/>
    <col min="15117" max="15120" width="9.21875" style="2" bestFit="1" customWidth="1"/>
    <col min="15121" max="15121" width="10.21875" style="2" bestFit="1" customWidth="1"/>
    <col min="15122" max="15361" width="11.5546875" style="2"/>
    <col min="15362" max="15362" width="19.6640625" style="2" bestFit="1" customWidth="1"/>
    <col min="15363" max="15363" width="5.6640625" style="2" bestFit="1" customWidth="1"/>
    <col min="15364" max="15364" width="18.6640625" style="2" bestFit="1" customWidth="1"/>
    <col min="15365" max="15367" width="9.21875" style="2" bestFit="1" customWidth="1"/>
    <col min="15368" max="15368" width="8.33203125" style="2" bestFit="1" customWidth="1"/>
    <col min="15369" max="15369" width="8.5546875" style="2" bestFit="1" customWidth="1"/>
    <col min="15370" max="15370" width="10.33203125" style="2" bestFit="1" customWidth="1"/>
    <col min="15371" max="15371" width="8.33203125" style="2" bestFit="1" customWidth="1"/>
    <col min="15372" max="15372" width="8.21875" style="2" bestFit="1" customWidth="1"/>
    <col min="15373" max="15376" width="9.21875" style="2" bestFit="1" customWidth="1"/>
    <col min="15377" max="15377" width="10.21875" style="2" bestFit="1" customWidth="1"/>
    <col min="15378" max="15617" width="11.5546875" style="2"/>
    <col min="15618" max="15618" width="19.6640625" style="2" bestFit="1" customWidth="1"/>
    <col min="15619" max="15619" width="5.6640625" style="2" bestFit="1" customWidth="1"/>
    <col min="15620" max="15620" width="18.6640625" style="2" bestFit="1" customWidth="1"/>
    <col min="15621" max="15623" width="9.21875" style="2" bestFit="1" customWidth="1"/>
    <col min="15624" max="15624" width="8.33203125" style="2" bestFit="1" customWidth="1"/>
    <col min="15625" max="15625" width="8.5546875" style="2" bestFit="1" customWidth="1"/>
    <col min="15626" max="15626" width="10.33203125" style="2" bestFit="1" customWidth="1"/>
    <col min="15627" max="15627" width="8.33203125" style="2" bestFit="1" customWidth="1"/>
    <col min="15628" max="15628" width="8.21875" style="2" bestFit="1" customWidth="1"/>
    <col min="15629" max="15632" width="9.21875" style="2" bestFit="1" customWidth="1"/>
    <col min="15633" max="15633" width="10.21875" style="2" bestFit="1" customWidth="1"/>
    <col min="15634" max="15873" width="11.5546875" style="2"/>
    <col min="15874" max="15874" width="19.6640625" style="2" bestFit="1" customWidth="1"/>
    <col min="15875" max="15875" width="5.6640625" style="2" bestFit="1" customWidth="1"/>
    <col min="15876" max="15876" width="18.6640625" style="2" bestFit="1" customWidth="1"/>
    <col min="15877" max="15879" width="9.21875" style="2" bestFit="1" customWidth="1"/>
    <col min="15880" max="15880" width="8.33203125" style="2" bestFit="1" customWidth="1"/>
    <col min="15881" max="15881" width="8.5546875" style="2" bestFit="1" customWidth="1"/>
    <col min="15882" max="15882" width="10.33203125" style="2" bestFit="1" customWidth="1"/>
    <col min="15883" max="15883" width="8.33203125" style="2" bestFit="1" customWidth="1"/>
    <col min="15884" max="15884" width="8.21875" style="2" bestFit="1" customWidth="1"/>
    <col min="15885" max="15888" width="9.21875" style="2" bestFit="1" customWidth="1"/>
    <col min="15889" max="15889" width="10.21875" style="2" bestFit="1" customWidth="1"/>
    <col min="15890" max="16129" width="11.5546875" style="2"/>
    <col min="16130" max="16130" width="19.6640625" style="2" bestFit="1" customWidth="1"/>
    <col min="16131" max="16131" width="5.6640625" style="2" bestFit="1" customWidth="1"/>
    <col min="16132" max="16132" width="18.6640625" style="2" bestFit="1" customWidth="1"/>
    <col min="16133" max="16135" width="9.21875" style="2" bestFit="1" customWidth="1"/>
    <col min="16136" max="16136" width="8.33203125" style="2" bestFit="1" customWidth="1"/>
    <col min="16137" max="16137" width="8.5546875" style="2" bestFit="1" customWidth="1"/>
    <col min="16138" max="16138" width="10.33203125" style="2" bestFit="1" customWidth="1"/>
    <col min="16139" max="16139" width="8.33203125" style="2" bestFit="1" customWidth="1"/>
    <col min="16140" max="16140" width="8.21875" style="2" bestFit="1" customWidth="1"/>
    <col min="16141" max="16144" width="9.21875" style="2" bestFit="1" customWidth="1"/>
    <col min="16145" max="16145" width="10.21875" style="2" bestFit="1" customWidth="1"/>
    <col min="16146" max="16384" width="11.5546875" style="2"/>
  </cols>
  <sheetData>
    <row r="2" spans="3:18" ht="23.4" thickBot="1" x14ac:dyDescent="0.45">
      <c r="C2" s="140" t="s">
        <v>31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3:18" ht="16.2" thickTop="1" x14ac:dyDescent="0.3"/>
    <row r="4" spans="3:18" x14ac:dyDescent="0.3">
      <c r="E4" s="4">
        <v>44927</v>
      </c>
      <c r="F4" s="4">
        <v>44958</v>
      </c>
      <c r="G4" s="4">
        <v>44986</v>
      </c>
      <c r="H4" s="4">
        <v>45017</v>
      </c>
      <c r="I4" s="4">
        <v>45047</v>
      </c>
      <c r="J4" s="4">
        <v>45078</v>
      </c>
      <c r="K4" s="4">
        <v>45108</v>
      </c>
      <c r="L4" s="4">
        <v>45139</v>
      </c>
      <c r="M4" s="4">
        <v>45170</v>
      </c>
      <c r="N4" s="4">
        <v>45200</v>
      </c>
      <c r="O4" s="4">
        <v>45231</v>
      </c>
      <c r="P4" s="4">
        <v>45261</v>
      </c>
    </row>
    <row r="5" spans="3:18" x14ac:dyDescent="0.3">
      <c r="D5" s="26" t="s">
        <v>0</v>
      </c>
      <c r="E5" s="3">
        <v>0.12</v>
      </c>
      <c r="F5" s="3">
        <v>0.1</v>
      </c>
      <c r="G5" s="3">
        <v>0.08</v>
      </c>
      <c r="H5" s="3">
        <v>0.06</v>
      </c>
      <c r="I5" s="3">
        <v>0.06</v>
      </c>
      <c r="J5" s="3">
        <v>0.05</v>
      </c>
      <c r="K5" s="3">
        <v>0.04</v>
      </c>
      <c r="L5" s="3">
        <v>0.03</v>
      </c>
      <c r="M5" s="3">
        <v>0.08</v>
      </c>
      <c r="N5" s="3">
        <v>0.1</v>
      </c>
      <c r="O5" s="3">
        <v>0.12</v>
      </c>
      <c r="P5" s="3">
        <v>0.16</v>
      </c>
      <c r="Q5" s="3">
        <f>SUM(E5:P5)</f>
        <v>1</v>
      </c>
    </row>
    <row r="6" spans="3:18" x14ac:dyDescent="0.3">
      <c r="D6" s="136" t="s">
        <v>1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</row>
    <row r="7" spans="3:18" x14ac:dyDescent="0.3">
      <c r="E7" s="4">
        <v>44927</v>
      </c>
      <c r="F7" s="4">
        <v>44958</v>
      </c>
      <c r="G7" s="4">
        <v>44986</v>
      </c>
      <c r="H7" s="4">
        <v>45017</v>
      </c>
      <c r="I7" s="4">
        <v>45047</v>
      </c>
      <c r="J7" s="4">
        <v>45078</v>
      </c>
      <c r="K7" s="4">
        <v>45108</v>
      </c>
      <c r="L7" s="4">
        <v>45139</v>
      </c>
      <c r="M7" s="4">
        <v>45170</v>
      </c>
      <c r="N7" s="4">
        <v>45200</v>
      </c>
      <c r="O7" s="4">
        <v>45231</v>
      </c>
      <c r="P7" s="4">
        <v>45261</v>
      </c>
    </row>
    <row r="8" spans="3:18" x14ac:dyDescent="0.3">
      <c r="D8" s="25" t="s">
        <v>2</v>
      </c>
      <c r="E8" s="5">
        <f>+$D$9*E5</f>
        <v>30747.119999999999</v>
      </c>
      <c r="F8" s="5">
        <f t="shared" ref="F8:P8" si="0">+$D$9*F5</f>
        <v>25622.600000000002</v>
      </c>
      <c r="G8" s="5">
        <f t="shared" si="0"/>
        <v>20498.080000000002</v>
      </c>
      <c r="H8" s="5">
        <f t="shared" si="0"/>
        <v>15373.56</v>
      </c>
      <c r="I8" s="5">
        <f t="shared" si="0"/>
        <v>15373.56</v>
      </c>
      <c r="J8" s="5">
        <f t="shared" si="0"/>
        <v>12811.300000000001</v>
      </c>
      <c r="K8" s="5">
        <f t="shared" si="0"/>
        <v>10249.040000000001</v>
      </c>
      <c r="L8" s="5">
        <f t="shared" si="0"/>
        <v>7686.78</v>
      </c>
      <c r="M8" s="5">
        <f t="shared" si="0"/>
        <v>20498.080000000002</v>
      </c>
      <c r="N8" s="5">
        <f t="shared" si="0"/>
        <v>25622.600000000002</v>
      </c>
      <c r="O8" s="5">
        <f t="shared" si="0"/>
        <v>30747.119999999999</v>
      </c>
      <c r="P8" s="5">
        <f t="shared" si="0"/>
        <v>40996.160000000003</v>
      </c>
      <c r="Q8" s="79">
        <f>SUM(E8:P8)</f>
        <v>256226</v>
      </c>
      <c r="R8" s="6"/>
    </row>
    <row r="9" spans="3:18" ht="17.399999999999999" x14ac:dyDescent="0.3">
      <c r="C9" s="2" t="s">
        <v>3</v>
      </c>
      <c r="D9" s="78">
        <v>256226</v>
      </c>
    </row>
    <row r="10" spans="3:18" x14ac:dyDescent="0.3">
      <c r="C10" s="7">
        <v>0</v>
      </c>
      <c r="D10" s="8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9">
        <f>SUM(E10:P10)</f>
        <v>0</v>
      </c>
      <c r="R10" s="6"/>
    </row>
    <row r="11" spans="3:18" x14ac:dyDescent="0.3">
      <c r="D11" s="9">
        <f>+'[1]Capital de Trabajo'!A14</f>
        <v>0</v>
      </c>
    </row>
    <row r="13" spans="3:18" x14ac:dyDescent="0.3">
      <c r="C13" s="10">
        <v>0.15</v>
      </c>
      <c r="D13" s="24" t="s">
        <v>5</v>
      </c>
      <c r="E13" s="5">
        <f>+$C$13*E8</f>
        <v>4612.0679999999993</v>
      </c>
      <c r="F13" s="5">
        <f t="shared" ref="F13:P13" si="1">+$C$13*F8</f>
        <v>3843.3900000000003</v>
      </c>
      <c r="G13" s="5">
        <f t="shared" si="1"/>
        <v>3074.712</v>
      </c>
      <c r="H13" s="5">
        <f t="shared" si="1"/>
        <v>2306.0339999999997</v>
      </c>
      <c r="I13" s="5">
        <f t="shared" si="1"/>
        <v>2306.0339999999997</v>
      </c>
      <c r="J13" s="5">
        <f t="shared" si="1"/>
        <v>1921.6950000000002</v>
      </c>
      <c r="K13" s="5">
        <f t="shared" si="1"/>
        <v>1537.356</v>
      </c>
      <c r="L13" s="5">
        <f t="shared" si="1"/>
        <v>1153.0169999999998</v>
      </c>
      <c r="M13" s="5">
        <f t="shared" si="1"/>
        <v>3074.712</v>
      </c>
      <c r="N13" s="5">
        <f t="shared" si="1"/>
        <v>3843.3900000000003</v>
      </c>
      <c r="O13" s="5">
        <f t="shared" si="1"/>
        <v>4612.0679999999993</v>
      </c>
      <c r="P13" s="5">
        <f t="shared" si="1"/>
        <v>6149.424</v>
      </c>
      <c r="Q13" s="5">
        <f>SUM(E13:P13)</f>
        <v>38433.899999999994</v>
      </c>
    </row>
    <row r="14" spans="3:18" x14ac:dyDescent="0.3">
      <c r="C14" s="10">
        <v>0.85</v>
      </c>
      <c r="D14" s="24" t="s">
        <v>6</v>
      </c>
      <c r="E14" s="5">
        <f>+$C$14*E8</f>
        <v>26135.052</v>
      </c>
      <c r="F14" s="5">
        <f t="shared" ref="F14:P14" si="2">+$C$14*F8</f>
        <v>21779.210000000003</v>
      </c>
      <c r="G14" s="5">
        <f t="shared" si="2"/>
        <v>17423.368000000002</v>
      </c>
      <c r="H14" s="5">
        <f t="shared" si="2"/>
        <v>13067.526</v>
      </c>
      <c r="I14" s="5">
        <f t="shared" si="2"/>
        <v>13067.526</v>
      </c>
      <c r="J14" s="5">
        <f t="shared" si="2"/>
        <v>10889.605000000001</v>
      </c>
      <c r="K14" s="5">
        <f t="shared" si="2"/>
        <v>8711.6840000000011</v>
      </c>
      <c r="L14" s="5">
        <f t="shared" si="2"/>
        <v>6533.7629999999999</v>
      </c>
      <c r="M14" s="5">
        <f t="shared" si="2"/>
        <v>17423.368000000002</v>
      </c>
      <c r="N14" s="5">
        <f t="shared" si="2"/>
        <v>21779.210000000003</v>
      </c>
      <c r="O14" s="5">
        <f t="shared" si="2"/>
        <v>26135.052</v>
      </c>
      <c r="P14" s="5">
        <f t="shared" si="2"/>
        <v>34846.736000000004</v>
      </c>
      <c r="Q14" s="5">
        <f>SUM(E14:P14)</f>
        <v>217792.1</v>
      </c>
    </row>
    <row r="15" spans="3:18" x14ac:dyDescent="0.3">
      <c r="D15" s="11"/>
      <c r="E15" s="11"/>
      <c r="F15" s="11"/>
      <c r="Q15" s="79">
        <f>SUM(Q13:Q14)</f>
        <v>256226</v>
      </c>
    </row>
    <row r="16" spans="3:18" x14ac:dyDescent="0.3">
      <c r="D16" s="2" t="s">
        <v>7</v>
      </c>
    </row>
    <row r="17" spans="2:18" x14ac:dyDescent="0.3">
      <c r="D17" s="7">
        <v>0.55000000000000004</v>
      </c>
      <c r="E17" s="5">
        <f>+$D$17*E8</f>
        <v>16910.916000000001</v>
      </c>
      <c r="F17" s="5">
        <f t="shared" ref="F17:P17" si="3">+$D$17*F8</f>
        <v>14092.430000000002</v>
      </c>
      <c r="G17" s="5">
        <f t="shared" si="3"/>
        <v>11273.944000000001</v>
      </c>
      <c r="H17" s="5">
        <f t="shared" si="3"/>
        <v>8455.4580000000005</v>
      </c>
      <c r="I17" s="5">
        <f t="shared" si="3"/>
        <v>8455.4580000000005</v>
      </c>
      <c r="J17" s="5">
        <f t="shared" si="3"/>
        <v>7046.2150000000011</v>
      </c>
      <c r="K17" s="5">
        <f t="shared" si="3"/>
        <v>5636.9720000000007</v>
      </c>
      <c r="L17" s="5">
        <f t="shared" si="3"/>
        <v>4227.7290000000003</v>
      </c>
      <c r="M17" s="5">
        <f t="shared" si="3"/>
        <v>11273.944000000001</v>
      </c>
      <c r="N17" s="5">
        <f t="shared" si="3"/>
        <v>14092.430000000002</v>
      </c>
      <c r="O17" s="5">
        <f t="shared" si="3"/>
        <v>16910.916000000001</v>
      </c>
      <c r="P17" s="5">
        <f t="shared" si="3"/>
        <v>22547.888000000003</v>
      </c>
      <c r="Q17" s="5">
        <f>SUM(E17:P17)</f>
        <v>140924.30000000002</v>
      </c>
    </row>
    <row r="18" spans="2:18" ht="34.200000000000003" customHeight="1" x14ac:dyDescent="0.3">
      <c r="D18" s="80" t="s">
        <v>52</v>
      </c>
      <c r="E18" s="5">
        <f t="shared" ref="E18:L18" si="4">+E8-E17</f>
        <v>13836.203999999998</v>
      </c>
      <c r="F18" s="5">
        <f t="shared" si="4"/>
        <v>11530.17</v>
      </c>
      <c r="G18" s="5">
        <f t="shared" si="4"/>
        <v>9224.1360000000004</v>
      </c>
      <c r="H18" s="5">
        <f t="shared" si="4"/>
        <v>6918.101999999999</v>
      </c>
      <c r="I18" s="5">
        <f t="shared" si="4"/>
        <v>6918.101999999999</v>
      </c>
      <c r="J18" s="5">
        <f t="shared" si="4"/>
        <v>5765.085</v>
      </c>
      <c r="K18" s="5">
        <f t="shared" si="4"/>
        <v>4612.0680000000002</v>
      </c>
      <c r="L18" s="5">
        <f t="shared" si="4"/>
        <v>3459.0509999999995</v>
      </c>
      <c r="M18" s="5">
        <f t="shared" ref="M18:P18" si="5">+M8-M17</f>
        <v>9224.1360000000004</v>
      </c>
      <c r="N18" s="5">
        <f t="shared" si="5"/>
        <v>11530.17</v>
      </c>
      <c r="O18" s="5">
        <f t="shared" si="5"/>
        <v>13836.203999999998</v>
      </c>
      <c r="P18" s="5">
        <f t="shared" si="5"/>
        <v>18448.272000000001</v>
      </c>
      <c r="Q18" s="5">
        <f>SUM(E18:P18)</f>
        <v>115301.69999999998</v>
      </c>
    </row>
    <row r="19" spans="2:18" x14ac:dyDescent="0.3">
      <c r="Q19" s="79">
        <f>SUM(Q17:Q18)</f>
        <v>256226</v>
      </c>
    </row>
    <row r="20" spans="2:18" x14ac:dyDescent="0.3">
      <c r="D20" s="2" t="s">
        <v>8</v>
      </c>
    </row>
    <row r="21" spans="2:18" x14ac:dyDescent="0.3">
      <c r="D21" s="7">
        <f>100%-D17</f>
        <v>0.44999999999999996</v>
      </c>
      <c r="E21" s="5">
        <f>+$D$21*E8</f>
        <v>13836.203999999998</v>
      </c>
      <c r="F21" s="5">
        <f t="shared" ref="F21:P21" si="6">+$D$21*F8</f>
        <v>11530.17</v>
      </c>
      <c r="G21" s="5">
        <f t="shared" si="6"/>
        <v>9224.1360000000004</v>
      </c>
      <c r="H21" s="5">
        <f t="shared" si="6"/>
        <v>6918.101999999999</v>
      </c>
      <c r="I21" s="5">
        <f t="shared" si="6"/>
        <v>6918.101999999999</v>
      </c>
      <c r="J21" s="5">
        <f t="shared" si="6"/>
        <v>5765.085</v>
      </c>
      <c r="K21" s="5">
        <f t="shared" si="6"/>
        <v>4612.0680000000002</v>
      </c>
      <c r="L21" s="5">
        <f t="shared" si="6"/>
        <v>3459.0509999999995</v>
      </c>
      <c r="M21" s="5">
        <f t="shared" si="6"/>
        <v>9224.1360000000004</v>
      </c>
      <c r="N21" s="5">
        <f t="shared" si="6"/>
        <v>11530.17</v>
      </c>
      <c r="O21" s="5">
        <f t="shared" si="6"/>
        <v>13836.203999999998</v>
      </c>
      <c r="P21" s="5">
        <f t="shared" si="6"/>
        <v>18448.272000000001</v>
      </c>
      <c r="Q21" s="5">
        <f>SUM(E21:P21)</f>
        <v>115301.69999999998</v>
      </c>
    </row>
    <row r="23" spans="2:18" x14ac:dyDescent="0.3">
      <c r="D23" s="7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2:18" x14ac:dyDescent="0.3">
      <c r="D24" s="136" t="s">
        <v>9</v>
      </c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</row>
    <row r="25" spans="2:18" x14ac:dyDescent="0.3">
      <c r="B25" s="1" t="s">
        <v>10</v>
      </c>
      <c r="C25" s="1"/>
      <c r="D25" s="14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2:18" x14ac:dyDescent="0.3">
      <c r="B26" s="137" t="s">
        <v>11</v>
      </c>
      <c r="C26" s="138"/>
      <c r="D26" s="139"/>
    </row>
    <row r="27" spans="2:18" x14ac:dyDescent="0.3">
      <c r="B27" s="16" t="s">
        <v>12</v>
      </c>
      <c r="C27" s="17">
        <v>2022</v>
      </c>
      <c r="D27" s="18"/>
    </row>
    <row r="28" spans="2:18" x14ac:dyDescent="0.3">
      <c r="B28" s="16" t="s">
        <v>12</v>
      </c>
      <c r="C28" s="16">
        <v>2023</v>
      </c>
      <c r="D28" s="83">
        <f>SUM(D29:D31)</f>
        <v>72694</v>
      </c>
      <c r="E28" s="19">
        <v>0.9</v>
      </c>
      <c r="F28" s="2" t="s">
        <v>13</v>
      </c>
    </row>
    <row r="29" spans="2:18" x14ac:dyDescent="0.3">
      <c r="B29" s="16" t="s">
        <v>14</v>
      </c>
      <c r="C29" s="16">
        <v>2023</v>
      </c>
      <c r="D29" s="82">
        <v>29018</v>
      </c>
      <c r="E29" s="19">
        <f>+'[1]Base de Datos'!E28</f>
        <v>0.4</v>
      </c>
      <c r="F29" s="2" t="s">
        <v>15</v>
      </c>
    </row>
    <row r="30" spans="2:18" x14ac:dyDescent="0.3">
      <c r="B30" s="16" t="s">
        <v>16</v>
      </c>
      <c r="C30" s="16">
        <v>2023</v>
      </c>
      <c r="D30" s="77">
        <v>38051</v>
      </c>
      <c r="E30" s="2" t="s">
        <v>17</v>
      </c>
    </row>
    <row r="31" spans="2:18" x14ac:dyDescent="0.3">
      <c r="B31" s="16" t="s">
        <v>18</v>
      </c>
      <c r="C31" s="16">
        <v>2023</v>
      </c>
      <c r="D31" s="81">
        <v>5625</v>
      </c>
      <c r="E31" s="2" t="s">
        <v>19</v>
      </c>
    </row>
    <row r="32" spans="2:18" x14ac:dyDescent="0.3">
      <c r="D32" s="13"/>
    </row>
    <row r="33" spans="2:17" x14ac:dyDescent="0.3">
      <c r="B33" s="16" t="s">
        <v>20</v>
      </c>
      <c r="C33" s="16">
        <v>2023</v>
      </c>
      <c r="D33" s="76">
        <v>5085</v>
      </c>
      <c r="E33" s="2" t="s">
        <v>21</v>
      </c>
    </row>
    <row r="34" spans="2:17" x14ac:dyDescent="0.3">
      <c r="D34" s="13"/>
    </row>
    <row r="35" spans="2:17" x14ac:dyDescent="0.3">
      <c r="E35" s="20">
        <f t="shared" ref="E35:P35" si="7">+E7</f>
        <v>44927</v>
      </c>
      <c r="F35" s="20">
        <f t="shared" si="7"/>
        <v>44958</v>
      </c>
      <c r="G35" s="20">
        <f t="shared" si="7"/>
        <v>44986</v>
      </c>
      <c r="H35" s="20">
        <f t="shared" si="7"/>
        <v>45017</v>
      </c>
      <c r="I35" s="20">
        <f t="shared" si="7"/>
        <v>45047</v>
      </c>
      <c r="J35" s="20">
        <f t="shared" si="7"/>
        <v>45078</v>
      </c>
      <c r="K35" s="20">
        <f t="shared" si="7"/>
        <v>45108</v>
      </c>
      <c r="L35" s="20">
        <f t="shared" si="7"/>
        <v>45139</v>
      </c>
      <c r="M35" s="20">
        <f t="shared" si="7"/>
        <v>45170</v>
      </c>
      <c r="N35" s="20">
        <f t="shared" si="7"/>
        <v>45200</v>
      </c>
      <c r="O35" s="20">
        <f t="shared" si="7"/>
        <v>45231</v>
      </c>
      <c r="P35" s="20">
        <f t="shared" si="7"/>
        <v>45261</v>
      </c>
    </row>
    <row r="36" spans="2:17" x14ac:dyDescent="0.3">
      <c r="D36" s="21" t="str">
        <f>+[1]Resultados!C8</f>
        <v>Gastos Operativos</v>
      </c>
    </row>
    <row r="37" spans="2:17" x14ac:dyDescent="0.3">
      <c r="D37" s="2" t="str">
        <f>+[1]Resultados!C9</f>
        <v>Gasto Ventas</v>
      </c>
      <c r="E37" s="84">
        <f>+$D$29*E5</f>
        <v>3482.16</v>
      </c>
      <c r="F37" s="84">
        <f t="shared" ref="F37:P37" si="8">+$D$29*F5</f>
        <v>2901.8</v>
      </c>
      <c r="G37" s="84">
        <f t="shared" si="8"/>
        <v>2321.44</v>
      </c>
      <c r="H37" s="84">
        <f t="shared" si="8"/>
        <v>1741.08</v>
      </c>
      <c r="I37" s="84">
        <f t="shared" si="8"/>
        <v>1741.08</v>
      </c>
      <c r="J37" s="84">
        <f t="shared" si="8"/>
        <v>1450.9</v>
      </c>
      <c r="K37" s="84">
        <f t="shared" si="8"/>
        <v>1160.72</v>
      </c>
      <c r="L37" s="84">
        <f t="shared" si="8"/>
        <v>870.54</v>
      </c>
      <c r="M37" s="84">
        <f t="shared" si="8"/>
        <v>2321.44</v>
      </c>
      <c r="N37" s="84">
        <f t="shared" si="8"/>
        <v>2901.8</v>
      </c>
      <c r="O37" s="84">
        <f t="shared" si="8"/>
        <v>3482.16</v>
      </c>
      <c r="P37" s="84">
        <f t="shared" si="8"/>
        <v>4642.88</v>
      </c>
      <c r="Q37" s="85">
        <f>SUM(E37:P37)</f>
        <v>29017.999999999996</v>
      </c>
    </row>
    <row r="38" spans="2:17" x14ac:dyDescent="0.3">
      <c r="D38" s="2" t="str">
        <f>+[1]Resultados!C10</f>
        <v>Gasto Administrativo</v>
      </c>
      <c r="E38" s="86">
        <f>+$D$30*E5</f>
        <v>4566.12</v>
      </c>
      <c r="F38" s="86">
        <f t="shared" ref="F38:P38" si="9">+$D$30*F5</f>
        <v>3805.1000000000004</v>
      </c>
      <c r="G38" s="86">
        <f t="shared" si="9"/>
        <v>3044.08</v>
      </c>
      <c r="H38" s="86">
        <f t="shared" si="9"/>
        <v>2283.06</v>
      </c>
      <c r="I38" s="86">
        <f t="shared" si="9"/>
        <v>2283.06</v>
      </c>
      <c r="J38" s="86">
        <f t="shared" si="9"/>
        <v>1902.5500000000002</v>
      </c>
      <c r="K38" s="86">
        <f t="shared" si="9"/>
        <v>1522.04</v>
      </c>
      <c r="L38" s="86">
        <f t="shared" si="9"/>
        <v>1141.53</v>
      </c>
      <c r="M38" s="86">
        <f t="shared" si="9"/>
        <v>3044.08</v>
      </c>
      <c r="N38" s="86">
        <f t="shared" si="9"/>
        <v>3805.1000000000004</v>
      </c>
      <c r="O38" s="86">
        <f t="shared" si="9"/>
        <v>4566.12</v>
      </c>
      <c r="P38" s="86">
        <f t="shared" si="9"/>
        <v>6088.16</v>
      </c>
      <c r="Q38" s="87">
        <f>SUM(E38:P38)</f>
        <v>38051</v>
      </c>
    </row>
    <row r="39" spans="2:17" x14ac:dyDescent="0.3">
      <c r="D39" s="2" t="str">
        <f>+[1]Resultados!C11</f>
        <v>Depreciaciones</v>
      </c>
      <c r="E39" s="91">
        <f>+$D$31/12</f>
        <v>468.75</v>
      </c>
      <c r="F39" s="91">
        <f t="shared" ref="F39:P39" si="10">+$D$31/12</f>
        <v>468.75</v>
      </c>
      <c r="G39" s="91">
        <f t="shared" si="10"/>
        <v>468.75</v>
      </c>
      <c r="H39" s="91">
        <f t="shared" si="10"/>
        <v>468.75</v>
      </c>
      <c r="I39" s="91">
        <f t="shared" si="10"/>
        <v>468.75</v>
      </c>
      <c r="J39" s="91">
        <f t="shared" si="10"/>
        <v>468.75</v>
      </c>
      <c r="K39" s="91">
        <f t="shared" si="10"/>
        <v>468.75</v>
      </c>
      <c r="L39" s="91">
        <f t="shared" si="10"/>
        <v>468.75</v>
      </c>
      <c r="M39" s="91">
        <f t="shared" si="10"/>
        <v>468.75</v>
      </c>
      <c r="N39" s="91">
        <f t="shared" si="10"/>
        <v>468.75</v>
      </c>
      <c r="O39" s="91">
        <f t="shared" si="10"/>
        <v>468.75</v>
      </c>
      <c r="P39" s="91">
        <f t="shared" si="10"/>
        <v>468.75</v>
      </c>
      <c r="Q39" s="92">
        <f>SUM(E39:P39)</f>
        <v>5625</v>
      </c>
    </row>
    <row r="40" spans="2:17" x14ac:dyDescent="0.3">
      <c r="D40" s="22" t="str">
        <f>+[1]Resultados!C12</f>
        <v>Total Gasto Operativo</v>
      </c>
      <c r="E40" s="93">
        <f>SUM(E37:E39)</f>
        <v>8517.0299999999988</v>
      </c>
      <c r="F40" s="93">
        <f t="shared" ref="F40:P40" si="11">SUM(F37:F39)</f>
        <v>7175.6500000000005</v>
      </c>
      <c r="G40" s="93">
        <f t="shared" si="11"/>
        <v>5834.27</v>
      </c>
      <c r="H40" s="93">
        <f t="shared" si="11"/>
        <v>4492.8899999999994</v>
      </c>
      <c r="I40" s="93">
        <f t="shared" si="11"/>
        <v>4492.8899999999994</v>
      </c>
      <c r="J40" s="93">
        <f t="shared" si="11"/>
        <v>3822.2000000000003</v>
      </c>
      <c r="K40" s="93">
        <f t="shared" si="11"/>
        <v>3151.51</v>
      </c>
      <c r="L40" s="93">
        <f t="shared" si="11"/>
        <v>2480.8199999999997</v>
      </c>
      <c r="M40" s="93">
        <f t="shared" si="11"/>
        <v>5834.27</v>
      </c>
      <c r="N40" s="93">
        <f t="shared" si="11"/>
        <v>7175.6500000000005</v>
      </c>
      <c r="O40" s="93">
        <f t="shared" si="11"/>
        <v>8517.0299999999988</v>
      </c>
      <c r="P40" s="93">
        <f t="shared" si="11"/>
        <v>11199.79</v>
      </c>
      <c r="Q40" s="88">
        <f>SUM(E40:P40)</f>
        <v>72694</v>
      </c>
    </row>
    <row r="41" spans="2:17" x14ac:dyDescent="0.3">
      <c r="D41" s="2" t="s">
        <v>22</v>
      </c>
      <c r="E41" s="89">
        <f>+$D$33/12</f>
        <v>423.75</v>
      </c>
      <c r="F41" s="89">
        <f t="shared" ref="F41:P41" si="12">+$D$33/12</f>
        <v>423.75</v>
      </c>
      <c r="G41" s="89">
        <f t="shared" si="12"/>
        <v>423.75</v>
      </c>
      <c r="H41" s="89">
        <f t="shared" si="12"/>
        <v>423.75</v>
      </c>
      <c r="I41" s="89">
        <f t="shared" si="12"/>
        <v>423.75</v>
      </c>
      <c r="J41" s="89">
        <f t="shared" si="12"/>
        <v>423.75</v>
      </c>
      <c r="K41" s="89">
        <f t="shared" si="12"/>
        <v>423.75</v>
      </c>
      <c r="L41" s="89">
        <f t="shared" si="12"/>
        <v>423.75</v>
      </c>
      <c r="M41" s="89">
        <f t="shared" si="12"/>
        <v>423.75</v>
      </c>
      <c r="N41" s="89">
        <f t="shared" si="12"/>
        <v>423.75</v>
      </c>
      <c r="O41" s="89">
        <f t="shared" si="12"/>
        <v>423.75</v>
      </c>
      <c r="P41" s="89">
        <f t="shared" si="12"/>
        <v>423.75</v>
      </c>
      <c r="Q41" s="90">
        <f>SUM(E41:P41)</f>
        <v>5085</v>
      </c>
    </row>
    <row r="43" spans="2:17" x14ac:dyDescent="0.3">
      <c r="D43" s="2" t="s">
        <v>22</v>
      </c>
      <c r="E43" s="5">
        <v>427.93967605165943</v>
      </c>
      <c r="F43" s="5">
        <v>427.19623731014826</v>
      </c>
      <c r="G43" s="5">
        <v>426.44536418122203</v>
      </c>
      <c r="H43" s="5">
        <v>425.6869823210065</v>
      </c>
      <c r="I43" s="5">
        <v>424.92101664218887</v>
      </c>
      <c r="J43" s="5">
        <v>424.14739130658302</v>
      </c>
      <c r="K43" s="5">
        <v>423.36602971762113</v>
      </c>
      <c r="L43" s="5">
        <v>422.57685451276956</v>
      </c>
      <c r="M43" s="5">
        <v>421.77978755586958</v>
      </c>
      <c r="N43" s="5">
        <v>420.9747499294005</v>
      </c>
      <c r="O43" s="5">
        <v>420.1616619266668</v>
      </c>
      <c r="P43" s="5">
        <v>419.34044304390568</v>
      </c>
      <c r="Q43" s="12">
        <f>SUM(E43:P43)</f>
        <v>5084.5361944990418</v>
      </c>
    </row>
  </sheetData>
  <mergeCells count="4">
    <mergeCell ref="D6:R6"/>
    <mergeCell ref="D24:R24"/>
    <mergeCell ref="B26:D26"/>
    <mergeCell ref="C2:R2"/>
  </mergeCells>
  <pageMargins left="0.7" right="0.7" top="0.75" bottom="0.75" header="0.3" footer="0.3"/>
  <pageSetup orientation="portrait" horizontalDpi="30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89D9-1400-45BB-A06C-BBC3B2ED47CF}">
  <dimension ref="B2:Q20"/>
  <sheetViews>
    <sheetView zoomScaleNormal="100" workbookViewId="0">
      <selection activeCell="E22" sqref="E22"/>
    </sheetView>
  </sheetViews>
  <sheetFormatPr baseColWidth="10" defaultRowHeight="15.6" x14ac:dyDescent="0.3"/>
  <cols>
    <col min="1" max="1" width="11.5546875" style="2"/>
    <col min="2" max="2" width="11.77734375" style="2" bestFit="1" customWidth="1"/>
    <col min="3" max="3" width="28.6640625" style="2" bestFit="1" customWidth="1"/>
    <col min="4" max="5" width="13.44140625" style="2" bestFit="1" customWidth="1"/>
    <col min="6" max="14" width="12.109375" style="2" bestFit="1" customWidth="1"/>
    <col min="15" max="15" width="12.21875" style="2" bestFit="1" customWidth="1"/>
    <col min="16" max="16" width="14.77734375" style="2" bestFit="1" customWidth="1"/>
    <col min="17" max="17" width="13.5546875" style="2" bestFit="1" customWidth="1"/>
    <col min="18" max="258" width="11.5546875" style="2"/>
    <col min="259" max="259" width="28.6640625" style="2" bestFit="1" customWidth="1"/>
    <col min="260" max="270" width="11.88671875" style="2" bestFit="1" customWidth="1"/>
    <col min="271" max="271" width="12" style="2" bestFit="1" customWidth="1"/>
    <col min="272" max="272" width="12.88671875" style="2" bestFit="1" customWidth="1"/>
    <col min="273" max="273" width="11.77734375" style="2" bestFit="1" customWidth="1"/>
    <col min="274" max="514" width="11.5546875" style="2"/>
    <col min="515" max="515" width="28.6640625" style="2" bestFit="1" customWidth="1"/>
    <col min="516" max="526" width="11.88671875" style="2" bestFit="1" customWidth="1"/>
    <col min="527" max="527" width="12" style="2" bestFit="1" customWidth="1"/>
    <col min="528" max="528" width="12.88671875" style="2" bestFit="1" customWidth="1"/>
    <col min="529" max="529" width="11.77734375" style="2" bestFit="1" customWidth="1"/>
    <col min="530" max="770" width="11.5546875" style="2"/>
    <col min="771" max="771" width="28.6640625" style="2" bestFit="1" customWidth="1"/>
    <col min="772" max="782" width="11.88671875" style="2" bestFit="1" customWidth="1"/>
    <col min="783" max="783" width="12" style="2" bestFit="1" customWidth="1"/>
    <col min="784" max="784" width="12.88671875" style="2" bestFit="1" customWidth="1"/>
    <col min="785" max="785" width="11.77734375" style="2" bestFit="1" customWidth="1"/>
    <col min="786" max="1026" width="11.5546875" style="2"/>
    <col min="1027" max="1027" width="28.6640625" style="2" bestFit="1" customWidth="1"/>
    <col min="1028" max="1038" width="11.88671875" style="2" bestFit="1" customWidth="1"/>
    <col min="1039" max="1039" width="12" style="2" bestFit="1" customWidth="1"/>
    <col min="1040" max="1040" width="12.88671875" style="2" bestFit="1" customWidth="1"/>
    <col min="1041" max="1041" width="11.77734375" style="2" bestFit="1" customWidth="1"/>
    <col min="1042" max="1282" width="11.5546875" style="2"/>
    <col min="1283" max="1283" width="28.6640625" style="2" bestFit="1" customWidth="1"/>
    <col min="1284" max="1294" width="11.88671875" style="2" bestFit="1" customWidth="1"/>
    <col min="1295" max="1295" width="12" style="2" bestFit="1" customWidth="1"/>
    <col min="1296" max="1296" width="12.88671875" style="2" bestFit="1" customWidth="1"/>
    <col min="1297" max="1297" width="11.77734375" style="2" bestFit="1" customWidth="1"/>
    <col min="1298" max="1538" width="11.5546875" style="2"/>
    <col min="1539" max="1539" width="28.6640625" style="2" bestFit="1" customWidth="1"/>
    <col min="1540" max="1550" width="11.88671875" style="2" bestFit="1" customWidth="1"/>
    <col min="1551" max="1551" width="12" style="2" bestFit="1" customWidth="1"/>
    <col min="1552" max="1552" width="12.88671875" style="2" bestFit="1" customWidth="1"/>
    <col min="1553" max="1553" width="11.77734375" style="2" bestFit="1" customWidth="1"/>
    <col min="1554" max="1794" width="11.5546875" style="2"/>
    <col min="1795" max="1795" width="28.6640625" style="2" bestFit="1" customWidth="1"/>
    <col min="1796" max="1806" width="11.88671875" style="2" bestFit="1" customWidth="1"/>
    <col min="1807" max="1807" width="12" style="2" bestFit="1" customWidth="1"/>
    <col min="1808" max="1808" width="12.88671875" style="2" bestFit="1" customWidth="1"/>
    <col min="1809" max="1809" width="11.77734375" style="2" bestFit="1" customWidth="1"/>
    <col min="1810" max="2050" width="11.5546875" style="2"/>
    <col min="2051" max="2051" width="28.6640625" style="2" bestFit="1" customWidth="1"/>
    <col min="2052" max="2062" width="11.88671875" style="2" bestFit="1" customWidth="1"/>
    <col min="2063" max="2063" width="12" style="2" bestFit="1" customWidth="1"/>
    <col min="2064" max="2064" width="12.88671875" style="2" bestFit="1" customWidth="1"/>
    <col min="2065" max="2065" width="11.77734375" style="2" bestFit="1" customWidth="1"/>
    <col min="2066" max="2306" width="11.5546875" style="2"/>
    <col min="2307" max="2307" width="28.6640625" style="2" bestFit="1" customWidth="1"/>
    <col min="2308" max="2318" width="11.88671875" style="2" bestFit="1" customWidth="1"/>
    <col min="2319" max="2319" width="12" style="2" bestFit="1" customWidth="1"/>
    <col min="2320" max="2320" width="12.88671875" style="2" bestFit="1" customWidth="1"/>
    <col min="2321" max="2321" width="11.77734375" style="2" bestFit="1" customWidth="1"/>
    <col min="2322" max="2562" width="11.5546875" style="2"/>
    <col min="2563" max="2563" width="28.6640625" style="2" bestFit="1" customWidth="1"/>
    <col min="2564" max="2574" width="11.88671875" style="2" bestFit="1" customWidth="1"/>
    <col min="2575" max="2575" width="12" style="2" bestFit="1" customWidth="1"/>
    <col min="2576" max="2576" width="12.88671875" style="2" bestFit="1" customWidth="1"/>
    <col min="2577" max="2577" width="11.77734375" style="2" bestFit="1" customWidth="1"/>
    <col min="2578" max="2818" width="11.5546875" style="2"/>
    <col min="2819" max="2819" width="28.6640625" style="2" bestFit="1" customWidth="1"/>
    <col min="2820" max="2830" width="11.88671875" style="2" bestFit="1" customWidth="1"/>
    <col min="2831" max="2831" width="12" style="2" bestFit="1" customWidth="1"/>
    <col min="2832" max="2832" width="12.88671875" style="2" bestFit="1" customWidth="1"/>
    <col min="2833" max="2833" width="11.77734375" style="2" bestFit="1" customWidth="1"/>
    <col min="2834" max="3074" width="11.5546875" style="2"/>
    <col min="3075" max="3075" width="28.6640625" style="2" bestFit="1" customWidth="1"/>
    <col min="3076" max="3086" width="11.88671875" style="2" bestFit="1" customWidth="1"/>
    <col min="3087" max="3087" width="12" style="2" bestFit="1" customWidth="1"/>
    <col min="3088" max="3088" width="12.88671875" style="2" bestFit="1" customWidth="1"/>
    <col min="3089" max="3089" width="11.77734375" style="2" bestFit="1" customWidth="1"/>
    <col min="3090" max="3330" width="11.5546875" style="2"/>
    <col min="3331" max="3331" width="28.6640625" style="2" bestFit="1" customWidth="1"/>
    <col min="3332" max="3342" width="11.88671875" style="2" bestFit="1" customWidth="1"/>
    <col min="3343" max="3343" width="12" style="2" bestFit="1" customWidth="1"/>
    <col min="3344" max="3344" width="12.88671875" style="2" bestFit="1" customWidth="1"/>
    <col min="3345" max="3345" width="11.77734375" style="2" bestFit="1" customWidth="1"/>
    <col min="3346" max="3586" width="11.5546875" style="2"/>
    <col min="3587" max="3587" width="28.6640625" style="2" bestFit="1" customWidth="1"/>
    <col min="3588" max="3598" width="11.88671875" style="2" bestFit="1" customWidth="1"/>
    <col min="3599" max="3599" width="12" style="2" bestFit="1" customWidth="1"/>
    <col min="3600" max="3600" width="12.88671875" style="2" bestFit="1" customWidth="1"/>
    <col min="3601" max="3601" width="11.77734375" style="2" bestFit="1" customWidth="1"/>
    <col min="3602" max="3842" width="11.5546875" style="2"/>
    <col min="3843" max="3843" width="28.6640625" style="2" bestFit="1" customWidth="1"/>
    <col min="3844" max="3854" width="11.88671875" style="2" bestFit="1" customWidth="1"/>
    <col min="3855" max="3855" width="12" style="2" bestFit="1" customWidth="1"/>
    <col min="3856" max="3856" width="12.88671875" style="2" bestFit="1" customWidth="1"/>
    <col min="3857" max="3857" width="11.77734375" style="2" bestFit="1" customWidth="1"/>
    <col min="3858" max="4098" width="11.5546875" style="2"/>
    <col min="4099" max="4099" width="28.6640625" style="2" bestFit="1" customWidth="1"/>
    <col min="4100" max="4110" width="11.88671875" style="2" bestFit="1" customWidth="1"/>
    <col min="4111" max="4111" width="12" style="2" bestFit="1" customWidth="1"/>
    <col min="4112" max="4112" width="12.88671875" style="2" bestFit="1" customWidth="1"/>
    <col min="4113" max="4113" width="11.77734375" style="2" bestFit="1" customWidth="1"/>
    <col min="4114" max="4354" width="11.5546875" style="2"/>
    <col min="4355" max="4355" width="28.6640625" style="2" bestFit="1" customWidth="1"/>
    <col min="4356" max="4366" width="11.88671875" style="2" bestFit="1" customWidth="1"/>
    <col min="4367" max="4367" width="12" style="2" bestFit="1" customWidth="1"/>
    <col min="4368" max="4368" width="12.88671875" style="2" bestFit="1" customWidth="1"/>
    <col min="4369" max="4369" width="11.77734375" style="2" bestFit="1" customWidth="1"/>
    <col min="4370" max="4610" width="11.5546875" style="2"/>
    <col min="4611" max="4611" width="28.6640625" style="2" bestFit="1" customWidth="1"/>
    <col min="4612" max="4622" width="11.88671875" style="2" bestFit="1" customWidth="1"/>
    <col min="4623" max="4623" width="12" style="2" bestFit="1" customWidth="1"/>
    <col min="4624" max="4624" width="12.88671875" style="2" bestFit="1" customWidth="1"/>
    <col min="4625" max="4625" width="11.77734375" style="2" bestFit="1" customWidth="1"/>
    <col min="4626" max="4866" width="11.5546875" style="2"/>
    <col min="4867" max="4867" width="28.6640625" style="2" bestFit="1" customWidth="1"/>
    <col min="4868" max="4878" width="11.88671875" style="2" bestFit="1" customWidth="1"/>
    <col min="4879" max="4879" width="12" style="2" bestFit="1" customWidth="1"/>
    <col min="4880" max="4880" width="12.88671875" style="2" bestFit="1" customWidth="1"/>
    <col min="4881" max="4881" width="11.77734375" style="2" bestFit="1" customWidth="1"/>
    <col min="4882" max="5122" width="11.5546875" style="2"/>
    <col min="5123" max="5123" width="28.6640625" style="2" bestFit="1" customWidth="1"/>
    <col min="5124" max="5134" width="11.88671875" style="2" bestFit="1" customWidth="1"/>
    <col min="5135" max="5135" width="12" style="2" bestFit="1" customWidth="1"/>
    <col min="5136" max="5136" width="12.88671875" style="2" bestFit="1" customWidth="1"/>
    <col min="5137" max="5137" width="11.77734375" style="2" bestFit="1" customWidth="1"/>
    <col min="5138" max="5378" width="11.5546875" style="2"/>
    <col min="5379" max="5379" width="28.6640625" style="2" bestFit="1" customWidth="1"/>
    <col min="5380" max="5390" width="11.88671875" style="2" bestFit="1" customWidth="1"/>
    <col min="5391" max="5391" width="12" style="2" bestFit="1" customWidth="1"/>
    <col min="5392" max="5392" width="12.88671875" style="2" bestFit="1" customWidth="1"/>
    <col min="5393" max="5393" width="11.77734375" style="2" bestFit="1" customWidth="1"/>
    <col min="5394" max="5634" width="11.5546875" style="2"/>
    <col min="5635" max="5635" width="28.6640625" style="2" bestFit="1" customWidth="1"/>
    <col min="5636" max="5646" width="11.88671875" style="2" bestFit="1" customWidth="1"/>
    <col min="5647" max="5647" width="12" style="2" bestFit="1" customWidth="1"/>
    <col min="5648" max="5648" width="12.88671875" style="2" bestFit="1" customWidth="1"/>
    <col min="5649" max="5649" width="11.77734375" style="2" bestFit="1" customWidth="1"/>
    <col min="5650" max="5890" width="11.5546875" style="2"/>
    <col min="5891" max="5891" width="28.6640625" style="2" bestFit="1" customWidth="1"/>
    <col min="5892" max="5902" width="11.88671875" style="2" bestFit="1" customWidth="1"/>
    <col min="5903" max="5903" width="12" style="2" bestFit="1" customWidth="1"/>
    <col min="5904" max="5904" width="12.88671875" style="2" bestFit="1" customWidth="1"/>
    <col min="5905" max="5905" width="11.77734375" style="2" bestFit="1" customWidth="1"/>
    <col min="5906" max="6146" width="11.5546875" style="2"/>
    <col min="6147" max="6147" width="28.6640625" style="2" bestFit="1" customWidth="1"/>
    <col min="6148" max="6158" width="11.88671875" style="2" bestFit="1" customWidth="1"/>
    <col min="6159" max="6159" width="12" style="2" bestFit="1" customWidth="1"/>
    <col min="6160" max="6160" width="12.88671875" style="2" bestFit="1" customWidth="1"/>
    <col min="6161" max="6161" width="11.77734375" style="2" bestFit="1" customWidth="1"/>
    <col min="6162" max="6402" width="11.5546875" style="2"/>
    <col min="6403" max="6403" width="28.6640625" style="2" bestFit="1" customWidth="1"/>
    <col min="6404" max="6414" width="11.88671875" style="2" bestFit="1" customWidth="1"/>
    <col min="6415" max="6415" width="12" style="2" bestFit="1" customWidth="1"/>
    <col min="6416" max="6416" width="12.88671875" style="2" bestFit="1" customWidth="1"/>
    <col min="6417" max="6417" width="11.77734375" style="2" bestFit="1" customWidth="1"/>
    <col min="6418" max="6658" width="11.5546875" style="2"/>
    <col min="6659" max="6659" width="28.6640625" style="2" bestFit="1" customWidth="1"/>
    <col min="6660" max="6670" width="11.88671875" style="2" bestFit="1" customWidth="1"/>
    <col min="6671" max="6671" width="12" style="2" bestFit="1" customWidth="1"/>
    <col min="6672" max="6672" width="12.88671875" style="2" bestFit="1" customWidth="1"/>
    <col min="6673" max="6673" width="11.77734375" style="2" bestFit="1" customWidth="1"/>
    <col min="6674" max="6914" width="11.5546875" style="2"/>
    <col min="6915" max="6915" width="28.6640625" style="2" bestFit="1" customWidth="1"/>
    <col min="6916" max="6926" width="11.88671875" style="2" bestFit="1" customWidth="1"/>
    <col min="6927" max="6927" width="12" style="2" bestFit="1" customWidth="1"/>
    <col min="6928" max="6928" width="12.88671875" style="2" bestFit="1" customWidth="1"/>
    <col min="6929" max="6929" width="11.77734375" style="2" bestFit="1" customWidth="1"/>
    <col min="6930" max="7170" width="11.5546875" style="2"/>
    <col min="7171" max="7171" width="28.6640625" style="2" bestFit="1" customWidth="1"/>
    <col min="7172" max="7182" width="11.88671875" style="2" bestFit="1" customWidth="1"/>
    <col min="7183" max="7183" width="12" style="2" bestFit="1" customWidth="1"/>
    <col min="7184" max="7184" width="12.88671875" style="2" bestFit="1" customWidth="1"/>
    <col min="7185" max="7185" width="11.77734375" style="2" bestFit="1" customWidth="1"/>
    <col min="7186" max="7426" width="11.5546875" style="2"/>
    <col min="7427" max="7427" width="28.6640625" style="2" bestFit="1" customWidth="1"/>
    <col min="7428" max="7438" width="11.88671875" style="2" bestFit="1" customWidth="1"/>
    <col min="7439" max="7439" width="12" style="2" bestFit="1" customWidth="1"/>
    <col min="7440" max="7440" width="12.88671875" style="2" bestFit="1" customWidth="1"/>
    <col min="7441" max="7441" width="11.77734375" style="2" bestFit="1" customWidth="1"/>
    <col min="7442" max="7682" width="11.5546875" style="2"/>
    <col min="7683" max="7683" width="28.6640625" style="2" bestFit="1" customWidth="1"/>
    <col min="7684" max="7694" width="11.88671875" style="2" bestFit="1" customWidth="1"/>
    <col min="7695" max="7695" width="12" style="2" bestFit="1" customWidth="1"/>
    <col min="7696" max="7696" width="12.88671875" style="2" bestFit="1" customWidth="1"/>
    <col min="7697" max="7697" width="11.77734375" style="2" bestFit="1" customWidth="1"/>
    <col min="7698" max="7938" width="11.5546875" style="2"/>
    <col min="7939" max="7939" width="28.6640625" style="2" bestFit="1" customWidth="1"/>
    <col min="7940" max="7950" width="11.88671875" style="2" bestFit="1" customWidth="1"/>
    <col min="7951" max="7951" width="12" style="2" bestFit="1" customWidth="1"/>
    <col min="7952" max="7952" width="12.88671875" style="2" bestFit="1" customWidth="1"/>
    <col min="7953" max="7953" width="11.77734375" style="2" bestFit="1" customWidth="1"/>
    <col min="7954" max="8194" width="11.5546875" style="2"/>
    <col min="8195" max="8195" width="28.6640625" style="2" bestFit="1" customWidth="1"/>
    <col min="8196" max="8206" width="11.88671875" style="2" bestFit="1" customWidth="1"/>
    <col min="8207" max="8207" width="12" style="2" bestFit="1" customWidth="1"/>
    <col min="8208" max="8208" width="12.88671875" style="2" bestFit="1" customWidth="1"/>
    <col min="8209" max="8209" width="11.77734375" style="2" bestFit="1" customWidth="1"/>
    <col min="8210" max="8450" width="11.5546875" style="2"/>
    <col min="8451" max="8451" width="28.6640625" style="2" bestFit="1" customWidth="1"/>
    <col min="8452" max="8462" width="11.88671875" style="2" bestFit="1" customWidth="1"/>
    <col min="8463" max="8463" width="12" style="2" bestFit="1" customWidth="1"/>
    <col min="8464" max="8464" width="12.88671875" style="2" bestFit="1" customWidth="1"/>
    <col min="8465" max="8465" width="11.77734375" style="2" bestFit="1" customWidth="1"/>
    <col min="8466" max="8706" width="11.5546875" style="2"/>
    <col min="8707" max="8707" width="28.6640625" style="2" bestFit="1" customWidth="1"/>
    <col min="8708" max="8718" width="11.88671875" style="2" bestFit="1" customWidth="1"/>
    <col min="8719" max="8719" width="12" style="2" bestFit="1" customWidth="1"/>
    <col min="8720" max="8720" width="12.88671875" style="2" bestFit="1" customWidth="1"/>
    <col min="8721" max="8721" width="11.77734375" style="2" bestFit="1" customWidth="1"/>
    <col min="8722" max="8962" width="11.5546875" style="2"/>
    <col min="8963" max="8963" width="28.6640625" style="2" bestFit="1" customWidth="1"/>
    <col min="8964" max="8974" width="11.88671875" style="2" bestFit="1" customWidth="1"/>
    <col min="8975" max="8975" width="12" style="2" bestFit="1" customWidth="1"/>
    <col min="8976" max="8976" width="12.88671875" style="2" bestFit="1" customWidth="1"/>
    <col min="8977" max="8977" width="11.77734375" style="2" bestFit="1" customWidth="1"/>
    <col min="8978" max="9218" width="11.5546875" style="2"/>
    <col min="9219" max="9219" width="28.6640625" style="2" bestFit="1" customWidth="1"/>
    <col min="9220" max="9230" width="11.88671875" style="2" bestFit="1" customWidth="1"/>
    <col min="9231" max="9231" width="12" style="2" bestFit="1" customWidth="1"/>
    <col min="9232" max="9232" width="12.88671875" style="2" bestFit="1" customWidth="1"/>
    <col min="9233" max="9233" width="11.77734375" style="2" bestFit="1" customWidth="1"/>
    <col min="9234" max="9474" width="11.5546875" style="2"/>
    <col min="9475" max="9475" width="28.6640625" style="2" bestFit="1" customWidth="1"/>
    <col min="9476" max="9486" width="11.88671875" style="2" bestFit="1" customWidth="1"/>
    <col min="9487" max="9487" width="12" style="2" bestFit="1" customWidth="1"/>
    <col min="9488" max="9488" width="12.88671875" style="2" bestFit="1" customWidth="1"/>
    <col min="9489" max="9489" width="11.77734375" style="2" bestFit="1" customWidth="1"/>
    <col min="9490" max="9730" width="11.5546875" style="2"/>
    <col min="9731" max="9731" width="28.6640625" style="2" bestFit="1" customWidth="1"/>
    <col min="9732" max="9742" width="11.88671875" style="2" bestFit="1" customWidth="1"/>
    <col min="9743" max="9743" width="12" style="2" bestFit="1" customWidth="1"/>
    <col min="9744" max="9744" width="12.88671875" style="2" bestFit="1" customWidth="1"/>
    <col min="9745" max="9745" width="11.77734375" style="2" bestFit="1" customWidth="1"/>
    <col min="9746" max="9986" width="11.5546875" style="2"/>
    <col min="9987" max="9987" width="28.6640625" style="2" bestFit="1" customWidth="1"/>
    <col min="9988" max="9998" width="11.88671875" style="2" bestFit="1" customWidth="1"/>
    <col min="9999" max="9999" width="12" style="2" bestFit="1" customWidth="1"/>
    <col min="10000" max="10000" width="12.88671875" style="2" bestFit="1" customWidth="1"/>
    <col min="10001" max="10001" width="11.77734375" style="2" bestFit="1" customWidth="1"/>
    <col min="10002" max="10242" width="11.5546875" style="2"/>
    <col min="10243" max="10243" width="28.6640625" style="2" bestFit="1" customWidth="1"/>
    <col min="10244" max="10254" width="11.88671875" style="2" bestFit="1" customWidth="1"/>
    <col min="10255" max="10255" width="12" style="2" bestFit="1" customWidth="1"/>
    <col min="10256" max="10256" width="12.88671875" style="2" bestFit="1" customWidth="1"/>
    <col min="10257" max="10257" width="11.77734375" style="2" bestFit="1" customWidth="1"/>
    <col min="10258" max="10498" width="11.5546875" style="2"/>
    <col min="10499" max="10499" width="28.6640625" style="2" bestFit="1" customWidth="1"/>
    <col min="10500" max="10510" width="11.88671875" style="2" bestFit="1" customWidth="1"/>
    <col min="10511" max="10511" width="12" style="2" bestFit="1" customWidth="1"/>
    <col min="10512" max="10512" width="12.88671875" style="2" bestFit="1" customWidth="1"/>
    <col min="10513" max="10513" width="11.77734375" style="2" bestFit="1" customWidth="1"/>
    <col min="10514" max="10754" width="11.5546875" style="2"/>
    <col min="10755" max="10755" width="28.6640625" style="2" bestFit="1" customWidth="1"/>
    <col min="10756" max="10766" width="11.88671875" style="2" bestFit="1" customWidth="1"/>
    <col min="10767" max="10767" width="12" style="2" bestFit="1" customWidth="1"/>
    <col min="10768" max="10768" width="12.88671875" style="2" bestFit="1" customWidth="1"/>
    <col min="10769" max="10769" width="11.77734375" style="2" bestFit="1" customWidth="1"/>
    <col min="10770" max="11010" width="11.5546875" style="2"/>
    <col min="11011" max="11011" width="28.6640625" style="2" bestFit="1" customWidth="1"/>
    <col min="11012" max="11022" width="11.88671875" style="2" bestFit="1" customWidth="1"/>
    <col min="11023" max="11023" width="12" style="2" bestFit="1" customWidth="1"/>
    <col min="11024" max="11024" width="12.88671875" style="2" bestFit="1" customWidth="1"/>
    <col min="11025" max="11025" width="11.77734375" style="2" bestFit="1" customWidth="1"/>
    <col min="11026" max="11266" width="11.5546875" style="2"/>
    <col min="11267" max="11267" width="28.6640625" style="2" bestFit="1" customWidth="1"/>
    <col min="11268" max="11278" width="11.88671875" style="2" bestFit="1" customWidth="1"/>
    <col min="11279" max="11279" width="12" style="2" bestFit="1" customWidth="1"/>
    <col min="11280" max="11280" width="12.88671875" style="2" bestFit="1" customWidth="1"/>
    <col min="11281" max="11281" width="11.77734375" style="2" bestFit="1" customWidth="1"/>
    <col min="11282" max="11522" width="11.5546875" style="2"/>
    <col min="11523" max="11523" width="28.6640625" style="2" bestFit="1" customWidth="1"/>
    <col min="11524" max="11534" width="11.88671875" style="2" bestFit="1" customWidth="1"/>
    <col min="11535" max="11535" width="12" style="2" bestFit="1" customWidth="1"/>
    <col min="11536" max="11536" width="12.88671875" style="2" bestFit="1" customWidth="1"/>
    <col min="11537" max="11537" width="11.77734375" style="2" bestFit="1" customWidth="1"/>
    <col min="11538" max="11778" width="11.5546875" style="2"/>
    <col min="11779" max="11779" width="28.6640625" style="2" bestFit="1" customWidth="1"/>
    <col min="11780" max="11790" width="11.88671875" style="2" bestFit="1" customWidth="1"/>
    <col min="11791" max="11791" width="12" style="2" bestFit="1" customWidth="1"/>
    <col min="11792" max="11792" width="12.88671875" style="2" bestFit="1" customWidth="1"/>
    <col min="11793" max="11793" width="11.77734375" style="2" bestFit="1" customWidth="1"/>
    <col min="11794" max="12034" width="11.5546875" style="2"/>
    <col min="12035" max="12035" width="28.6640625" style="2" bestFit="1" customWidth="1"/>
    <col min="12036" max="12046" width="11.88671875" style="2" bestFit="1" customWidth="1"/>
    <col min="12047" max="12047" width="12" style="2" bestFit="1" customWidth="1"/>
    <col min="12048" max="12048" width="12.88671875" style="2" bestFit="1" customWidth="1"/>
    <col min="12049" max="12049" width="11.77734375" style="2" bestFit="1" customWidth="1"/>
    <col min="12050" max="12290" width="11.5546875" style="2"/>
    <col min="12291" max="12291" width="28.6640625" style="2" bestFit="1" customWidth="1"/>
    <col min="12292" max="12302" width="11.88671875" style="2" bestFit="1" customWidth="1"/>
    <col min="12303" max="12303" width="12" style="2" bestFit="1" customWidth="1"/>
    <col min="12304" max="12304" width="12.88671875" style="2" bestFit="1" customWidth="1"/>
    <col min="12305" max="12305" width="11.77734375" style="2" bestFit="1" customWidth="1"/>
    <col min="12306" max="12546" width="11.5546875" style="2"/>
    <col min="12547" max="12547" width="28.6640625" style="2" bestFit="1" customWidth="1"/>
    <col min="12548" max="12558" width="11.88671875" style="2" bestFit="1" customWidth="1"/>
    <col min="12559" max="12559" width="12" style="2" bestFit="1" customWidth="1"/>
    <col min="12560" max="12560" width="12.88671875" style="2" bestFit="1" customWidth="1"/>
    <col min="12561" max="12561" width="11.77734375" style="2" bestFit="1" customWidth="1"/>
    <col min="12562" max="12802" width="11.5546875" style="2"/>
    <col min="12803" max="12803" width="28.6640625" style="2" bestFit="1" customWidth="1"/>
    <col min="12804" max="12814" width="11.88671875" style="2" bestFit="1" customWidth="1"/>
    <col min="12815" max="12815" width="12" style="2" bestFit="1" customWidth="1"/>
    <col min="12816" max="12816" width="12.88671875" style="2" bestFit="1" customWidth="1"/>
    <col min="12817" max="12817" width="11.77734375" style="2" bestFit="1" customWidth="1"/>
    <col min="12818" max="13058" width="11.5546875" style="2"/>
    <col min="13059" max="13059" width="28.6640625" style="2" bestFit="1" customWidth="1"/>
    <col min="13060" max="13070" width="11.88671875" style="2" bestFit="1" customWidth="1"/>
    <col min="13071" max="13071" width="12" style="2" bestFit="1" customWidth="1"/>
    <col min="13072" max="13072" width="12.88671875" style="2" bestFit="1" customWidth="1"/>
    <col min="13073" max="13073" width="11.77734375" style="2" bestFit="1" customWidth="1"/>
    <col min="13074" max="13314" width="11.5546875" style="2"/>
    <col min="13315" max="13315" width="28.6640625" style="2" bestFit="1" customWidth="1"/>
    <col min="13316" max="13326" width="11.88671875" style="2" bestFit="1" customWidth="1"/>
    <col min="13327" max="13327" width="12" style="2" bestFit="1" customWidth="1"/>
    <col min="13328" max="13328" width="12.88671875" style="2" bestFit="1" customWidth="1"/>
    <col min="13329" max="13329" width="11.77734375" style="2" bestFit="1" customWidth="1"/>
    <col min="13330" max="13570" width="11.5546875" style="2"/>
    <col min="13571" max="13571" width="28.6640625" style="2" bestFit="1" customWidth="1"/>
    <col min="13572" max="13582" width="11.88671875" style="2" bestFit="1" customWidth="1"/>
    <col min="13583" max="13583" width="12" style="2" bestFit="1" customWidth="1"/>
    <col min="13584" max="13584" width="12.88671875" style="2" bestFit="1" customWidth="1"/>
    <col min="13585" max="13585" width="11.77734375" style="2" bestFit="1" customWidth="1"/>
    <col min="13586" max="13826" width="11.5546875" style="2"/>
    <col min="13827" max="13827" width="28.6640625" style="2" bestFit="1" customWidth="1"/>
    <col min="13828" max="13838" width="11.88671875" style="2" bestFit="1" customWidth="1"/>
    <col min="13839" max="13839" width="12" style="2" bestFit="1" customWidth="1"/>
    <col min="13840" max="13840" width="12.88671875" style="2" bestFit="1" customWidth="1"/>
    <col min="13841" max="13841" width="11.77734375" style="2" bestFit="1" customWidth="1"/>
    <col min="13842" max="14082" width="11.5546875" style="2"/>
    <col min="14083" max="14083" width="28.6640625" style="2" bestFit="1" customWidth="1"/>
    <col min="14084" max="14094" width="11.88671875" style="2" bestFit="1" customWidth="1"/>
    <col min="14095" max="14095" width="12" style="2" bestFit="1" customWidth="1"/>
    <col min="14096" max="14096" width="12.88671875" style="2" bestFit="1" customWidth="1"/>
    <col min="14097" max="14097" width="11.77734375" style="2" bestFit="1" customWidth="1"/>
    <col min="14098" max="14338" width="11.5546875" style="2"/>
    <col min="14339" max="14339" width="28.6640625" style="2" bestFit="1" customWidth="1"/>
    <col min="14340" max="14350" width="11.88671875" style="2" bestFit="1" customWidth="1"/>
    <col min="14351" max="14351" width="12" style="2" bestFit="1" customWidth="1"/>
    <col min="14352" max="14352" width="12.88671875" style="2" bestFit="1" customWidth="1"/>
    <col min="14353" max="14353" width="11.77734375" style="2" bestFit="1" customWidth="1"/>
    <col min="14354" max="14594" width="11.5546875" style="2"/>
    <col min="14595" max="14595" width="28.6640625" style="2" bestFit="1" customWidth="1"/>
    <col min="14596" max="14606" width="11.88671875" style="2" bestFit="1" customWidth="1"/>
    <col min="14607" max="14607" width="12" style="2" bestFit="1" customWidth="1"/>
    <col min="14608" max="14608" width="12.88671875" style="2" bestFit="1" customWidth="1"/>
    <col min="14609" max="14609" width="11.77734375" style="2" bestFit="1" customWidth="1"/>
    <col min="14610" max="14850" width="11.5546875" style="2"/>
    <col min="14851" max="14851" width="28.6640625" style="2" bestFit="1" customWidth="1"/>
    <col min="14852" max="14862" width="11.88671875" style="2" bestFit="1" customWidth="1"/>
    <col min="14863" max="14863" width="12" style="2" bestFit="1" customWidth="1"/>
    <col min="14864" max="14864" width="12.88671875" style="2" bestFit="1" customWidth="1"/>
    <col min="14865" max="14865" width="11.77734375" style="2" bestFit="1" customWidth="1"/>
    <col min="14866" max="15106" width="11.5546875" style="2"/>
    <col min="15107" max="15107" width="28.6640625" style="2" bestFit="1" customWidth="1"/>
    <col min="15108" max="15118" width="11.88671875" style="2" bestFit="1" customWidth="1"/>
    <col min="15119" max="15119" width="12" style="2" bestFit="1" customWidth="1"/>
    <col min="15120" max="15120" width="12.88671875" style="2" bestFit="1" customWidth="1"/>
    <col min="15121" max="15121" width="11.77734375" style="2" bestFit="1" customWidth="1"/>
    <col min="15122" max="15362" width="11.5546875" style="2"/>
    <col min="15363" max="15363" width="28.6640625" style="2" bestFit="1" customWidth="1"/>
    <col min="15364" max="15374" width="11.88671875" style="2" bestFit="1" customWidth="1"/>
    <col min="15375" max="15375" width="12" style="2" bestFit="1" customWidth="1"/>
    <col min="15376" max="15376" width="12.88671875" style="2" bestFit="1" customWidth="1"/>
    <col min="15377" max="15377" width="11.77734375" style="2" bestFit="1" customWidth="1"/>
    <col min="15378" max="15618" width="11.5546875" style="2"/>
    <col min="15619" max="15619" width="28.6640625" style="2" bestFit="1" customWidth="1"/>
    <col min="15620" max="15630" width="11.88671875" style="2" bestFit="1" customWidth="1"/>
    <col min="15631" max="15631" width="12" style="2" bestFit="1" customWidth="1"/>
    <col min="15632" max="15632" width="12.88671875" style="2" bestFit="1" customWidth="1"/>
    <col min="15633" max="15633" width="11.77734375" style="2" bestFit="1" customWidth="1"/>
    <col min="15634" max="15874" width="11.5546875" style="2"/>
    <col min="15875" max="15875" width="28.6640625" style="2" bestFit="1" customWidth="1"/>
    <col min="15876" max="15886" width="11.88671875" style="2" bestFit="1" customWidth="1"/>
    <col min="15887" max="15887" width="12" style="2" bestFit="1" customWidth="1"/>
    <col min="15888" max="15888" width="12.88671875" style="2" bestFit="1" customWidth="1"/>
    <col min="15889" max="15889" width="11.77734375" style="2" bestFit="1" customWidth="1"/>
    <col min="15890" max="16130" width="11.5546875" style="2"/>
    <col min="16131" max="16131" width="28.6640625" style="2" bestFit="1" customWidth="1"/>
    <col min="16132" max="16142" width="11.88671875" style="2" bestFit="1" customWidth="1"/>
    <col min="16143" max="16143" width="12" style="2" bestFit="1" customWidth="1"/>
    <col min="16144" max="16144" width="12.88671875" style="2" bestFit="1" customWidth="1"/>
    <col min="16145" max="16145" width="11.77734375" style="2" bestFit="1" customWidth="1"/>
    <col min="16146" max="16384" width="11.5546875" style="2"/>
  </cols>
  <sheetData>
    <row r="2" spans="2:17" x14ac:dyDescent="0.3">
      <c r="C2" s="125" t="s">
        <v>53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2:17" x14ac:dyDescent="0.3">
      <c r="C3" s="27"/>
      <c r="D3" s="27">
        <f>+'[1]Plan de Ventas Y gastos'!E3</f>
        <v>44927</v>
      </c>
      <c r="E3" s="27">
        <f>+'[1]Plan de Ventas Y gastos'!F3</f>
        <v>44958</v>
      </c>
      <c r="F3" s="27">
        <f>+'[1]Plan de Ventas Y gastos'!G3</f>
        <v>44986</v>
      </c>
      <c r="G3" s="27">
        <f>+'[1]Plan de Ventas Y gastos'!H3</f>
        <v>45017</v>
      </c>
      <c r="H3" s="27">
        <f>+'[1]Plan de Ventas Y gastos'!I3</f>
        <v>45047</v>
      </c>
      <c r="I3" s="27">
        <f>+'[1]Plan de Ventas Y gastos'!J3</f>
        <v>45078</v>
      </c>
      <c r="J3" s="27">
        <f>+'[1]Plan de Ventas Y gastos'!K3</f>
        <v>45108</v>
      </c>
      <c r="K3" s="27">
        <f>+'[1]Plan de Ventas Y gastos'!L3</f>
        <v>45139</v>
      </c>
      <c r="L3" s="27">
        <f>+'[1]Plan de Ventas Y gastos'!M3</f>
        <v>45170</v>
      </c>
      <c r="M3" s="27">
        <f>+'[1]Plan de Ventas Y gastos'!N3</f>
        <v>45200</v>
      </c>
      <c r="N3" s="27">
        <f>+'[1]Plan de Ventas Y gastos'!O3</f>
        <v>45231</v>
      </c>
      <c r="O3" s="27">
        <f>+'[1]Plan de Ventas Y gastos'!P3</f>
        <v>45261</v>
      </c>
      <c r="P3" s="28" t="s">
        <v>23</v>
      </c>
    </row>
    <row r="4" spans="2:17" x14ac:dyDescent="0.3">
      <c r="C4" s="29" t="s">
        <v>24</v>
      </c>
      <c r="D4" s="94">
        <f>+'Plan de Ventas y gastos 2023'!E8</f>
        <v>30747.119999999999</v>
      </c>
      <c r="E4" s="94">
        <f>+'Plan de Ventas y gastos 2023'!F8</f>
        <v>25622.600000000002</v>
      </c>
      <c r="F4" s="94">
        <f>+'Plan de Ventas y gastos 2023'!G8</f>
        <v>20498.080000000002</v>
      </c>
      <c r="G4" s="94">
        <f>+'Plan de Ventas y gastos 2023'!H8</f>
        <v>15373.56</v>
      </c>
      <c r="H4" s="94">
        <f>+'Plan de Ventas y gastos 2023'!I8</f>
        <v>15373.56</v>
      </c>
      <c r="I4" s="94">
        <f>+'Plan de Ventas y gastos 2023'!J8</f>
        <v>12811.300000000001</v>
      </c>
      <c r="J4" s="94">
        <f>+'Plan de Ventas y gastos 2023'!K8</f>
        <v>10249.040000000001</v>
      </c>
      <c r="K4" s="94">
        <f>+'Plan de Ventas y gastos 2023'!L8</f>
        <v>7686.78</v>
      </c>
      <c r="L4" s="94">
        <f>+'Plan de Ventas y gastos 2023'!M8</f>
        <v>20498.080000000002</v>
      </c>
      <c r="M4" s="94">
        <f>+'Plan de Ventas y gastos 2023'!N8</f>
        <v>25622.600000000002</v>
      </c>
      <c r="N4" s="94">
        <f>+'Plan de Ventas y gastos 2023'!O8</f>
        <v>30747.119999999999</v>
      </c>
      <c r="O4" s="94">
        <f>+'Plan de Ventas y gastos 2023'!P8</f>
        <v>40996.160000000003</v>
      </c>
      <c r="P4" s="30">
        <f>SUM(D4:O4)</f>
        <v>256226</v>
      </c>
    </row>
    <row r="5" spans="2:17" x14ac:dyDescent="0.3">
      <c r="C5" s="31" t="s">
        <v>7</v>
      </c>
      <c r="D5" s="94">
        <f>+'Plan de Ventas y gastos 2023'!E17</f>
        <v>16910.916000000001</v>
      </c>
      <c r="E5" s="94">
        <f>+'Plan de Ventas y gastos 2023'!F17</f>
        <v>14092.430000000002</v>
      </c>
      <c r="F5" s="94">
        <f>+'Plan de Ventas y gastos 2023'!G17</f>
        <v>11273.944000000001</v>
      </c>
      <c r="G5" s="94">
        <f>+'Plan de Ventas y gastos 2023'!H17</f>
        <v>8455.4580000000005</v>
      </c>
      <c r="H5" s="94">
        <f>+'Plan de Ventas y gastos 2023'!I17</f>
        <v>8455.4580000000005</v>
      </c>
      <c r="I5" s="94">
        <f>+'Plan de Ventas y gastos 2023'!J17</f>
        <v>7046.2150000000011</v>
      </c>
      <c r="J5" s="94">
        <f>+'Plan de Ventas y gastos 2023'!K17</f>
        <v>5636.9720000000007</v>
      </c>
      <c r="K5" s="94">
        <f>+'Plan de Ventas y gastos 2023'!L17</f>
        <v>4227.7290000000003</v>
      </c>
      <c r="L5" s="94">
        <f>+'Plan de Ventas y gastos 2023'!M17</f>
        <v>11273.944000000001</v>
      </c>
      <c r="M5" s="94">
        <f>+'Plan de Ventas y gastos 2023'!N17</f>
        <v>14092.430000000002</v>
      </c>
      <c r="N5" s="94">
        <f>+'Plan de Ventas y gastos 2023'!O17</f>
        <v>16910.916000000001</v>
      </c>
      <c r="O5" s="94">
        <f>+'Plan de Ventas y gastos 2023'!P17</f>
        <v>22547.888000000003</v>
      </c>
      <c r="P5" s="95">
        <f>SUM(D5:O5)</f>
        <v>140924.30000000002</v>
      </c>
    </row>
    <row r="6" spans="2:17" x14ac:dyDescent="0.3">
      <c r="C6" s="117" t="s">
        <v>8</v>
      </c>
      <c r="D6" s="118">
        <f>+'Plan de Ventas y gastos 2023'!E21</f>
        <v>13836.203999999998</v>
      </c>
      <c r="E6" s="118">
        <f>+'Plan de Ventas y gastos 2023'!F21</f>
        <v>11530.17</v>
      </c>
      <c r="F6" s="118">
        <f>+'Plan de Ventas y gastos 2023'!G21</f>
        <v>9224.1360000000004</v>
      </c>
      <c r="G6" s="118">
        <f>+'Plan de Ventas y gastos 2023'!H21</f>
        <v>6918.101999999999</v>
      </c>
      <c r="H6" s="118">
        <f>+'Plan de Ventas y gastos 2023'!I21</f>
        <v>6918.101999999999</v>
      </c>
      <c r="I6" s="118">
        <f>+'Plan de Ventas y gastos 2023'!J21</f>
        <v>5765.085</v>
      </c>
      <c r="J6" s="118">
        <f>+'Plan de Ventas y gastos 2023'!K21</f>
        <v>4612.0680000000002</v>
      </c>
      <c r="K6" s="118">
        <f>+'Plan de Ventas y gastos 2023'!L21</f>
        <v>3459.0509999999995</v>
      </c>
      <c r="L6" s="118">
        <f>+'Plan de Ventas y gastos 2023'!M21</f>
        <v>9224.1360000000004</v>
      </c>
      <c r="M6" s="118">
        <f>+'Plan de Ventas y gastos 2023'!N21</f>
        <v>11530.17</v>
      </c>
      <c r="N6" s="118">
        <f>+'Plan de Ventas y gastos 2023'!O21</f>
        <v>13836.203999999998</v>
      </c>
      <c r="O6" s="118">
        <f>+'Plan de Ventas y gastos 2023'!P21</f>
        <v>18448.272000000001</v>
      </c>
      <c r="P6" s="95">
        <f>SUM(D6:O6)</f>
        <v>115301.69999999998</v>
      </c>
      <c r="Q6" s="88">
        <f>+P5+P6</f>
        <v>256226</v>
      </c>
    </row>
    <row r="7" spans="2:17" x14ac:dyDescent="0.3">
      <c r="C7" s="31" t="s">
        <v>25</v>
      </c>
      <c r="D7" s="32">
        <v>0.45</v>
      </c>
      <c r="E7" s="32">
        <v>0.45</v>
      </c>
      <c r="F7" s="32">
        <v>0.45</v>
      </c>
      <c r="G7" s="32">
        <v>0.45</v>
      </c>
      <c r="H7" s="32">
        <v>0.45</v>
      </c>
      <c r="I7" s="32">
        <v>0.45</v>
      </c>
      <c r="J7" s="32">
        <v>0.45</v>
      </c>
      <c r="K7" s="32">
        <v>0.45</v>
      </c>
      <c r="L7" s="32">
        <v>0.45</v>
      </c>
      <c r="M7" s="32">
        <v>0.45</v>
      </c>
      <c r="N7" s="32">
        <v>0.45</v>
      </c>
      <c r="O7" s="32">
        <v>0.45</v>
      </c>
      <c r="P7" s="32"/>
    </row>
    <row r="9" spans="2:17" x14ac:dyDescent="0.3">
      <c r="B9" s="33">
        <v>1</v>
      </c>
      <c r="C9" s="34" t="str">
        <f>+[1]Resultados!C8</f>
        <v>Gastos Operativos</v>
      </c>
      <c r="Q9" s="96" t="s">
        <v>26</v>
      </c>
    </row>
    <row r="10" spans="2:17" x14ac:dyDescent="0.3">
      <c r="B10" s="35" t="s">
        <v>27</v>
      </c>
      <c r="C10" s="108" t="str">
        <f>+[1]Resultados!C9</f>
        <v>Gasto Ventas</v>
      </c>
      <c r="D10" s="97">
        <f>+'Plan de Ventas y gastos 2023'!E37</f>
        <v>3482.16</v>
      </c>
      <c r="E10" s="97">
        <f>+'Plan de Ventas y gastos 2023'!F37</f>
        <v>2901.8</v>
      </c>
      <c r="F10" s="97">
        <f>+'Plan de Ventas y gastos 2023'!G37</f>
        <v>2321.44</v>
      </c>
      <c r="G10" s="97">
        <f>+'Plan de Ventas y gastos 2023'!H37</f>
        <v>1741.08</v>
      </c>
      <c r="H10" s="97">
        <f>+'Plan de Ventas y gastos 2023'!I37</f>
        <v>1741.08</v>
      </c>
      <c r="I10" s="97">
        <f>+'Plan de Ventas y gastos 2023'!J37</f>
        <v>1450.9</v>
      </c>
      <c r="J10" s="97">
        <f>+'Plan de Ventas y gastos 2023'!K37</f>
        <v>1160.72</v>
      </c>
      <c r="K10" s="97">
        <f>+'Plan de Ventas y gastos 2023'!L37</f>
        <v>870.54</v>
      </c>
      <c r="L10" s="97">
        <f>+'Plan de Ventas y gastos 2023'!M37</f>
        <v>2321.44</v>
      </c>
      <c r="M10" s="97">
        <f>+'Plan de Ventas y gastos 2023'!N37</f>
        <v>2901.8</v>
      </c>
      <c r="N10" s="97">
        <f>+'Plan de Ventas y gastos 2023'!O37</f>
        <v>3482.16</v>
      </c>
      <c r="O10" s="97">
        <f>+'Plan de Ventas y gastos 2023'!P37</f>
        <v>4642.88</v>
      </c>
      <c r="P10" s="98">
        <f>SUM(D10:O10)</f>
        <v>29017.999999999996</v>
      </c>
      <c r="Q10" s="105">
        <f>+'Plan de Ventas y gastos 2023'!D29</f>
        <v>29018</v>
      </c>
    </row>
    <row r="11" spans="2:17" x14ac:dyDescent="0.3">
      <c r="B11" s="35" t="s">
        <v>28</v>
      </c>
      <c r="C11" s="109" t="str">
        <f>+[1]Resultados!C10</f>
        <v>Gasto Administrativo</v>
      </c>
      <c r="D11" s="107">
        <f>+'Plan de Ventas y gastos 2023'!E38</f>
        <v>4566.12</v>
      </c>
      <c r="E11" s="107">
        <f>+'Plan de Ventas y gastos 2023'!F38</f>
        <v>3805.1000000000004</v>
      </c>
      <c r="F11" s="107">
        <f>+'Plan de Ventas y gastos 2023'!G38</f>
        <v>3044.08</v>
      </c>
      <c r="G11" s="107">
        <f>+'Plan de Ventas y gastos 2023'!H38</f>
        <v>2283.06</v>
      </c>
      <c r="H11" s="107">
        <f>+'Plan de Ventas y gastos 2023'!I38</f>
        <v>2283.06</v>
      </c>
      <c r="I11" s="107">
        <f>+'Plan de Ventas y gastos 2023'!J38</f>
        <v>1902.5500000000002</v>
      </c>
      <c r="J11" s="107">
        <f>+'Plan de Ventas y gastos 2023'!K38</f>
        <v>1522.04</v>
      </c>
      <c r="K11" s="107">
        <f>+'Plan de Ventas y gastos 2023'!L38</f>
        <v>1141.53</v>
      </c>
      <c r="L11" s="107">
        <f>+'Plan de Ventas y gastos 2023'!M38</f>
        <v>3044.08</v>
      </c>
      <c r="M11" s="107">
        <f>+'Plan de Ventas y gastos 2023'!N38</f>
        <v>3805.1000000000004</v>
      </c>
      <c r="N11" s="107">
        <f>+'Plan de Ventas y gastos 2023'!O38</f>
        <v>4566.12</v>
      </c>
      <c r="O11" s="107">
        <f>+'Plan de Ventas y gastos 2023'!P38</f>
        <v>6088.16</v>
      </c>
      <c r="P11" s="98">
        <f>SUM(D11:O11)</f>
        <v>38051</v>
      </c>
      <c r="Q11" s="106">
        <f>+'Plan de Ventas y gastos 2023'!D30</f>
        <v>38051</v>
      </c>
    </row>
    <row r="12" spans="2:17" x14ac:dyDescent="0.3">
      <c r="B12" s="35" t="s">
        <v>29</v>
      </c>
      <c r="C12" s="110" t="str">
        <f>+[1]Resultados!C11</f>
        <v>Depreciaciones</v>
      </c>
      <c r="D12" s="111">
        <f>+'Plan de Ventas y gastos 2023'!E39</f>
        <v>468.75</v>
      </c>
      <c r="E12" s="111">
        <f>+'Plan de Ventas y gastos 2023'!F39</f>
        <v>468.75</v>
      </c>
      <c r="F12" s="111">
        <f>+'Plan de Ventas y gastos 2023'!G39</f>
        <v>468.75</v>
      </c>
      <c r="G12" s="111">
        <f>+'Plan de Ventas y gastos 2023'!H39</f>
        <v>468.75</v>
      </c>
      <c r="H12" s="111">
        <f>+'Plan de Ventas y gastos 2023'!I39</f>
        <v>468.75</v>
      </c>
      <c r="I12" s="111">
        <f>+'Plan de Ventas y gastos 2023'!J39</f>
        <v>468.75</v>
      </c>
      <c r="J12" s="111">
        <f>+'Plan de Ventas y gastos 2023'!K39</f>
        <v>468.75</v>
      </c>
      <c r="K12" s="111">
        <f>+'Plan de Ventas y gastos 2023'!L39</f>
        <v>468.75</v>
      </c>
      <c r="L12" s="111">
        <f>+'Plan de Ventas y gastos 2023'!M39</f>
        <v>468.75</v>
      </c>
      <c r="M12" s="111">
        <f>+'Plan de Ventas y gastos 2023'!N39</f>
        <v>468.75</v>
      </c>
      <c r="N12" s="111">
        <f>+'Plan de Ventas y gastos 2023'!O39</f>
        <v>468.75</v>
      </c>
      <c r="O12" s="111">
        <f>+'Plan de Ventas y gastos 2023'!P39</f>
        <v>468.75</v>
      </c>
      <c r="P12" s="98">
        <f>SUM(D12:O12)</f>
        <v>5625</v>
      </c>
      <c r="Q12" s="114">
        <f>+'Plan de Ventas y gastos 2023'!D31</f>
        <v>5625</v>
      </c>
    </row>
    <row r="13" spans="2:17" x14ac:dyDescent="0.3">
      <c r="B13" s="33"/>
      <c r="C13" s="116" t="str">
        <f>+[1]Resultados!C12</f>
        <v>Total Gasto Operativo</v>
      </c>
      <c r="D13" s="115">
        <f>SUM(D10:D12)</f>
        <v>8517.0299999999988</v>
      </c>
      <c r="E13" s="115">
        <f t="shared" ref="E13:O13" si="0">SUM(E10:E12)</f>
        <v>7175.6500000000005</v>
      </c>
      <c r="F13" s="115">
        <f t="shared" si="0"/>
        <v>5834.27</v>
      </c>
      <c r="G13" s="115">
        <f t="shared" si="0"/>
        <v>4492.8899999999994</v>
      </c>
      <c r="H13" s="115">
        <f t="shared" si="0"/>
        <v>4492.8899999999994</v>
      </c>
      <c r="I13" s="115">
        <f t="shared" si="0"/>
        <v>3822.2000000000003</v>
      </c>
      <c r="J13" s="115">
        <f t="shared" si="0"/>
        <v>3151.51</v>
      </c>
      <c r="K13" s="115">
        <f t="shared" si="0"/>
        <v>2480.8199999999997</v>
      </c>
      <c r="L13" s="115">
        <f t="shared" si="0"/>
        <v>5834.27</v>
      </c>
      <c r="M13" s="115">
        <f t="shared" si="0"/>
        <v>7175.6500000000005</v>
      </c>
      <c r="N13" s="115">
        <f t="shared" si="0"/>
        <v>8517.0299999999988</v>
      </c>
      <c r="O13" s="115">
        <f t="shared" si="0"/>
        <v>11199.79</v>
      </c>
      <c r="P13" s="113">
        <f>SUM(P10:P12)</f>
        <v>72694</v>
      </c>
      <c r="Q13" s="88">
        <f>+'Plan de Ventas y gastos 2023'!D28</f>
        <v>72694</v>
      </c>
    </row>
    <row r="14" spans="2:17" x14ac:dyDescent="0.3">
      <c r="B14" s="23" t="s">
        <v>30</v>
      </c>
      <c r="C14" s="36" t="str">
        <f>+[1]Resultados!C13</f>
        <v>Utlidades Operativas</v>
      </c>
      <c r="D14" s="100">
        <f>+D6-D13</f>
        <v>5319.1739999999991</v>
      </c>
      <c r="E14" s="100">
        <f t="shared" ref="E14:O14" si="1">+E6-E13</f>
        <v>4354.5199999999995</v>
      </c>
      <c r="F14" s="100">
        <f t="shared" si="1"/>
        <v>3389.866</v>
      </c>
      <c r="G14" s="100">
        <f t="shared" si="1"/>
        <v>2425.2119999999995</v>
      </c>
      <c r="H14" s="100">
        <f t="shared" si="1"/>
        <v>2425.2119999999995</v>
      </c>
      <c r="I14" s="100">
        <f t="shared" si="1"/>
        <v>1942.8849999999998</v>
      </c>
      <c r="J14" s="100">
        <f t="shared" si="1"/>
        <v>1460.558</v>
      </c>
      <c r="K14" s="100">
        <f t="shared" si="1"/>
        <v>978.23099999999977</v>
      </c>
      <c r="L14" s="100">
        <f t="shared" si="1"/>
        <v>3389.866</v>
      </c>
      <c r="M14" s="100">
        <f t="shared" si="1"/>
        <v>4354.5199999999995</v>
      </c>
      <c r="N14" s="100">
        <f t="shared" si="1"/>
        <v>5319.1739999999991</v>
      </c>
      <c r="O14" s="100">
        <f t="shared" si="1"/>
        <v>7248.482</v>
      </c>
      <c r="P14" s="101"/>
      <c r="Q14" s="13"/>
    </row>
    <row r="15" spans="2:17" x14ac:dyDescent="0.3">
      <c r="B15" s="23">
        <v>2</v>
      </c>
      <c r="C15" s="120" t="str">
        <f>+[1]Resultados!C14</f>
        <v>Gasto Financiero</v>
      </c>
      <c r="D15" s="119">
        <f>+'Plan de Ventas y gastos 2023'!E41</f>
        <v>423.75</v>
      </c>
      <c r="E15" s="119">
        <f>+'Plan de Ventas y gastos 2023'!F41</f>
        <v>423.75</v>
      </c>
      <c r="F15" s="119">
        <f>+'Plan de Ventas y gastos 2023'!G41</f>
        <v>423.75</v>
      </c>
      <c r="G15" s="119">
        <f>+'Plan de Ventas y gastos 2023'!H41</f>
        <v>423.75</v>
      </c>
      <c r="H15" s="119">
        <f>+'Plan de Ventas y gastos 2023'!I41</f>
        <v>423.75</v>
      </c>
      <c r="I15" s="119">
        <f>+'Plan de Ventas y gastos 2023'!J41</f>
        <v>423.75</v>
      </c>
      <c r="J15" s="119">
        <f>+'Plan de Ventas y gastos 2023'!K41</f>
        <v>423.75</v>
      </c>
      <c r="K15" s="119">
        <f>+'Plan de Ventas y gastos 2023'!L41</f>
        <v>423.75</v>
      </c>
      <c r="L15" s="119">
        <f>+'Plan de Ventas y gastos 2023'!M41</f>
        <v>423.75</v>
      </c>
      <c r="M15" s="119">
        <f>+'Plan de Ventas y gastos 2023'!N41</f>
        <v>423.75</v>
      </c>
      <c r="N15" s="119">
        <f>+'Plan de Ventas y gastos 2023'!O41</f>
        <v>423.75</v>
      </c>
      <c r="O15" s="119">
        <f>+'Plan de Ventas y gastos 2023'!P41</f>
        <v>423.75</v>
      </c>
      <c r="P15" s="98">
        <f>SUM(D15:O15)</f>
        <v>5085</v>
      </c>
      <c r="Q15" s="121">
        <f>+'Plan de Ventas y gastos 2023'!D33</f>
        <v>5085</v>
      </c>
    </row>
    <row r="16" spans="2:17" ht="33.6" customHeight="1" x14ac:dyDescent="0.3">
      <c r="B16" s="23" t="s">
        <v>30</v>
      </c>
      <c r="C16" s="122" t="str">
        <f>+[1]Resultados!C15</f>
        <v>Utilidad antes de Impuestos</v>
      </c>
      <c r="D16" s="112">
        <f>+D14-D15</f>
        <v>4895.4239999999991</v>
      </c>
      <c r="E16" s="112">
        <f t="shared" ref="E16:O16" si="2">+E14-E15</f>
        <v>3930.7699999999995</v>
      </c>
      <c r="F16" s="112">
        <f t="shared" si="2"/>
        <v>2966.116</v>
      </c>
      <c r="G16" s="112">
        <f t="shared" si="2"/>
        <v>2001.4619999999995</v>
      </c>
      <c r="H16" s="112">
        <f t="shared" si="2"/>
        <v>2001.4619999999995</v>
      </c>
      <c r="I16" s="112">
        <f t="shared" si="2"/>
        <v>1519.1349999999998</v>
      </c>
      <c r="J16" s="112">
        <f t="shared" si="2"/>
        <v>1036.808</v>
      </c>
      <c r="K16" s="112">
        <f t="shared" si="2"/>
        <v>554.48099999999977</v>
      </c>
      <c r="L16" s="112">
        <f t="shared" si="2"/>
        <v>2966.116</v>
      </c>
      <c r="M16" s="112">
        <f t="shared" si="2"/>
        <v>3930.7699999999995</v>
      </c>
      <c r="N16" s="112">
        <f t="shared" si="2"/>
        <v>4895.4239999999991</v>
      </c>
      <c r="O16" s="112">
        <f t="shared" si="2"/>
        <v>6824.732</v>
      </c>
      <c r="P16" s="113">
        <f>SUM(D16:O16)</f>
        <v>37522.699999999997</v>
      </c>
      <c r="Q16" s="13"/>
    </row>
    <row r="17" spans="2:17" x14ac:dyDescent="0.3">
      <c r="B17" s="123">
        <v>0.3</v>
      </c>
      <c r="C17" s="22" t="str">
        <f>+[1]Resultados!C16</f>
        <v>Impuestos Renta</v>
      </c>
      <c r="D17" s="99">
        <f>+$B$17*D16</f>
        <v>1468.6271999999997</v>
      </c>
      <c r="E17" s="99">
        <f t="shared" ref="E17:O17" si="3">+$B$17*E16</f>
        <v>1179.2309999999998</v>
      </c>
      <c r="F17" s="99">
        <f t="shared" si="3"/>
        <v>889.83479999999997</v>
      </c>
      <c r="G17" s="99">
        <f t="shared" si="3"/>
        <v>600.43859999999984</v>
      </c>
      <c r="H17" s="99">
        <f t="shared" si="3"/>
        <v>600.43859999999984</v>
      </c>
      <c r="I17" s="99">
        <f t="shared" si="3"/>
        <v>455.74049999999994</v>
      </c>
      <c r="J17" s="99">
        <f t="shared" si="3"/>
        <v>311.04239999999999</v>
      </c>
      <c r="K17" s="99">
        <f t="shared" si="3"/>
        <v>166.34429999999992</v>
      </c>
      <c r="L17" s="99">
        <f t="shared" si="3"/>
        <v>889.83479999999997</v>
      </c>
      <c r="M17" s="99">
        <f t="shared" si="3"/>
        <v>1179.2309999999998</v>
      </c>
      <c r="N17" s="99">
        <f t="shared" si="3"/>
        <v>1468.6271999999997</v>
      </c>
      <c r="O17" s="99">
        <f t="shared" si="3"/>
        <v>2047.4195999999999</v>
      </c>
      <c r="P17" s="113">
        <f t="shared" ref="P17:P19" si="4">SUM(D17:O17)</f>
        <v>11256.809999999998</v>
      </c>
      <c r="Q17" s="13"/>
    </row>
    <row r="18" spans="2:17" x14ac:dyDescent="0.3">
      <c r="C18" s="37" t="str">
        <f>+[1]Resultados!C17</f>
        <v>Utilidad Neta</v>
      </c>
      <c r="D18" s="102">
        <f>+D16-D17</f>
        <v>3426.7967999999992</v>
      </c>
      <c r="E18" s="102">
        <f t="shared" ref="E18:O18" si="5">+E16-E17</f>
        <v>2751.5389999999998</v>
      </c>
      <c r="F18" s="102">
        <f t="shared" si="5"/>
        <v>2076.2811999999999</v>
      </c>
      <c r="G18" s="102">
        <f t="shared" si="5"/>
        <v>1401.0233999999996</v>
      </c>
      <c r="H18" s="102">
        <f t="shared" si="5"/>
        <v>1401.0233999999996</v>
      </c>
      <c r="I18" s="102">
        <f t="shared" si="5"/>
        <v>1063.3944999999999</v>
      </c>
      <c r="J18" s="102">
        <f t="shared" si="5"/>
        <v>725.76559999999995</v>
      </c>
      <c r="K18" s="102">
        <f t="shared" si="5"/>
        <v>388.13669999999985</v>
      </c>
      <c r="L18" s="102">
        <f t="shared" si="5"/>
        <v>2076.2811999999999</v>
      </c>
      <c r="M18" s="102">
        <f t="shared" si="5"/>
        <v>2751.5389999999998</v>
      </c>
      <c r="N18" s="102">
        <f t="shared" si="5"/>
        <v>3426.7967999999992</v>
      </c>
      <c r="O18" s="102">
        <f t="shared" si="5"/>
        <v>4777.3123999999998</v>
      </c>
      <c r="P18" s="124">
        <f>SUM(D18:O18)</f>
        <v>26265.889999999996</v>
      </c>
    </row>
    <row r="19" spans="2:17" x14ac:dyDescent="0.3">
      <c r="B19" s="123">
        <v>0.08</v>
      </c>
      <c r="C19" s="22" t="str">
        <f>+[1]Resultados!C18</f>
        <v>Dividendos</v>
      </c>
      <c r="D19" s="99">
        <f>+$B$19*D18</f>
        <v>274.14374399999991</v>
      </c>
      <c r="E19" s="99">
        <f t="shared" ref="E19:O19" si="6">+$B$19*E18</f>
        <v>220.12311999999997</v>
      </c>
      <c r="F19" s="99">
        <f t="shared" si="6"/>
        <v>166.102496</v>
      </c>
      <c r="G19" s="99">
        <f t="shared" si="6"/>
        <v>112.08187199999998</v>
      </c>
      <c r="H19" s="99">
        <f t="shared" si="6"/>
        <v>112.08187199999998</v>
      </c>
      <c r="I19" s="99">
        <f t="shared" si="6"/>
        <v>85.071559999999991</v>
      </c>
      <c r="J19" s="99">
        <f t="shared" si="6"/>
        <v>58.061247999999999</v>
      </c>
      <c r="K19" s="99">
        <f t="shared" si="6"/>
        <v>31.050935999999989</v>
      </c>
      <c r="L19" s="99">
        <f t="shared" si="6"/>
        <v>166.102496</v>
      </c>
      <c r="M19" s="99">
        <f t="shared" si="6"/>
        <v>220.12311999999997</v>
      </c>
      <c r="N19" s="99">
        <f t="shared" si="6"/>
        <v>274.14374399999991</v>
      </c>
      <c r="O19" s="99">
        <f t="shared" si="6"/>
        <v>382.18499199999997</v>
      </c>
      <c r="P19" s="113">
        <f t="shared" si="4"/>
        <v>2101.2712000000001</v>
      </c>
    </row>
    <row r="20" spans="2:17" x14ac:dyDescent="0.3">
      <c r="C20" s="38" t="str">
        <f>+[1]Resultados!C19</f>
        <v>Utilidades Retenidas</v>
      </c>
      <c r="D20" s="103">
        <f>+D18-D19</f>
        <v>3152.6530559999992</v>
      </c>
      <c r="E20" s="103">
        <f t="shared" ref="E20:O20" si="7">+E18-E19</f>
        <v>2531.4158799999996</v>
      </c>
      <c r="F20" s="103">
        <f t="shared" si="7"/>
        <v>1910.1787039999999</v>
      </c>
      <c r="G20" s="103">
        <f t="shared" si="7"/>
        <v>1288.9415279999996</v>
      </c>
      <c r="H20" s="103">
        <f t="shared" si="7"/>
        <v>1288.9415279999996</v>
      </c>
      <c r="I20" s="103">
        <f t="shared" si="7"/>
        <v>978.3229399999999</v>
      </c>
      <c r="J20" s="103">
        <f t="shared" si="7"/>
        <v>667.70435199999997</v>
      </c>
      <c r="K20" s="103">
        <f t="shared" si="7"/>
        <v>357.08576399999987</v>
      </c>
      <c r="L20" s="103">
        <f t="shared" si="7"/>
        <v>1910.1787039999999</v>
      </c>
      <c r="M20" s="103">
        <f t="shared" si="7"/>
        <v>2531.4158799999996</v>
      </c>
      <c r="N20" s="103">
        <f t="shared" si="7"/>
        <v>3152.6530559999992</v>
      </c>
      <c r="O20" s="103">
        <f t="shared" si="7"/>
        <v>4395.1274080000003</v>
      </c>
      <c r="P20" s="104">
        <f t="shared" ref="P20" si="8">SUM(D20:O20)</f>
        <v>24164.618799999997</v>
      </c>
      <c r="Q20" s="11"/>
    </row>
  </sheetData>
  <mergeCells count="1">
    <mergeCell ref="C2:P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BC37-8480-4F64-8A6F-2C1C811E11D4}">
  <dimension ref="B2:R43"/>
  <sheetViews>
    <sheetView topLeftCell="B28" zoomScale="110" zoomScaleNormal="110" workbookViewId="0">
      <selection activeCell="D9" sqref="D9"/>
    </sheetView>
  </sheetViews>
  <sheetFormatPr baseColWidth="10" defaultRowHeight="15.6" x14ac:dyDescent="0.3"/>
  <cols>
    <col min="1" max="1" width="7.5546875" style="2" customWidth="1"/>
    <col min="2" max="2" width="25" style="2" customWidth="1"/>
    <col min="3" max="3" width="5.88671875" style="2" bestFit="1" customWidth="1"/>
    <col min="4" max="4" width="24.109375" style="2" customWidth="1"/>
    <col min="5" max="9" width="10.44140625" style="2" bestFit="1" customWidth="1"/>
    <col min="10" max="10" width="10.5546875" style="2" bestFit="1" customWidth="1"/>
    <col min="11" max="11" width="10.44140625" style="2" bestFit="1" customWidth="1"/>
    <col min="12" max="12" width="9.21875" style="2" bestFit="1" customWidth="1"/>
    <col min="13" max="16" width="10.44140625" style="2" bestFit="1" customWidth="1"/>
    <col min="17" max="17" width="11.6640625" style="2" bestFit="1" customWidth="1"/>
    <col min="18" max="18" width="11.77734375" style="2" bestFit="1" customWidth="1"/>
    <col min="19" max="257" width="11.5546875" style="2"/>
    <col min="258" max="258" width="19.6640625" style="2" bestFit="1" customWidth="1"/>
    <col min="259" max="259" width="5.6640625" style="2" bestFit="1" customWidth="1"/>
    <col min="260" max="260" width="18.6640625" style="2" bestFit="1" customWidth="1"/>
    <col min="261" max="263" width="9.21875" style="2" bestFit="1" customWidth="1"/>
    <col min="264" max="264" width="8.33203125" style="2" bestFit="1" customWidth="1"/>
    <col min="265" max="265" width="8.5546875" style="2" bestFit="1" customWidth="1"/>
    <col min="266" max="266" width="10.33203125" style="2" bestFit="1" customWidth="1"/>
    <col min="267" max="267" width="8.33203125" style="2" bestFit="1" customWidth="1"/>
    <col min="268" max="268" width="8.21875" style="2" bestFit="1" customWidth="1"/>
    <col min="269" max="272" width="9.21875" style="2" bestFit="1" customWidth="1"/>
    <col min="273" max="273" width="10.21875" style="2" bestFit="1" customWidth="1"/>
    <col min="274" max="513" width="11.5546875" style="2"/>
    <col min="514" max="514" width="19.6640625" style="2" bestFit="1" customWidth="1"/>
    <col min="515" max="515" width="5.6640625" style="2" bestFit="1" customWidth="1"/>
    <col min="516" max="516" width="18.6640625" style="2" bestFit="1" customWidth="1"/>
    <col min="517" max="519" width="9.21875" style="2" bestFit="1" customWidth="1"/>
    <col min="520" max="520" width="8.33203125" style="2" bestFit="1" customWidth="1"/>
    <col min="521" max="521" width="8.5546875" style="2" bestFit="1" customWidth="1"/>
    <col min="522" max="522" width="10.33203125" style="2" bestFit="1" customWidth="1"/>
    <col min="523" max="523" width="8.33203125" style="2" bestFit="1" customWidth="1"/>
    <col min="524" max="524" width="8.21875" style="2" bestFit="1" customWidth="1"/>
    <col min="525" max="528" width="9.21875" style="2" bestFit="1" customWidth="1"/>
    <col min="529" max="529" width="10.21875" style="2" bestFit="1" customWidth="1"/>
    <col min="530" max="769" width="11.5546875" style="2"/>
    <col min="770" max="770" width="19.6640625" style="2" bestFit="1" customWidth="1"/>
    <col min="771" max="771" width="5.6640625" style="2" bestFit="1" customWidth="1"/>
    <col min="772" max="772" width="18.6640625" style="2" bestFit="1" customWidth="1"/>
    <col min="773" max="775" width="9.21875" style="2" bestFit="1" customWidth="1"/>
    <col min="776" max="776" width="8.33203125" style="2" bestFit="1" customWidth="1"/>
    <col min="777" max="777" width="8.5546875" style="2" bestFit="1" customWidth="1"/>
    <col min="778" max="778" width="10.33203125" style="2" bestFit="1" customWidth="1"/>
    <col min="779" max="779" width="8.33203125" style="2" bestFit="1" customWidth="1"/>
    <col min="780" max="780" width="8.21875" style="2" bestFit="1" customWidth="1"/>
    <col min="781" max="784" width="9.21875" style="2" bestFit="1" customWidth="1"/>
    <col min="785" max="785" width="10.21875" style="2" bestFit="1" customWidth="1"/>
    <col min="786" max="1025" width="11.5546875" style="2"/>
    <col min="1026" max="1026" width="19.6640625" style="2" bestFit="1" customWidth="1"/>
    <col min="1027" max="1027" width="5.6640625" style="2" bestFit="1" customWidth="1"/>
    <col min="1028" max="1028" width="18.6640625" style="2" bestFit="1" customWidth="1"/>
    <col min="1029" max="1031" width="9.21875" style="2" bestFit="1" customWidth="1"/>
    <col min="1032" max="1032" width="8.33203125" style="2" bestFit="1" customWidth="1"/>
    <col min="1033" max="1033" width="8.5546875" style="2" bestFit="1" customWidth="1"/>
    <col min="1034" max="1034" width="10.33203125" style="2" bestFit="1" customWidth="1"/>
    <col min="1035" max="1035" width="8.33203125" style="2" bestFit="1" customWidth="1"/>
    <col min="1036" max="1036" width="8.21875" style="2" bestFit="1" customWidth="1"/>
    <col min="1037" max="1040" width="9.21875" style="2" bestFit="1" customWidth="1"/>
    <col min="1041" max="1041" width="10.21875" style="2" bestFit="1" customWidth="1"/>
    <col min="1042" max="1281" width="11.5546875" style="2"/>
    <col min="1282" max="1282" width="19.6640625" style="2" bestFit="1" customWidth="1"/>
    <col min="1283" max="1283" width="5.6640625" style="2" bestFit="1" customWidth="1"/>
    <col min="1284" max="1284" width="18.6640625" style="2" bestFit="1" customWidth="1"/>
    <col min="1285" max="1287" width="9.21875" style="2" bestFit="1" customWidth="1"/>
    <col min="1288" max="1288" width="8.33203125" style="2" bestFit="1" customWidth="1"/>
    <col min="1289" max="1289" width="8.5546875" style="2" bestFit="1" customWidth="1"/>
    <col min="1290" max="1290" width="10.33203125" style="2" bestFit="1" customWidth="1"/>
    <col min="1291" max="1291" width="8.33203125" style="2" bestFit="1" customWidth="1"/>
    <col min="1292" max="1292" width="8.21875" style="2" bestFit="1" customWidth="1"/>
    <col min="1293" max="1296" width="9.21875" style="2" bestFit="1" customWidth="1"/>
    <col min="1297" max="1297" width="10.21875" style="2" bestFit="1" customWidth="1"/>
    <col min="1298" max="1537" width="11.5546875" style="2"/>
    <col min="1538" max="1538" width="19.6640625" style="2" bestFit="1" customWidth="1"/>
    <col min="1539" max="1539" width="5.6640625" style="2" bestFit="1" customWidth="1"/>
    <col min="1540" max="1540" width="18.6640625" style="2" bestFit="1" customWidth="1"/>
    <col min="1541" max="1543" width="9.21875" style="2" bestFit="1" customWidth="1"/>
    <col min="1544" max="1544" width="8.33203125" style="2" bestFit="1" customWidth="1"/>
    <col min="1545" max="1545" width="8.5546875" style="2" bestFit="1" customWidth="1"/>
    <col min="1546" max="1546" width="10.33203125" style="2" bestFit="1" customWidth="1"/>
    <col min="1547" max="1547" width="8.33203125" style="2" bestFit="1" customWidth="1"/>
    <col min="1548" max="1548" width="8.21875" style="2" bestFit="1" customWidth="1"/>
    <col min="1549" max="1552" width="9.21875" style="2" bestFit="1" customWidth="1"/>
    <col min="1553" max="1553" width="10.21875" style="2" bestFit="1" customWidth="1"/>
    <col min="1554" max="1793" width="11.5546875" style="2"/>
    <col min="1794" max="1794" width="19.6640625" style="2" bestFit="1" customWidth="1"/>
    <col min="1795" max="1795" width="5.6640625" style="2" bestFit="1" customWidth="1"/>
    <col min="1796" max="1796" width="18.6640625" style="2" bestFit="1" customWidth="1"/>
    <col min="1797" max="1799" width="9.21875" style="2" bestFit="1" customWidth="1"/>
    <col min="1800" max="1800" width="8.33203125" style="2" bestFit="1" customWidth="1"/>
    <col min="1801" max="1801" width="8.5546875" style="2" bestFit="1" customWidth="1"/>
    <col min="1802" max="1802" width="10.33203125" style="2" bestFit="1" customWidth="1"/>
    <col min="1803" max="1803" width="8.33203125" style="2" bestFit="1" customWidth="1"/>
    <col min="1804" max="1804" width="8.21875" style="2" bestFit="1" customWidth="1"/>
    <col min="1805" max="1808" width="9.21875" style="2" bestFit="1" customWidth="1"/>
    <col min="1809" max="1809" width="10.21875" style="2" bestFit="1" customWidth="1"/>
    <col min="1810" max="2049" width="11.5546875" style="2"/>
    <col min="2050" max="2050" width="19.6640625" style="2" bestFit="1" customWidth="1"/>
    <col min="2051" max="2051" width="5.6640625" style="2" bestFit="1" customWidth="1"/>
    <col min="2052" max="2052" width="18.6640625" style="2" bestFit="1" customWidth="1"/>
    <col min="2053" max="2055" width="9.21875" style="2" bestFit="1" customWidth="1"/>
    <col min="2056" max="2056" width="8.33203125" style="2" bestFit="1" customWidth="1"/>
    <col min="2057" max="2057" width="8.5546875" style="2" bestFit="1" customWidth="1"/>
    <col min="2058" max="2058" width="10.33203125" style="2" bestFit="1" customWidth="1"/>
    <col min="2059" max="2059" width="8.33203125" style="2" bestFit="1" customWidth="1"/>
    <col min="2060" max="2060" width="8.21875" style="2" bestFit="1" customWidth="1"/>
    <col min="2061" max="2064" width="9.21875" style="2" bestFit="1" customWidth="1"/>
    <col min="2065" max="2065" width="10.21875" style="2" bestFit="1" customWidth="1"/>
    <col min="2066" max="2305" width="11.5546875" style="2"/>
    <col min="2306" max="2306" width="19.6640625" style="2" bestFit="1" customWidth="1"/>
    <col min="2307" max="2307" width="5.6640625" style="2" bestFit="1" customWidth="1"/>
    <col min="2308" max="2308" width="18.6640625" style="2" bestFit="1" customWidth="1"/>
    <col min="2309" max="2311" width="9.21875" style="2" bestFit="1" customWidth="1"/>
    <col min="2312" max="2312" width="8.33203125" style="2" bestFit="1" customWidth="1"/>
    <col min="2313" max="2313" width="8.5546875" style="2" bestFit="1" customWidth="1"/>
    <col min="2314" max="2314" width="10.33203125" style="2" bestFit="1" customWidth="1"/>
    <col min="2315" max="2315" width="8.33203125" style="2" bestFit="1" customWidth="1"/>
    <col min="2316" max="2316" width="8.21875" style="2" bestFit="1" customWidth="1"/>
    <col min="2317" max="2320" width="9.21875" style="2" bestFit="1" customWidth="1"/>
    <col min="2321" max="2321" width="10.21875" style="2" bestFit="1" customWidth="1"/>
    <col min="2322" max="2561" width="11.5546875" style="2"/>
    <col min="2562" max="2562" width="19.6640625" style="2" bestFit="1" customWidth="1"/>
    <col min="2563" max="2563" width="5.6640625" style="2" bestFit="1" customWidth="1"/>
    <col min="2564" max="2564" width="18.6640625" style="2" bestFit="1" customWidth="1"/>
    <col min="2565" max="2567" width="9.21875" style="2" bestFit="1" customWidth="1"/>
    <col min="2568" max="2568" width="8.33203125" style="2" bestFit="1" customWidth="1"/>
    <col min="2569" max="2569" width="8.5546875" style="2" bestFit="1" customWidth="1"/>
    <col min="2570" max="2570" width="10.33203125" style="2" bestFit="1" customWidth="1"/>
    <col min="2571" max="2571" width="8.33203125" style="2" bestFit="1" customWidth="1"/>
    <col min="2572" max="2572" width="8.21875" style="2" bestFit="1" customWidth="1"/>
    <col min="2573" max="2576" width="9.21875" style="2" bestFit="1" customWidth="1"/>
    <col min="2577" max="2577" width="10.21875" style="2" bestFit="1" customWidth="1"/>
    <col min="2578" max="2817" width="11.5546875" style="2"/>
    <col min="2818" max="2818" width="19.6640625" style="2" bestFit="1" customWidth="1"/>
    <col min="2819" max="2819" width="5.6640625" style="2" bestFit="1" customWidth="1"/>
    <col min="2820" max="2820" width="18.6640625" style="2" bestFit="1" customWidth="1"/>
    <col min="2821" max="2823" width="9.21875" style="2" bestFit="1" customWidth="1"/>
    <col min="2824" max="2824" width="8.33203125" style="2" bestFit="1" customWidth="1"/>
    <col min="2825" max="2825" width="8.5546875" style="2" bestFit="1" customWidth="1"/>
    <col min="2826" max="2826" width="10.33203125" style="2" bestFit="1" customWidth="1"/>
    <col min="2827" max="2827" width="8.33203125" style="2" bestFit="1" customWidth="1"/>
    <col min="2828" max="2828" width="8.21875" style="2" bestFit="1" customWidth="1"/>
    <col min="2829" max="2832" width="9.21875" style="2" bestFit="1" customWidth="1"/>
    <col min="2833" max="2833" width="10.21875" style="2" bestFit="1" customWidth="1"/>
    <col min="2834" max="3073" width="11.5546875" style="2"/>
    <col min="3074" max="3074" width="19.6640625" style="2" bestFit="1" customWidth="1"/>
    <col min="3075" max="3075" width="5.6640625" style="2" bestFit="1" customWidth="1"/>
    <col min="3076" max="3076" width="18.6640625" style="2" bestFit="1" customWidth="1"/>
    <col min="3077" max="3079" width="9.21875" style="2" bestFit="1" customWidth="1"/>
    <col min="3080" max="3080" width="8.33203125" style="2" bestFit="1" customWidth="1"/>
    <col min="3081" max="3081" width="8.5546875" style="2" bestFit="1" customWidth="1"/>
    <col min="3082" max="3082" width="10.33203125" style="2" bestFit="1" customWidth="1"/>
    <col min="3083" max="3083" width="8.33203125" style="2" bestFit="1" customWidth="1"/>
    <col min="3084" max="3084" width="8.21875" style="2" bestFit="1" customWidth="1"/>
    <col min="3085" max="3088" width="9.21875" style="2" bestFit="1" customWidth="1"/>
    <col min="3089" max="3089" width="10.21875" style="2" bestFit="1" customWidth="1"/>
    <col min="3090" max="3329" width="11.5546875" style="2"/>
    <col min="3330" max="3330" width="19.6640625" style="2" bestFit="1" customWidth="1"/>
    <col min="3331" max="3331" width="5.6640625" style="2" bestFit="1" customWidth="1"/>
    <col min="3332" max="3332" width="18.6640625" style="2" bestFit="1" customWidth="1"/>
    <col min="3333" max="3335" width="9.21875" style="2" bestFit="1" customWidth="1"/>
    <col min="3336" max="3336" width="8.33203125" style="2" bestFit="1" customWidth="1"/>
    <col min="3337" max="3337" width="8.5546875" style="2" bestFit="1" customWidth="1"/>
    <col min="3338" max="3338" width="10.33203125" style="2" bestFit="1" customWidth="1"/>
    <col min="3339" max="3339" width="8.33203125" style="2" bestFit="1" customWidth="1"/>
    <col min="3340" max="3340" width="8.21875" style="2" bestFit="1" customWidth="1"/>
    <col min="3341" max="3344" width="9.21875" style="2" bestFit="1" customWidth="1"/>
    <col min="3345" max="3345" width="10.21875" style="2" bestFit="1" customWidth="1"/>
    <col min="3346" max="3585" width="11.5546875" style="2"/>
    <col min="3586" max="3586" width="19.6640625" style="2" bestFit="1" customWidth="1"/>
    <col min="3587" max="3587" width="5.6640625" style="2" bestFit="1" customWidth="1"/>
    <col min="3588" max="3588" width="18.6640625" style="2" bestFit="1" customWidth="1"/>
    <col min="3589" max="3591" width="9.21875" style="2" bestFit="1" customWidth="1"/>
    <col min="3592" max="3592" width="8.33203125" style="2" bestFit="1" customWidth="1"/>
    <col min="3593" max="3593" width="8.5546875" style="2" bestFit="1" customWidth="1"/>
    <col min="3594" max="3594" width="10.33203125" style="2" bestFit="1" customWidth="1"/>
    <col min="3595" max="3595" width="8.33203125" style="2" bestFit="1" customWidth="1"/>
    <col min="3596" max="3596" width="8.21875" style="2" bestFit="1" customWidth="1"/>
    <col min="3597" max="3600" width="9.21875" style="2" bestFit="1" customWidth="1"/>
    <col min="3601" max="3601" width="10.21875" style="2" bestFit="1" customWidth="1"/>
    <col min="3602" max="3841" width="11.5546875" style="2"/>
    <col min="3842" max="3842" width="19.6640625" style="2" bestFit="1" customWidth="1"/>
    <col min="3843" max="3843" width="5.6640625" style="2" bestFit="1" customWidth="1"/>
    <col min="3844" max="3844" width="18.6640625" style="2" bestFit="1" customWidth="1"/>
    <col min="3845" max="3847" width="9.21875" style="2" bestFit="1" customWidth="1"/>
    <col min="3848" max="3848" width="8.33203125" style="2" bestFit="1" customWidth="1"/>
    <col min="3849" max="3849" width="8.5546875" style="2" bestFit="1" customWidth="1"/>
    <col min="3850" max="3850" width="10.33203125" style="2" bestFit="1" customWidth="1"/>
    <col min="3851" max="3851" width="8.33203125" style="2" bestFit="1" customWidth="1"/>
    <col min="3852" max="3852" width="8.21875" style="2" bestFit="1" customWidth="1"/>
    <col min="3853" max="3856" width="9.21875" style="2" bestFit="1" customWidth="1"/>
    <col min="3857" max="3857" width="10.21875" style="2" bestFit="1" customWidth="1"/>
    <col min="3858" max="4097" width="11.5546875" style="2"/>
    <col min="4098" max="4098" width="19.6640625" style="2" bestFit="1" customWidth="1"/>
    <col min="4099" max="4099" width="5.6640625" style="2" bestFit="1" customWidth="1"/>
    <col min="4100" max="4100" width="18.6640625" style="2" bestFit="1" customWidth="1"/>
    <col min="4101" max="4103" width="9.21875" style="2" bestFit="1" customWidth="1"/>
    <col min="4104" max="4104" width="8.33203125" style="2" bestFit="1" customWidth="1"/>
    <col min="4105" max="4105" width="8.5546875" style="2" bestFit="1" customWidth="1"/>
    <col min="4106" max="4106" width="10.33203125" style="2" bestFit="1" customWidth="1"/>
    <col min="4107" max="4107" width="8.33203125" style="2" bestFit="1" customWidth="1"/>
    <col min="4108" max="4108" width="8.21875" style="2" bestFit="1" customWidth="1"/>
    <col min="4109" max="4112" width="9.21875" style="2" bestFit="1" customWidth="1"/>
    <col min="4113" max="4113" width="10.21875" style="2" bestFit="1" customWidth="1"/>
    <col min="4114" max="4353" width="11.5546875" style="2"/>
    <col min="4354" max="4354" width="19.6640625" style="2" bestFit="1" customWidth="1"/>
    <col min="4355" max="4355" width="5.6640625" style="2" bestFit="1" customWidth="1"/>
    <col min="4356" max="4356" width="18.6640625" style="2" bestFit="1" customWidth="1"/>
    <col min="4357" max="4359" width="9.21875" style="2" bestFit="1" customWidth="1"/>
    <col min="4360" max="4360" width="8.33203125" style="2" bestFit="1" customWidth="1"/>
    <col min="4361" max="4361" width="8.5546875" style="2" bestFit="1" customWidth="1"/>
    <col min="4362" max="4362" width="10.33203125" style="2" bestFit="1" customWidth="1"/>
    <col min="4363" max="4363" width="8.33203125" style="2" bestFit="1" customWidth="1"/>
    <col min="4364" max="4364" width="8.21875" style="2" bestFit="1" customWidth="1"/>
    <col min="4365" max="4368" width="9.21875" style="2" bestFit="1" customWidth="1"/>
    <col min="4369" max="4369" width="10.21875" style="2" bestFit="1" customWidth="1"/>
    <col min="4370" max="4609" width="11.5546875" style="2"/>
    <col min="4610" max="4610" width="19.6640625" style="2" bestFit="1" customWidth="1"/>
    <col min="4611" max="4611" width="5.6640625" style="2" bestFit="1" customWidth="1"/>
    <col min="4612" max="4612" width="18.6640625" style="2" bestFit="1" customWidth="1"/>
    <col min="4613" max="4615" width="9.21875" style="2" bestFit="1" customWidth="1"/>
    <col min="4616" max="4616" width="8.33203125" style="2" bestFit="1" customWidth="1"/>
    <col min="4617" max="4617" width="8.5546875" style="2" bestFit="1" customWidth="1"/>
    <col min="4618" max="4618" width="10.33203125" style="2" bestFit="1" customWidth="1"/>
    <col min="4619" max="4619" width="8.33203125" style="2" bestFit="1" customWidth="1"/>
    <col min="4620" max="4620" width="8.21875" style="2" bestFit="1" customWidth="1"/>
    <col min="4621" max="4624" width="9.21875" style="2" bestFit="1" customWidth="1"/>
    <col min="4625" max="4625" width="10.21875" style="2" bestFit="1" customWidth="1"/>
    <col min="4626" max="4865" width="11.5546875" style="2"/>
    <col min="4866" max="4866" width="19.6640625" style="2" bestFit="1" customWidth="1"/>
    <col min="4867" max="4867" width="5.6640625" style="2" bestFit="1" customWidth="1"/>
    <col min="4868" max="4868" width="18.6640625" style="2" bestFit="1" customWidth="1"/>
    <col min="4869" max="4871" width="9.21875" style="2" bestFit="1" customWidth="1"/>
    <col min="4872" max="4872" width="8.33203125" style="2" bestFit="1" customWidth="1"/>
    <col min="4873" max="4873" width="8.5546875" style="2" bestFit="1" customWidth="1"/>
    <col min="4874" max="4874" width="10.33203125" style="2" bestFit="1" customWidth="1"/>
    <col min="4875" max="4875" width="8.33203125" style="2" bestFit="1" customWidth="1"/>
    <col min="4876" max="4876" width="8.21875" style="2" bestFit="1" customWidth="1"/>
    <col min="4877" max="4880" width="9.21875" style="2" bestFit="1" customWidth="1"/>
    <col min="4881" max="4881" width="10.21875" style="2" bestFit="1" customWidth="1"/>
    <col min="4882" max="5121" width="11.5546875" style="2"/>
    <col min="5122" max="5122" width="19.6640625" style="2" bestFit="1" customWidth="1"/>
    <col min="5123" max="5123" width="5.6640625" style="2" bestFit="1" customWidth="1"/>
    <col min="5124" max="5124" width="18.6640625" style="2" bestFit="1" customWidth="1"/>
    <col min="5125" max="5127" width="9.21875" style="2" bestFit="1" customWidth="1"/>
    <col min="5128" max="5128" width="8.33203125" style="2" bestFit="1" customWidth="1"/>
    <col min="5129" max="5129" width="8.5546875" style="2" bestFit="1" customWidth="1"/>
    <col min="5130" max="5130" width="10.33203125" style="2" bestFit="1" customWidth="1"/>
    <col min="5131" max="5131" width="8.33203125" style="2" bestFit="1" customWidth="1"/>
    <col min="5132" max="5132" width="8.21875" style="2" bestFit="1" customWidth="1"/>
    <col min="5133" max="5136" width="9.21875" style="2" bestFit="1" customWidth="1"/>
    <col min="5137" max="5137" width="10.21875" style="2" bestFit="1" customWidth="1"/>
    <col min="5138" max="5377" width="11.5546875" style="2"/>
    <col min="5378" max="5378" width="19.6640625" style="2" bestFit="1" customWidth="1"/>
    <col min="5379" max="5379" width="5.6640625" style="2" bestFit="1" customWidth="1"/>
    <col min="5380" max="5380" width="18.6640625" style="2" bestFit="1" customWidth="1"/>
    <col min="5381" max="5383" width="9.21875" style="2" bestFit="1" customWidth="1"/>
    <col min="5384" max="5384" width="8.33203125" style="2" bestFit="1" customWidth="1"/>
    <col min="5385" max="5385" width="8.5546875" style="2" bestFit="1" customWidth="1"/>
    <col min="5386" max="5386" width="10.33203125" style="2" bestFit="1" customWidth="1"/>
    <col min="5387" max="5387" width="8.33203125" style="2" bestFit="1" customWidth="1"/>
    <col min="5388" max="5388" width="8.21875" style="2" bestFit="1" customWidth="1"/>
    <col min="5389" max="5392" width="9.21875" style="2" bestFit="1" customWidth="1"/>
    <col min="5393" max="5393" width="10.21875" style="2" bestFit="1" customWidth="1"/>
    <col min="5394" max="5633" width="11.5546875" style="2"/>
    <col min="5634" max="5634" width="19.6640625" style="2" bestFit="1" customWidth="1"/>
    <col min="5635" max="5635" width="5.6640625" style="2" bestFit="1" customWidth="1"/>
    <col min="5636" max="5636" width="18.6640625" style="2" bestFit="1" customWidth="1"/>
    <col min="5637" max="5639" width="9.21875" style="2" bestFit="1" customWidth="1"/>
    <col min="5640" max="5640" width="8.33203125" style="2" bestFit="1" customWidth="1"/>
    <col min="5641" max="5641" width="8.5546875" style="2" bestFit="1" customWidth="1"/>
    <col min="5642" max="5642" width="10.33203125" style="2" bestFit="1" customWidth="1"/>
    <col min="5643" max="5643" width="8.33203125" style="2" bestFit="1" customWidth="1"/>
    <col min="5644" max="5644" width="8.21875" style="2" bestFit="1" customWidth="1"/>
    <col min="5645" max="5648" width="9.21875" style="2" bestFit="1" customWidth="1"/>
    <col min="5649" max="5649" width="10.21875" style="2" bestFit="1" customWidth="1"/>
    <col min="5650" max="5889" width="11.5546875" style="2"/>
    <col min="5890" max="5890" width="19.6640625" style="2" bestFit="1" customWidth="1"/>
    <col min="5891" max="5891" width="5.6640625" style="2" bestFit="1" customWidth="1"/>
    <col min="5892" max="5892" width="18.6640625" style="2" bestFit="1" customWidth="1"/>
    <col min="5893" max="5895" width="9.21875" style="2" bestFit="1" customWidth="1"/>
    <col min="5896" max="5896" width="8.33203125" style="2" bestFit="1" customWidth="1"/>
    <col min="5897" max="5897" width="8.5546875" style="2" bestFit="1" customWidth="1"/>
    <col min="5898" max="5898" width="10.33203125" style="2" bestFit="1" customWidth="1"/>
    <col min="5899" max="5899" width="8.33203125" style="2" bestFit="1" customWidth="1"/>
    <col min="5900" max="5900" width="8.21875" style="2" bestFit="1" customWidth="1"/>
    <col min="5901" max="5904" width="9.21875" style="2" bestFit="1" customWidth="1"/>
    <col min="5905" max="5905" width="10.21875" style="2" bestFit="1" customWidth="1"/>
    <col min="5906" max="6145" width="11.5546875" style="2"/>
    <col min="6146" max="6146" width="19.6640625" style="2" bestFit="1" customWidth="1"/>
    <col min="6147" max="6147" width="5.6640625" style="2" bestFit="1" customWidth="1"/>
    <col min="6148" max="6148" width="18.6640625" style="2" bestFit="1" customWidth="1"/>
    <col min="6149" max="6151" width="9.21875" style="2" bestFit="1" customWidth="1"/>
    <col min="6152" max="6152" width="8.33203125" style="2" bestFit="1" customWidth="1"/>
    <col min="6153" max="6153" width="8.5546875" style="2" bestFit="1" customWidth="1"/>
    <col min="6154" max="6154" width="10.33203125" style="2" bestFit="1" customWidth="1"/>
    <col min="6155" max="6155" width="8.33203125" style="2" bestFit="1" customWidth="1"/>
    <col min="6156" max="6156" width="8.21875" style="2" bestFit="1" customWidth="1"/>
    <col min="6157" max="6160" width="9.21875" style="2" bestFit="1" customWidth="1"/>
    <col min="6161" max="6161" width="10.21875" style="2" bestFit="1" customWidth="1"/>
    <col min="6162" max="6401" width="11.5546875" style="2"/>
    <col min="6402" max="6402" width="19.6640625" style="2" bestFit="1" customWidth="1"/>
    <col min="6403" max="6403" width="5.6640625" style="2" bestFit="1" customWidth="1"/>
    <col min="6404" max="6404" width="18.6640625" style="2" bestFit="1" customWidth="1"/>
    <col min="6405" max="6407" width="9.21875" style="2" bestFit="1" customWidth="1"/>
    <col min="6408" max="6408" width="8.33203125" style="2" bestFit="1" customWidth="1"/>
    <col min="6409" max="6409" width="8.5546875" style="2" bestFit="1" customWidth="1"/>
    <col min="6410" max="6410" width="10.33203125" style="2" bestFit="1" customWidth="1"/>
    <col min="6411" max="6411" width="8.33203125" style="2" bestFit="1" customWidth="1"/>
    <col min="6412" max="6412" width="8.21875" style="2" bestFit="1" customWidth="1"/>
    <col min="6413" max="6416" width="9.21875" style="2" bestFit="1" customWidth="1"/>
    <col min="6417" max="6417" width="10.21875" style="2" bestFit="1" customWidth="1"/>
    <col min="6418" max="6657" width="11.5546875" style="2"/>
    <col min="6658" max="6658" width="19.6640625" style="2" bestFit="1" customWidth="1"/>
    <col min="6659" max="6659" width="5.6640625" style="2" bestFit="1" customWidth="1"/>
    <col min="6660" max="6660" width="18.6640625" style="2" bestFit="1" customWidth="1"/>
    <col min="6661" max="6663" width="9.21875" style="2" bestFit="1" customWidth="1"/>
    <col min="6664" max="6664" width="8.33203125" style="2" bestFit="1" customWidth="1"/>
    <col min="6665" max="6665" width="8.5546875" style="2" bestFit="1" customWidth="1"/>
    <col min="6666" max="6666" width="10.33203125" style="2" bestFit="1" customWidth="1"/>
    <col min="6667" max="6667" width="8.33203125" style="2" bestFit="1" customWidth="1"/>
    <col min="6668" max="6668" width="8.21875" style="2" bestFit="1" customWidth="1"/>
    <col min="6669" max="6672" width="9.21875" style="2" bestFit="1" customWidth="1"/>
    <col min="6673" max="6673" width="10.21875" style="2" bestFit="1" customWidth="1"/>
    <col min="6674" max="6913" width="11.5546875" style="2"/>
    <col min="6914" max="6914" width="19.6640625" style="2" bestFit="1" customWidth="1"/>
    <col min="6915" max="6915" width="5.6640625" style="2" bestFit="1" customWidth="1"/>
    <col min="6916" max="6916" width="18.6640625" style="2" bestFit="1" customWidth="1"/>
    <col min="6917" max="6919" width="9.21875" style="2" bestFit="1" customWidth="1"/>
    <col min="6920" max="6920" width="8.33203125" style="2" bestFit="1" customWidth="1"/>
    <col min="6921" max="6921" width="8.5546875" style="2" bestFit="1" customWidth="1"/>
    <col min="6922" max="6922" width="10.33203125" style="2" bestFit="1" customWidth="1"/>
    <col min="6923" max="6923" width="8.33203125" style="2" bestFit="1" customWidth="1"/>
    <col min="6924" max="6924" width="8.21875" style="2" bestFit="1" customWidth="1"/>
    <col min="6925" max="6928" width="9.21875" style="2" bestFit="1" customWidth="1"/>
    <col min="6929" max="6929" width="10.21875" style="2" bestFit="1" customWidth="1"/>
    <col min="6930" max="7169" width="11.5546875" style="2"/>
    <col min="7170" max="7170" width="19.6640625" style="2" bestFit="1" customWidth="1"/>
    <col min="7171" max="7171" width="5.6640625" style="2" bestFit="1" customWidth="1"/>
    <col min="7172" max="7172" width="18.6640625" style="2" bestFit="1" customWidth="1"/>
    <col min="7173" max="7175" width="9.21875" style="2" bestFit="1" customWidth="1"/>
    <col min="7176" max="7176" width="8.33203125" style="2" bestFit="1" customWidth="1"/>
    <col min="7177" max="7177" width="8.5546875" style="2" bestFit="1" customWidth="1"/>
    <col min="7178" max="7178" width="10.33203125" style="2" bestFit="1" customWidth="1"/>
    <col min="7179" max="7179" width="8.33203125" style="2" bestFit="1" customWidth="1"/>
    <col min="7180" max="7180" width="8.21875" style="2" bestFit="1" customWidth="1"/>
    <col min="7181" max="7184" width="9.21875" style="2" bestFit="1" customWidth="1"/>
    <col min="7185" max="7185" width="10.21875" style="2" bestFit="1" customWidth="1"/>
    <col min="7186" max="7425" width="11.5546875" style="2"/>
    <col min="7426" max="7426" width="19.6640625" style="2" bestFit="1" customWidth="1"/>
    <col min="7427" max="7427" width="5.6640625" style="2" bestFit="1" customWidth="1"/>
    <col min="7428" max="7428" width="18.6640625" style="2" bestFit="1" customWidth="1"/>
    <col min="7429" max="7431" width="9.21875" style="2" bestFit="1" customWidth="1"/>
    <col min="7432" max="7432" width="8.33203125" style="2" bestFit="1" customWidth="1"/>
    <col min="7433" max="7433" width="8.5546875" style="2" bestFit="1" customWidth="1"/>
    <col min="7434" max="7434" width="10.33203125" style="2" bestFit="1" customWidth="1"/>
    <col min="7435" max="7435" width="8.33203125" style="2" bestFit="1" customWidth="1"/>
    <col min="7436" max="7436" width="8.21875" style="2" bestFit="1" customWidth="1"/>
    <col min="7437" max="7440" width="9.21875" style="2" bestFit="1" customWidth="1"/>
    <col min="7441" max="7441" width="10.21875" style="2" bestFit="1" customWidth="1"/>
    <col min="7442" max="7681" width="11.5546875" style="2"/>
    <col min="7682" max="7682" width="19.6640625" style="2" bestFit="1" customWidth="1"/>
    <col min="7683" max="7683" width="5.6640625" style="2" bestFit="1" customWidth="1"/>
    <col min="7684" max="7684" width="18.6640625" style="2" bestFit="1" customWidth="1"/>
    <col min="7685" max="7687" width="9.21875" style="2" bestFit="1" customWidth="1"/>
    <col min="7688" max="7688" width="8.33203125" style="2" bestFit="1" customWidth="1"/>
    <col min="7689" max="7689" width="8.5546875" style="2" bestFit="1" customWidth="1"/>
    <col min="7690" max="7690" width="10.33203125" style="2" bestFit="1" customWidth="1"/>
    <col min="7691" max="7691" width="8.33203125" style="2" bestFit="1" customWidth="1"/>
    <col min="7692" max="7692" width="8.21875" style="2" bestFit="1" customWidth="1"/>
    <col min="7693" max="7696" width="9.21875" style="2" bestFit="1" customWidth="1"/>
    <col min="7697" max="7697" width="10.21875" style="2" bestFit="1" customWidth="1"/>
    <col min="7698" max="7937" width="11.5546875" style="2"/>
    <col min="7938" max="7938" width="19.6640625" style="2" bestFit="1" customWidth="1"/>
    <col min="7939" max="7939" width="5.6640625" style="2" bestFit="1" customWidth="1"/>
    <col min="7940" max="7940" width="18.6640625" style="2" bestFit="1" customWidth="1"/>
    <col min="7941" max="7943" width="9.21875" style="2" bestFit="1" customWidth="1"/>
    <col min="7944" max="7944" width="8.33203125" style="2" bestFit="1" customWidth="1"/>
    <col min="7945" max="7945" width="8.5546875" style="2" bestFit="1" customWidth="1"/>
    <col min="7946" max="7946" width="10.33203125" style="2" bestFit="1" customWidth="1"/>
    <col min="7947" max="7947" width="8.33203125" style="2" bestFit="1" customWidth="1"/>
    <col min="7948" max="7948" width="8.21875" style="2" bestFit="1" customWidth="1"/>
    <col min="7949" max="7952" width="9.21875" style="2" bestFit="1" customWidth="1"/>
    <col min="7953" max="7953" width="10.21875" style="2" bestFit="1" customWidth="1"/>
    <col min="7954" max="8193" width="11.5546875" style="2"/>
    <col min="8194" max="8194" width="19.6640625" style="2" bestFit="1" customWidth="1"/>
    <col min="8195" max="8195" width="5.6640625" style="2" bestFit="1" customWidth="1"/>
    <col min="8196" max="8196" width="18.6640625" style="2" bestFit="1" customWidth="1"/>
    <col min="8197" max="8199" width="9.21875" style="2" bestFit="1" customWidth="1"/>
    <col min="8200" max="8200" width="8.33203125" style="2" bestFit="1" customWidth="1"/>
    <col min="8201" max="8201" width="8.5546875" style="2" bestFit="1" customWidth="1"/>
    <col min="8202" max="8202" width="10.33203125" style="2" bestFit="1" customWidth="1"/>
    <col min="8203" max="8203" width="8.33203125" style="2" bestFit="1" customWidth="1"/>
    <col min="8204" max="8204" width="8.21875" style="2" bestFit="1" customWidth="1"/>
    <col min="8205" max="8208" width="9.21875" style="2" bestFit="1" customWidth="1"/>
    <col min="8209" max="8209" width="10.21875" style="2" bestFit="1" customWidth="1"/>
    <col min="8210" max="8449" width="11.5546875" style="2"/>
    <col min="8450" max="8450" width="19.6640625" style="2" bestFit="1" customWidth="1"/>
    <col min="8451" max="8451" width="5.6640625" style="2" bestFit="1" customWidth="1"/>
    <col min="8452" max="8452" width="18.6640625" style="2" bestFit="1" customWidth="1"/>
    <col min="8453" max="8455" width="9.21875" style="2" bestFit="1" customWidth="1"/>
    <col min="8456" max="8456" width="8.33203125" style="2" bestFit="1" customWidth="1"/>
    <col min="8457" max="8457" width="8.5546875" style="2" bestFit="1" customWidth="1"/>
    <col min="8458" max="8458" width="10.33203125" style="2" bestFit="1" customWidth="1"/>
    <col min="8459" max="8459" width="8.33203125" style="2" bestFit="1" customWidth="1"/>
    <col min="8460" max="8460" width="8.21875" style="2" bestFit="1" customWidth="1"/>
    <col min="8461" max="8464" width="9.21875" style="2" bestFit="1" customWidth="1"/>
    <col min="8465" max="8465" width="10.21875" style="2" bestFit="1" customWidth="1"/>
    <col min="8466" max="8705" width="11.5546875" style="2"/>
    <col min="8706" max="8706" width="19.6640625" style="2" bestFit="1" customWidth="1"/>
    <col min="8707" max="8707" width="5.6640625" style="2" bestFit="1" customWidth="1"/>
    <col min="8708" max="8708" width="18.6640625" style="2" bestFit="1" customWidth="1"/>
    <col min="8709" max="8711" width="9.21875" style="2" bestFit="1" customWidth="1"/>
    <col min="8712" max="8712" width="8.33203125" style="2" bestFit="1" customWidth="1"/>
    <col min="8713" max="8713" width="8.5546875" style="2" bestFit="1" customWidth="1"/>
    <col min="8714" max="8714" width="10.33203125" style="2" bestFit="1" customWidth="1"/>
    <col min="8715" max="8715" width="8.33203125" style="2" bestFit="1" customWidth="1"/>
    <col min="8716" max="8716" width="8.21875" style="2" bestFit="1" customWidth="1"/>
    <col min="8717" max="8720" width="9.21875" style="2" bestFit="1" customWidth="1"/>
    <col min="8721" max="8721" width="10.21875" style="2" bestFit="1" customWidth="1"/>
    <col min="8722" max="8961" width="11.5546875" style="2"/>
    <col min="8962" max="8962" width="19.6640625" style="2" bestFit="1" customWidth="1"/>
    <col min="8963" max="8963" width="5.6640625" style="2" bestFit="1" customWidth="1"/>
    <col min="8964" max="8964" width="18.6640625" style="2" bestFit="1" customWidth="1"/>
    <col min="8965" max="8967" width="9.21875" style="2" bestFit="1" customWidth="1"/>
    <col min="8968" max="8968" width="8.33203125" style="2" bestFit="1" customWidth="1"/>
    <col min="8969" max="8969" width="8.5546875" style="2" bestFit="1" customWidth="1"/>
    <col min="8970" max="8970" width="10.33203125" style="2" bestFit="1" customWidth="1"/>
    <col min="8971" max="8971" width="8.33203125" style="2" bestFit="1" customWidth="1"/>
    <col min="8972" max="8972" width="8.21875" style="2" bestFit="1" customWidth="1"/>
    <col min="8973" max="8976" width="9.21875" style="2" bestFit="1" customWidth="1"/>
    <col min="8977" max="8977" width="10.21875" style="2" bestFit="1" customWidth="1"/>
    <col min="8978" max="9217" width="11.5546875" style="2"/>
    <col min="9218" max="9218" width="19.6640625" style="2" bestFit="1" customWidth="1"/>
    <col min="9219" max="9219" width="5.6640625" style="2" bestFit="1" customWidth="1"/>
    <col min="9220" max="9220" width="18.6640625" style="2" bestFit="1" customWidth="1"/>
    <col min="9221" max="9223" width="9.21875" style="2" bestFit="1" customWidth="1"/>
    <col min="9224" max="9224" width="8.33203125" style="2" bestFit="1" customWidth="1"/>
    <col min="9225" max="9225" width="8.5546875" style="2" bestFit="1" customWidth="1"/>
    <col min="9226" max="9226" width="10.33203125" style="2" bestFit="1" customWidth="1"/>
    <col min="9227" max="9227" width="8.33203125" style="2" bestFit="1" customWidth="1"/>
    <col min="9228" max="9228" width="8.21875" style="2" bestFit="1" customWidth="1"/>
    <col min="9229" max="9232" width="9.21875" style="2" bestFit="1" customWidth="1"/>
    <col min="9233" max="9233" width="10.21875" style="2" bestFit="1" customWidth="1"/>
    <col min="9234" max="9473" width="11.5546875" style="2"/>
    <col min="9474" max="9474" width="19.6640625" style="2" bestFit="1" customWidth="1"/>
    <col min="9475" max="9475" width="5.6640625" style="2" bestFit="1" customWidth="1"/>
    <col min="9476" max="9476" width="18.6640625" style="2" bestFit="1" customWidth="1"/>
    <col min="9477" max="9479" width="9.21875" style="2" bestFit="1" customWidth="1"/>
    <col min="9480" max="9480" width="8.33203125" style="2" bestFit="1" customWidth="1"/>
    <col min="9481" max="9481" width="8.5546875" style="2" bestFit="1" customWidth="1"/>
    <col min="9482" max="9482" width="10.33203125" style="2" bestFit="1" customWidth="1"/>
    <col min="9483" max="9483" width="8.33203125" style="2" bestFit="1" customWidth="1"/>
    <col min="9484" max="9484" width="8.21875" style="2" bestFit="1" customWidth="1"/>
    <col min="9485" max="9488" width="9.21875" style="2" bestFit="1" customWidth="1"/>
    <col min="9489" max="9489" width="10.21875" style="2" bestFit="1" customWidth="1"/>
    <col min="9490" max="9729" width="11.5546875" style="2"/>
    <col min="9730" max="9730" width="19.6640625" style="2" bestFit="1" customWidth="1"/>
    <col min="9731" max="9731" width="5.6640625" style="2" bestFit="1" customWidth="1"/>
    <col min="9732" max="9732" width="18.6640625" style="2" bestFit="1" customWidth="1"/>
    <col min="9733" max="9735" width="9.21875" style="2" bestFit="1" customWidth="1"/>
    <col min="9736" max="9736" width="8.33203125" style="2" bestFit="1" customWidth="1"/>
    <col min="9737" max="9737" width="8.5546875" style="2" bestFit="1" customWidth="1"/>
    <col min="9738" max="9738" width="10.33203125" style="2" bestFit="1" customWidth="1"/>
    <col min="9739" max="9739" width="8.33203125" style="2" bestFit="1" customWidth="1"/>
    <col min="9740" max="9740" width="8.21875" style="2" bestFit="1" customWidth="1"/>
    <col min="9741" max="9744" width="9.21875" style="2" bestFit="1" customWidth="1"/>
    <col min="9745" max="9745" width="10.21875" style="2" bestFit="1" customWidth="1"/>
    <col min="9746" max="9985" width="11.5546875" style="2"/>
    <col min="9986" max="9986" width="19.6640625" style="2" bestFit="1" customWidth="1"/>
    <col min="9987" max="9987" width="5.6640625" style="2" bestFit="1" customWidth="1"/>
    <col min="9988" max="9988" width="18.6640625" style="2" bestFit="1" customWidth="1"/>
    <col min="9989" max="9991" width="9.21875" style="2" bestFit="1" customWidth="1"/>
    <col min="9992" max="9992" width="8.33203125" style="2" bestFit="1" customWidth="1"/>
    <col min="9993" max="9993" width="8.5546875" style="2" bestFit="1" customWidth="1"/>
    <col min="9994" max="9994" width="10.33203125" style="2" bestFit="1" customWidth="1"/>
    <col min="9995" max="9995" width="8.33203125" style="2" bestFit="1" customWidth="1"/>
    <col min="9996" max="9996" width="8.21875" style="2" bestFit="1" customWidth="1"/>
    <col min="9997" max="10000" width="9.21875" style="2" bestFit="1" customWidth="1"/>
    <col min="10001" max="10001" width="10.21875" style="2" bestFit="1" customWidth="1"/>
    <col min="10002" max="10241" width="11.5546875" style="2"/>
    <col min="10242" max="10242" width="19.6640625" style="2" bestFit="1" customWidth="1"/>
    <col min="10243" max="10243" width="5.6640625" style="2" bestFit="1" customWidth="1"/>
    <col min="10244" max="10244" width="18.6640625" style="2" bestFit="1" customWidth="1"/>
    <col min="10245" max="10247" width="9.21875" style="2" bestFit="1" customWidth="1"/>
    <col min="10248" max="10248" width="8.33203125" style="2" bestFit="1" customWidth="1"/>
    <col min="10249" max="10249" width="8.5546875" style="2" bestFit="1" customWidth="1"/>
    <col min="10250" max="10250" width="10.33203125" style="2" bestFit="1" customWidth="1"/>
    <col min="10251" max="10251" width="8.33203125" style="2" bestFit="1" customWidth="1"/>
    <col min="10252" max="10252" width="8.21875" style="2" bestFit="1" customWidth="1"/>
    <col min="10253" max="10256" width="9.21875" style="2" bestFit="1" customWidth="1"/>
    <col min="10257" max="10257" width="10.21875" style="2" bestFit="1" customWidth="1"/>
    <col min="10258" max="10497" width="11.5546875" style="2"/>
    <col min="10498" max="10498" width="19.6640625" style="2" bestFit="1" customWidth="1"/>
    <col min="10499" max="10499" width="5.6640625" style="2" bestFit="1" customWidth="1"/>
    <col min="10500" max="10500" width="18.6640625" style="2" bestFit="1" customWidth="1"/>
    <col min="10501" max="10503" width="9.21875" style="2" bestFit="1" customWidth="1"/>
    <col min="10504" max="10504" width="8.33203125" style="2" bestFit="1" customWidth="1"/>
    <col min="10505" max="10505" width="8.5546875" style="2" bestFit="1" customWidth="1"/>
    <col min="10506" max="10506" width="10.33203125" style="2" bestFit="1" customWidth="1"/>
    <col min="10507" max="10507" width="8.33203125" style="2" bestFit="1" customWidth="1"/>
    <col min="10508" max="10508" width="8.21875" style="2" bestFit="1" customWidth="1"/>
    <col min="10509" max="10512" width="9.21875" style="2" bestFit="1" customWidth="1"/>
    <col min="10513" max="10513" width="10.21875" style="2" bestFit="1" customWidth="1"/>
    <col min="10514" max="10753" width="11.5546875" style="2"/>
    <col min="10754" max="10754" width="19.6640625" style="2" bestFit="1" customWidth="1"/>
    <col min="10755" max="10755" width="5.6640625" style="2" bestFit="1" customWidth="1"/>
    <col min="10756" max="10756" width="18.6640625" style="2" bestFit="1" customWidth="1"/>
    <col min="10757" max="10759" width="9.21875" style="2" bestFit="1" customWidth="1"/>
    <col min="10760" max="10760" width="8.33203125" style="2" bestFit="1" customWidth="1"/>
    <col min="10761" max="10761" width="8.5546875" style="2" bestFit="1" customWidth="1"/>
    <col min="10762" max="10762" width="10.33203125" style="2" bestFit="1" customWidth="1"/>
    <col min="10763" max="10763" width="8.33203125" style="2" bestFit="1" customWidth="1"/>
    <col min="10764" max="10764" width="8.21875" style="2" bestFit="1" customWidth="1"/>
    <col min="10765" max="10768" width="9.21875" style="2" bestFit="1" customWidth="1"/>
    <col min="10769" max="10769" width="10.21875" style="2" bestFit="1" customWidth="1"/>
    <col min="10770" max="11009" width="11.5546875" style="2"/>
    <col min="11010" max="11010" width="19.6640625" style="2" bestFit="1" customWidth="1"/>
    <col min="11011" max="11011" width="5.6640625" style="2" bestFit="1" customWidth="1"/>
    <col min="11012" max="11012" width="18.6640625" style="2" bestFit="1" customWidth="1"/>
    <col min="11013" max="11015" width="9.21875" style="2" bestFit="1" customWidth="1"/>
    <col min="11016" max="11016" width="8.33203125" style="2" bestFit="1" customWidth="1"/>
    <col min="11017" max="11017" width="8.5546875" style="2" bestFit="1" customWidth="1"/>
    <col min="11018" max="11018" width="10.33203125" style="2" bestFit="1" customWidth="1"/>
    <col min="11019" max="11019" width="8.33203125" style="2" bestFit="1" customWidth="1"/>
    <col min="11020" max="11020" width="8.21875" style="2" bestFit="1" customWidth="1"/>
    <col min="11021" max="11024" width="9.21875" style="2" bestFit="1" customWidth="1"/>
    <col min="11025" max="11025" width="10.21875" style="2" bestFit="1" customWidth="1"/>
    <col min="11026" max="11265" width="11.5546875" style="2"/>
    <col min="11266" max="11266" width="19.6640625" style="2" bestFit="1" customWidth="1"/>
    <col min="11267" max="11267" width="5.6640625" style="2" bestFit="1" customWidth="1"/>
    <col min="11268" max="11268" width="18.6640625" style="2" bestFit="1" customWidth="1"/>
    <col min="11269" max="11271" width="9.21875" style="2" bestFit="1" customWidth="1"/>
    <col min="11272" max="11272" width="8.33203125" style="2" bestFit="1" customWidth="1"/>
    <col min="11273" max="11273" width="8.5546875" style="2" bestFit="1" customWidth="1"/>
    <col min="11274" max="11274" width="10.33203125" style="2" bestFit="1" customWidth="1"/>
    <col min="11275" max="11275" width="8.33203125" style="2" bestFit="1" customWidth="1"/>
    <col min="11276" max="11276" width="8.21875" style="2" bestFit="1" customWidth="1"/>
    <col min="11277" max="11280" width="9.21875" style="2" bestFit="1" customWidth="1"/>
    <col min="11281" max="11281" width="10.21875" style="2" bestFit="1" customWidth="1"/>
    <col min="11282" max="11521" width="11.5546875" style="2"/>
    <col min="11522" max="11522" width="19.6640625" style="2" bestFit="1" customWidth="1"/>
    <col min="11523" max="11523" width="5.6640625" style="2" bestFit="1" customWidth="1"/>
    <col min="11524" max="11524" width="18.6640625" style="2" bestFit="1" customWidth="1"/>
    <col min="11525" max="11527" width="9.21875" style="2" bestFit="1" customWidth="1"/>
    <col min="11528" max="11528" width="8.33203125" style="2" bestFit="1" customWidth="1"/>
    <col min="11529" max="11529" width="8.5546875" style="2" bestFit="1" customWidth="1"/>
    <col min="11530" max="11530" width="10.33203125" style="2" bestFit="1" customWidth="1"/>
    <col min="11531" max="11531" width="8.33203125" style="2" bestFit="1" customWidth="1"/>
    <col min="11532" max="11532" width="8.21875" style="2" bestFit="1" customWidth="1"/>
    <col min="11533" max="11536" width="9.21875" style="2" bestFit="1" customWidth="1"/>
    <col min="11537" max="11537" width="10.21875" style="2" bestFit="1" customWidth="1"/>
    <col min="11538" max="11777" width="11.5546875" style="2"/>
    <col min="11778" max="11778" width="19.6640625" style="2" bestFit="1" customWidth="1"/>
    <col min="11779" max="11779" width="5.6640625" style="2" bestFit="1" customWidth="1"/>
    <col min="11780" max="11780" width="18.6640625" style="2" bestFit="1" customWidth="1"/>
    <col min="11781" max="11783" width="9.21875" style="2" bestFit="1" customWidth="1"/>
    <col min="11784" max="11784" width="8.33203125" style="2" bestFit="1" customWidth="1"/>
    <col min="11785" max="11785" width="8.5546875" style="2" bestFit="1" customWidth="1"/>
    <col min="11786" max="11786" width="10.33203125" style="2" bestFit="1" customWidth="1"/>
    <col min="11787" max="11787" width="8.33203125" style="2" bestFit="1" customWidth="1"/>
    <col min="11788" max="11788" width="8.21875" style="2" bestFit="1" customWidth="1"/>
    <col min="11789" max="11792" width="9.21875" style="2" bestFit="1" customWidth="1"/>
    <col min="11793" max="11793" width="10.21875" style="2" bestFit="1" customWidth="1"/>
    <col min="11794" max="12033" width="11.5546875" style="2"/>
    <col min="12034" max="12034" width="19.6640625" style="2" bestFit="1" customWidth="1"/>
    <col min="12035" max="12035" width="5.6640625" style="2" bestFit="1" customWidth="1"/>
    <col min="12036" max="12036" width="18.6640625" style="2" bestFit="1" customWidth="1"/>
    <col min="12037" max="12039" width="9.21875" style="2" bestFit="1" customWidth="1"/>
    <col min="12040" max="12040" width="8.33203125" style="2" bestFit="1" customWidth="1"/>
    <col min="12041" max="12041" width="8.5546875" style="2" bestFit="1" customWidth="1"/>
    <col min="12042" max="12042" width="10.33203125" style="2" bestFit="1" customWidth="1"/>
    <col min="12043" max="12043" width="8.33203125" style="2" bestFit="1" customWidth="1"/>
    <col min="12044" max="12044" width="8.21875" style="2" bestFit="1" customWidth="1"/>
    <col min="12045" max="12048" width="9.21875" style="2" bestFit="1" customWidth="1"/>
    <col min="12049" max="12049" width="10.21875" style="2" bestFit="1" customWidth="1"/>
    <col min="12050" max="12289" width="11.5546875" style="2"/>
    <col min="12290" max="12290" width="19.6640625" style="2" bestFit="1" customWidth="1"/>
    <col min="12291" max="12291" width="5.6640625" style="2" bestFit="1" customWidth="1"/>
    <col min="12292" max="12292" width="18.6640625" style="2" bestFit="1" customWidth="1"/>
    <col min="12293" max="12295" width="9.21875" style="2" bestFit="1" customWidth="1"/>
    <col min="12296" max="12296" width="8.33203125" style="2" bestFit="1" customWidth="1"/>
    <col min="12297" max="12297" width="8.5546875" style="2" bestFit="1" customWidth="1"/>
    <col min="12298" max="12298" width="10.33203125" style="2" bestFit="1" customWidth="1"/>
    <col min="12299" max="12299" width="8.33203125" style="2" bestFit="1" customWidth="1"/>
    <col min="12300" max="12300" width="8.21875" style="2" bestFit="1" customWidth="1"/>
    <col min="12301" max="12304" width="9.21875" style="2" bestFit="1" customWidth="1"/>
    <col min="12305" max="12305" width="10.21875" style="2" bestFit="1" customWidth="1"/>
    <col min="12306" max="12545" width="11.5546875" style="2"/>
    <col min="12546" max="12546" width="19.6640625" style="2" bestFit="1" customWidth="1"/>
    <col min="12547" max="12547" width="5.6640625" style="2" bestFit="1" customWidth="1"/>
    <col min="12548" max="12548" width="18.6640625" style="2" bestFit="1" customWidth="1"/>
    <col min="12549" max="12551" width="9.21875" style="2" bestFit="1" customWidth="1"/>
    <col min="12552" max="12552" width="8.33203125" style="2" bestFit="1" customWidth="1"/>
    <col min="12553" max="12553" width="8.5546875" style="2" bestFit="1" customWidth="1"/>
    <col min="12554" max="12554" width="10.33203125" style="2" bestFit="1" customWidth="1"/>
    <col min="12555" max="12555" width="8.33203125" style="2" bestFit="1" customWidth="1"/>
    <col min="12556" max="12556" width="8.21875" style="2" bestFit="1" customWidth="1"/>
    <col min="12557" max="12560" width="9.21875" style="2" bestFit="1" customWidth="1"/>
    <col min="12561" max="12561" width="10.21875" style="2" bestFit="1" customWidth="1"/>
    <col min="12562" max="12801" width="11.5546875" style="2"/>
    <col min="12802" max="12802" width="19.6640625" style="2" bestFit="1" customWidth="1"/>
    <col min="12803" max="12803" width="5.6640625" style="2" bestFit="1" customWidth="1"/>
    <col min="12804" max="12804" width="18.6640625" style="2" bestFit="1" customWidth="1"/>
    <col min="12805" max="12807" width="9.21875" style="2" bestFit="1" customWidth="1"/>
    <col min="12808" max="12808" width="8.33203125" style="2" bestFit="1" customWidth="1"/>
    <col min="12809" max="12809" width="8.5546875" style="2" bestFit="1" customWidth="1"/>
    <col min="12810" max="12810" width="10.33203125" style="2" bestFit="1" customWidth="1"/>
    <col min="12811" max="12811" width="8.33203125" style="2" bestFit="1" customWidth="1"/>
    <col min="12812" max="12812" width="8.21875" style="2" bestFit="1" customWidth="1"/>
    <col min="12813" max="12816" width="9.21875" style="2" bestFit="1" customWidth="1"/>
    <col min="12817" max="12817" width="10.21875" style="2" bestFit="1" customWidth="1"/>
    <col min="12818" max="13057" width="11.5546875" style="2"/>
    <col min="13058" max="13058" width="19.6640625" style="2" bestFit="1" customWidth="1"/>
    <col min="13059" max="13059" width="5.6640625" style="2" bestFit="1" customWidth="1"/>
    <col min="13060" max="13060" width="18.6640625" style="2" bestFit="1" customWidth="1"/>
    <col min="13061" max="13063" width="9.21875" style="2" bestFit="1" customWidth="1"/>
    <col min="13064" max="13064" width="8.33203125" style="2" bestFit="1" customWidth="1"/>
    <col min="13065" max="13065" width="8.5546875" style="2" bestFit="1" customWidth="1"/>
    <col min="13066" max="13066" width="10.33203125" style="2" bestFit="1" customWidth="1"/>
    <col min="13067" max="13067" width="8.33203125" style="2" bestFit="1" customWidth="1"/>
    <col min="13068" max="13068" width="8.21875" style="2" bestFit="1" customWidth="1"/>
    <col min="13069" max="13072" width="9.21875" style="2" bestFit="1" customWidth="1"/>
    <col min="13073" max="13073" width="10.21875" style="2" bestFit="1" customWidth="1"/>
    <col min="13074" max="13313" width="11.5546875" style="2"/>
    <col min="13314" max="13314" width="19.6640625" style="2" bestFit="1" customWidth="1"/>
    <col min="13315" max="13315" width="5.6640625" style="2" bestFit="1" customWidth="1"/>
    <col min="13316" max="13316" width="18.6640625" style="2" bestFit="1" customWidth="1"/>
    <col min="13317" max="13319" width="9.21875" style="2" bestFit="1" customWidth="1"/>
    <col min="13320" max="13320" width="8.33203125" style="2" bestFit="1" customWidth="1"/>
    <col min="13321" max="13321" width="8.5546875" style="2" bestFit="1" customWidth="1"/>
    <col min="13322" max="13322" width="10.33203125" style="2" bestFit="1" customWidth="1"/>
    <col min="13323" max="13323" width="8.33203125" style="2" bestFit="1" customWidth="1"/>
    <col min="13324" max="13324" width="8.21875" style="2" bestFit="1" customWidth="1"/>
    <col min="13325" max="13328" width="9.21875" style="2" bestFit="1" customWidth="1"/>
    <col min="13329" max="13329" width="10.21875" style="2" bestFit="1" customWidth="1"/>
    <col min="13330" max="13569" width="11.5546875" style="2"/>
    <col min="13570" max="13570" width="19.6640625" style="2" bestFit="1" customWidth="1"/>
    <col min="13571" max="13571" width="5.6640625" style="2" bestFit="1" customWidth="1"/>
    <col min="13572" max="13572" width="18.6640625" style="2" bestFit="1" customWidth="1"/>
    <col min="13573" max="13575" width="9.21875" style="2" bestFit="1" customWidth="1"/>
    <col min="13576" max="13576" width="8.33203125" style="2" bestFit="1" customWidth="1"/>
    <col min="13577" max="13577" width="8.5546875" style="2" bestFit="1" customWidth="1"/>
    <col min="13578" max="13578" width="10.33203125" style="2" bestFit="1" customWidth="1"/>
    <col min="13579" max="13579" width="8.33203125" style="2" bestFit="1" customWidth="1"/>
    <col min="13580" max="13580" width="8.21875" style="2" bestFit="1" customWidth="1"/>
    <col min="13581" max="13584" width="9.21875" style="2" bestFit="1" customWidth="1"/>
    <col min="13585" max="13585" width="10.21875" style="2" bestFit="1" customWidth="1"/>
    <col min="13586" max="13825" width="11.5546875" style="2"/>
    <col min="13826" max="13826" width="19.6640625" style="2" bestFit="1" customWidth="1"/>
    <col min="13827" max="13827" width="5.6640625" style="2" bestFit="1" customWidth="1"/>
    <col min="13828" max="13828" width="18.6640625" style="2" bestFit="1" customWidth="1"/>
    <col min="13829" max="13831" width="9.21875" style="2" bestFit="1" customWidth="1"/>
    <col min="13832" max="13832" width="8.33203125" style="2" bestFit="1" customWidth="1"/>
    <col min="13833" max="13833" width="8.5546875" style="2" bestFit="1" customWidth="1"/>
    <col min="13834" max="13834" width="10.33203125" style="2" bestFit="1" customWidth="1"/>
    <col min="13835" max="13835" width="8.33203125" style="2" bestFit="1" customWidth="1"/>
    <col min="13836" max="13836" width="8.21875" style="2" bestFit="1" customWidth="1"/>
    <col min="13837" max="13840" width="9.21875" style="2" bestFit="1" customWidth="1"/>
    <col min="13841" max="13841" width="10.21875" style="2" bestFit="1" customWidth="1"/>
    <col min="13842" max="14081" width="11.5546875" style="2"/>
    <col min="14082" max="14082" width="19.6640625" style="2" bestFit="1" customWidth="1"/>
    <col min="14083" max="14083" width="5.6640625" style="2" bestFit="1" customWidth="1"/>
    <col min="14084" max="14084" width="18.6640625" style="2" bestFit="1" customWidth="1"/>
    <col min="14085" max="14087" width="9.21875" style="2" bestFit="1" customWidth="1"/>
    <col min="14088" max="14088" width="8.33203125" style="2" bestFit="1" customWidth="1"/>
    <col min="14089" max="14089" width="8.5546875" style="2" bestFit="1" customWidth="1"/>
    <col min="14090" max="14090" width="10.33203125" style="2" bestFit="1" customWidth="1"/>
    <col min="14091" max="14091" width="8.33203125" style="2" bestFit="1" customWidth="1"/>
    <col min="14092" max="14092" width="8.21875" style="2" bestFit="1" customWidth="1"/>
    <col min="14093" max="14096" width="9.21875" style="2" bestFit="1" customWidth="1"/>
    <col min="14097" max="14097" width="10.21875" style="2" bestFit="1" customWidth="1"/>
    <col min="14098" max="14337" width="11.5546875" style="2"/>
    <col min="14338" max="14338" width="19.6640625" style="2" bestFit="1" customWidth="1"/>
    <col min="14339" max="14339" width="5.6640625" style="2" bestFit="1" customWidth="1"/>
    <col min="14340" max="14340" width="18.6640625" style="2" bestFit="1" customWidth="1"/>
    <col min="14341" max="14343" width="9.21875" style="2" bestFit="1" customWidth="1"/>
    <col min="14344" max="14344" width="8.33203125" style="2" bestFit="1" customWidth="1"/>
    <col min="14345" max="14345" width="8.5546875" style="2" bestFit="1" customWidth="1"/>
    <col min="14346" max="14346" width="10.33203125" style="2" bestFit="1" customWidth="1"/>
    <col min="14347" max="14347" width="8.33203125" style="2" bestFit="1" customWidth="1"/>
    <col min="14348" max="14348" width="8.21875" style="2" bestFit="1" customWidth="1"/>
    <col min="14349" max="14352" width="9.21875" style="2" bestFit="1" customWidth="1"/>
    <col min="14353" max="14353" width="10.21875" style="2" bestFit="1" customWidth="1"/>
    <col min="14354" max="14593" width="11.5546875" style="2"/>
    <col min="14594" max="14594" width="19.6640625" style="2" bestFit="1" customWidth="1"/>
    <col min="14595" max="14595" width="5.6640625" style="2" bestFit="1" customWidth="1"/>
    <col min="14596" max="14596" width="18.6640625" style="2" bestFit="1" customWidth="1"/>
    <col min="14597" max="14599" width="9.21875" style="2" bestFit="1" customWidth="1"/>
    <col min="14600" max="14600" width="8.33203125" style="2" bestFit="1" customWidth="1"/>
    <col min="14601" max="14601" width="8.5546875" style="2" bestFit="1" customWidth="1"/>
    <col min="14602" max="14602" width="10.33203125" style="2" bestFit="1" customWidth="1"/>
    <col min="14603" max="14603" width="8.33203125" style="2" bestFit="1" customWidth="1"/>
    <col min="14604" max="14604" width="8.21875" style="2" bestFit="1" customWidth="1"/>
    <col min="14605" max="14608" width="9.21875" style="2" bestFit="1" customWidth="1"/>
    <col min="14609" max="14609" width="10.21875" style="2" bestFit="1" customWidth="1"/>
    <col min="14610" max="14849" width="11.5546875" style="2"/>
    <col min="14850" max="14850" width="19.6640625" style="2" bestFit="1" customWidth="1"/>
    <col min="14851" max="14851" width="5.6640625" style="2" bestFit="1" customWidth="1"/>
    <col min="14852" max="14852" width="18.6640625" style="2" bestFit="1" customWidth="1"/>
    <col min="14853" max="14855" width="9.21875" style="2" bestFit="1" customWidth="1"/>
    <col min="14856" max="14856" width="8.33203125" style="2" bestFit="1" customWidth="1"/>
    <col min="14857" max="14857" width="8.5546875" style="2" bestFit="1" customWidth="1"/>
    <col min="14858" max="14858" width="10.33203125" style="2" bestFit="1" customWidth="1"/>
    <col min="14859" max="14859" width="8.33203125" style="2" bestFit="1" customWidth="1"/>
    <col min="14860" max="14860" width="8.21875" style="2" bestFit="1" customWidth="1"/>
    <col min="14861" max="14864" width="9.21875" style="2" bestFit="1" customWidth="1"/>
    <col min="14865" max="14865" width="10.21875" style="2" bestFit="1" customWidth="1"/>
    <col min="14866" max="15105" width="11.5546875" style="2"/>
    <col min="15106" max="15106" width="19.6640625" style="2" bestFit="1" customWidth="1"/>
    <col min="15107" max="15107" width="5.6640625" style="2" bestFit="1" customWidth="1"/>
    <col min="15108" max="15108" width="18.6640625" style="2" bestFit="1" customWidth="1"/>
    <col min="15109" max="15111" width="9.21875" style="2" bestFit="1" customWidth="1"/>
    <col min="15112" max="15112" width="8.33203125" style="2" bestFit="1" customWidth="1"/>
    <col min="15113" max="15113" width="8.5546875" style="2" bestFit="1" customWidth="1"/>
    <col min="15114" max="15114" width="10.33203125" style="2" bestFit="1" customWidth="1"/>
    <col min="15115" max="15115" width="8.33203125" style="2" bestFit="1" customWidth="1"/>
    <col min="15116" max="15116" width="8.21875" style="2" bestFit="1" customWidth="1"/>
    <col min="15117" max="15120" width="9.21875" style="2" bestFit="1" customWidth="1"/>
    <col min="15121" max="15121" width="10.21875" style="2" bestFit="1" customWidth="1"/>
    <col min="15122" max="15361" width="11.5546875" style="2"/>
    <col min="15362" max="15362" width="19.6640625" style="2" bestFit="1" customWidth="1"/>
    <col min="15363" max="15363" width="5.6640625" style="2" bestFit="1" customWidth="1"/>
    <col min="15364" max="15364" width="18.6640625" style="2" bestFit="1" customWidth="1"/>
    <col min="15365" max="15367" width="9.21875" style="2" bestFit="1" customWidth="1"/>
    <col min="15368" max="15368" width="8.33203125" style="2" bestFit="1" customWidth="1"/>
    <col min="15369" max="15369" width="8.5546875" style="2" bestFit="1" customWidth="1"/>
    <col min="15370" max="15370" width="10.33203125" style="2" bestFit="1" customWidth="1"/>
    <col min="15371" max="15371" width="8.33203125" style="2" bestFit="1" customWidth="1"/>
    <col min="15372" max="15372" width="8.21875" style="2" bestFit="1" customWidth="1"/>
    <col min="15373" max="15376" width="9.21875" style="2" bestFit="1" customWidth="1"/>
    <col min="15377" max="15377" width="10.21875" style="2" bestFit="1" customWidth="1"/>
    <col min="15378" max="15617" width="11.5546875" style="2"/>
    <col min="15618" max="15618" width="19.6640625" style="2" bestFit="1" customWidth="1"/>
    <col min="15619" max="15619" width="5.6640625" style="2" bestFit="1" customWidth="1"/>
    <col min="15620" max="15620" width="18.6640625" style="2" bestFit="1" customWidth="1"/>
    <col min="15621" max="15623" width="9.21875" style="2" bestFit="1" customWidth="1"/>
    <col min="15624" max="15624" width="8.33203125" style="2" bestFit="1" customWidth="1"/>
    <col min="15625" max="15625" width="8.5546875" style="2" bestFit="1" customWidth="1"/>
    <col min="15626" max="15626" width="10.33203125" style="2" bestFit="1" customWidth="1"/>
    <col min="15627" max="15627" width="8.33203125" style="2" bestFit="1" customWidth="1"/>
    <col min="15628" max="15628" width="8.21875" style="2" bestFit="1" customWidth="1"/>
    <col min="15629" max="15632" width="9.21875" style="2" bestFit="1" customWidth="1"/>
    <col min="15633" max="15633" width="10.21875" style="2" bestFit="1" customWidth="1"/>
    <col min="15634" max="15873" width="11.5546875" style="2"/>
    <col min="15874" max="15874" width="19.6640625" style="2" bestFit="1" customWidth="1"/>
    <col min="15875" max="15875" width="5.6640625" style="2" bestFit="1" customWidth="1"/>
    <col min="15876" max="15876" width="18.6640625" style="2" bestFit="1" customWidth="1"/>
    <col min="15877" max="15879" width="9.21875" style="2" bestFit="1" customWidth="1"/>
    <col min="15880" max="15880" width="8.33203125" style="2" bestFit="1" customWidth="1"/>
    <col min="15881" max="15881" width="8.5546875" style="2" bestFit="1" customWidth="1"/>
    <col min="15882" max="15882" width="10.33203125" style="2" bestFit="1" customWidth="1"/>
    <col min="15883" max="15883" width="8.33203125" style="2" bestFit="1" customWidth="1"/>
    <col min="15884" max="15884" width="8.21875" style="2" bestFit="1" customWidth="1"/>
    <col min="15885" max="15888" width="9.21875" style="2" bestFit="1" customWidth="1"/>
    <col min="15889" max="15889" width="10.21875" style="2" bestFit="1" customWidth="1"/>
    <col min="15890" max="16129" width="11.5546875" style="2"/>
    <col min="16130" max="16130" width="19.6640625" style="2" bestFit="1" customWidth="1"/>
    <col min="16131" max="16131" width="5.6640625" style="2" bestFit="1" customWidth="1"/>
    <col min="16132" max="16132" width="18.6640625" style="2" bestFit="1" customWidth="1"/>
    <col min="16133" max="16135" width="9.21875" style="2" bestFit="1" customWidth="1"/>
    <col min="16136" max="16136" width="8.33203125" style="2" bestFit="1" customWidth="1"/>
    <col min="16137" max="16137" width="8.5546875" style="2" bestFit="1" customWidth="1"/>
    <col min="16138" max="16138" width="10.33203125" style="2" bestFit="1" customWidth="1"/>
    <col min="16139" max="16139" width="8.33203125" style="2" bestFit="1" customWidth="1"/>
    <col min="16140" max="16140" width="8.21875" style="2" bestFit="1" customWidth="1"/>
    <col min="16141" max="16144" width="9.21875" style="2" bestFit="1" customWidth="1"/>
    <col min="16145" max="16145" width="10.21875" style="2" bestFit="1" customWidth="1"/>
    <col min="16146" max="16384" width="11.5546875" style="2"/>
  </cols>
  <sheetData>
    <row r="2" spans="3:18" ht="23.4" thickBot="1" x14ac:dyDescent="0.45">
      <c r="C2" s="140" t="s">
        <v>31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3:18" ht="16.2" thickTop="1" x14ac:dyDescent="0.3"/>
    <row r="4" spans="3:18" x14ac:dyDescent="0.3">
      <c r="E4" s="4">
        <v>44562</v>
      </c>
      <c r="F4" s="4">
        <v>44593</v>
      </c>
      <c r="G4" s="4">
        <v>44621</v>
      </c>
      <c r="H4" s="4">
        <v>44652</v>
      </c>
      <c r="I4" s="4">
        <v>44682</v>
      </c>
      <c r="J4" s="4">
        <v>44713</v>
      </c>
      <c r="K4" s="4">
        <v>44743</v>
      </c>
      <c r="L4" s="4">
        <v>44774</v>
      </c>
      <c r="M4" s="4">
        <v>44805</v>
      </c>
      <c r="N4" s="4">
        <v>44835</v>
      </c>
      <c r="O4" s="4">
        <v>44866</v>
      </c>
      <c r="P4" s="4">
        <v>44896</v>
      </c>
    </row>
    <row r="5" spans="3:18" x14ac:dyDescent="0.3">
      <c r="D5" s="26" t="s">
        <v>0</v>
      </c>
      <c r="E5" s="3">
        <v>0.12</v>
      </c>
      <c r="F5" s="3">
        <v>0.1</v>
      </c>
      <c r="G5" s="3">
        <v>0.08</v>
      </c>
      <c r="H5" s="3">
        <v>0.06</v>
      </c>
      <c r="I5" s="3">
        <v>0.06</v>
      </c>
      <c r="J5" s="3">
        <v>0.05</v>
      </c>
      <c r="K5" s="3">
        <v>0.04</v>
      </c>
      <c r="L5" s="3">
        <v>0.03</v>
      </c>
      <c r="M5" s="3">
        <v>0.08</v>
      </c>
      <c r="N5" s="3">
        <v>0.1</v>
      </c>
      <c r="O5" s="3">
        <v>0.12</v>
      </c>
      <c r="P5" s="3">
        <v>0.16</v>
      </c>
      <c r="Q5" s="3">
        <f>SUM(E5:P5)</f>
        <v>1</v>
      </c>
    </row>
    <row r="6" spans="3:18" x14ac:dyDescent="0.3">
      <c r="D6" s="136" t="s">
        <v>1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</row>
    <row r="7" spans="3:18" x14ac:dyDescent="0.3">
      <c r="E7" s="4">
        <v>44562</v>
      </c>
      <c r="F7" s="4">
        <v>44593</v>
      </c>
      <c r="G7" s="4">
        <v>44621</v>
      </c>
      <c r="H7" s="4">
        <v>44652</v>
      </c>
      <c r="I7" s="4">
        <v>44682</v>
      </c>
      <c r="J7" s="4">
        <v>44713</v>
      </c>
      <c r="K7" s="4">
        <v>44743</v>
      </c>
      <c r="L7" s="4">
        <v>44774</v>
      </c>
      <c r="M7" s="4">
        <v>44805</v>
      </c>
      <c r="N7" s="4">
        <v>44835</v>
      </c>
      <c r="O7" s="4">
        <v>44866</v>
      </c>
      <c r="P7" s="4">
        <v>44896</v>
      </c>
    </row>
    <row r="8" spans="3:18" x14ac:dyDescent="0.3">
      <c r="D8" s="25" t="s">
        <v>54</v>
      </c>
      <c r="E8" s="5">
        <f>+$D$9*E5</f>
        <v>27366.36</v>
      </c>
      <c r="F8" s="5">
        <f t="shared" ref="F8:P8" si="0">+$D$9*F5</f>
        <v>22805.300000000003</v>
      </c>
      <c r="G8" s="5">
        <f t="shared" si="0"/>
        <v>18244.240000000002</v>
      </c>
      <c r="H8" s="5">
        <f t="shared" si="0"/>
        <v>13683.18</v>
      </c>
      <c r="I8" s="5">
        <f t="shared" si="0"/>
        <v>13683.18</v>
      </c>
      <c r="J8" s="5">
        <f t="shared" si="0"/>
        <v>11402.650000000001</v>
      </c>
      <c r="K8" s="5">
        <f t="shared" si="0"/>
        <v>9122.1200000000008</v>
      </c>
      <c r="L8" s="5">
        <f t="shared" si="0"/>
        <v>6841.59</v>
      </c>
      <c r="M8" s="5">
        <f t="shared" si="0"/>
        <v>18244.240000000002</v>
      </c>
      <c r="N8" s="5">
        <f t="shared" si="0"/>
        <v>22805.300000000003</v>
      </c>
      <c r="O8" s="5">
        <f t="shared" si="0"/>
        <v>27366.36</v>
      </c>
      <c r="P8" s="5">
        <f t="shared" si="0"/>
        <v>36488.480000000003</v>
      </c>
      <c r="Q8" s="79">
        <f>SUM(E8:P8)</f>
        <v>228052.99999999997</v>
      </c>
      <c r="R8" s="6"/>
    </row>
    <row r="9" spans="3:18" ht="17.399999999999999" x14ac:dyDescent="0.3">
      <c r="C9" s="2" t="s">
        <v>3</v>
      </c>
      <c r="D9" s="78">
        <v>228053</v>
      </c>
    </row>
    <row r="10" spans="3:18" x14ac:dyDescent="0.3">
      <c r="C10" s="7">
        <v>0</v>
      </c>
      <c r="D10" s="8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9">
        <f>SUM(E10:P10)</f>
        <v>0</v>
      </c>
      <c r="R10" s="6"/>
    </row>
    <row r="11" spans="3:18" x14ac:dyDescent="0.3">
      <c r="D11" s="9">
        <f>+'[1]Capital de Trabajo'!A14</f>
        <v>0</v>
      </c>
    </row>
    <row r="13" spans="3:18" x14ac:dyDescent="0.3">
      <c r="C13" s="10">
        <v>0.15</v>
      </c>
      <c r="D13" s="24" t="s">
        <v>5</v>
      </c>
      <c r="E13" s="5">
        <f>+E8*$C$13</f>
        <v>4104.9539999999997</v>
      </c>
      <c r="F13" s="5">
        <f t="shared" ref="F13:P13" si="1">+F8*$C$13</f>
        <v>3420.7950000000005</v>
      </c>
      <c r="G13" s="5">
        <f t="shared" si="1"/>
        <v>2736.636</v>
      </c>
      <c r="H13" s="5">
        <f t="shared" si="1"/>
        <v>2052.4769999999999</v>
      </c>
      <c r="I13" s="5">
        <f t="shared" si="1"/>
        <v>2052.4769999999999</v>
      </c>
      <c r="J13" s="5">
        <f t="shared" si="1"/>
        <v>1710.3975000000003</v>
      </c>
      <c r="K13" s="5">
        <f t="shared" si="1"/>
        <v>1368.318</v>
      </c>
      <c r="L13" s="5">
        <f t="shared" si="1"/>
        <v>1026.2384999999999</v>
      </c>
      <c r="M13" s="5">
        <f t="shared" si="1"/>
        <v>2736.636</v>
      </c>
      <c r="N13" s="5">
        <f t="shared" si="1"/>
        <v>3420.7950000000005</v>
      </c>
      <c r="O13" s="5">
        <f t="shared" si="1"/>
        <v>4104.9539999999997</v>
      </c>
      <c r="P13" s="5">
        <f t="shared" si="1"/>
        <v>5473.2719999999999</v>
      </c>
      <c r="Q13" s="5">
        <f>SUM(E13:P13)</f>
        <v>34207.949999999997</v>
      </c>
    </row>
    <row r="14" spans="3:18" x14ac:dyDescent="0.3">
      <c r="C14" s="10">
        <v>0.85</v>
      </c>
      <c r="D14" s="24" t="s">
        <v>6</v>
      </c>
      <c r="E14" s="5">
        <f>+$C$14*E8</f>
        <v>23261.405999999999</v>
      </c>
      <c r="F14" s="5">
        <f t="shared" ref="F14:P14" si="2">+$C$14*F8</f>
        <v>19384.505000000001</v>
      </c>
      <c r="G14" s="5">
        <f t="shared" si="2"/>
        <v>15507.604000000001</v>
      </c>
      <c r="H14" s="5">
        <f t="shared" si="2"/>
        <v>11630.703</v>
      </c>
      <c r="I14" s="5">
        <f t="shared" si="2"/>
        <v>11630.703</v>
      </c>
      <c r="J14" s="5">
        <f t="shared" si="2"/>
        <v>9692.2525000000005</v>
      </c>
      <c r="K14" s="5">
        <f t="shared" si="2"/>
        <v>7753.8020000000006</v>
      </c>
      <c r="L14" s="5">
        <f t="shared" si="2"/>
        <v>5815.3514999999998</v>
      </c>
      <c r="M14" s="5">
        <f t="shared" si="2"/>
        <v>15507.604000000001</v>
      </c>
      <c r="N14" s="5">
        <f t="shared" si="2"/>
        <v>19384.505000000001</v>
      </c>
      <c r="O14" s="5">
        <f t="shared" si="2"/>
        <v>23261.405999999999</v>
      </c>
      <c r="P14" s="5">
        <f t="shared" si="2"/>
        <v>31015.208000000002</v>
      </c>
      <c r="Q14" s="5">
        <f>SUM(E14:P14)</f>
        <v>193845.05</v>
      </c>
    </row>
    <row r="15" spans="3:18" x14ac:dyDescent="0.3">
      <c r="D15" s="11"/>
      <c r="E15" s="11"/>
      <c r="F15" s="11"/>
      <c r="Q15" s="79">
        <f>SUM(Q13:Q14)</f>
        <v>228053</v>
      </c>
    </row>
    <row r="16" spans="3:18" x14ac:dyDescent="0.3">
      <c r="D16" s="2" t="s">
        <v>7</v>
      </c>
    </row>
    <row r="17" spans="2:18" x14ac:dyDescent="0.3">
      <c r="D17" s="7">
        <v>0.55000000000000004</v>
      </c>
      <c r="E17" s="5">
        <f>+E8*$D$17</f>
        <v>15051.498000000001</v>
      </c>
      <c r="F17" s="5">
        <f t="shared" ref="F17:P17" si="3">+F8*$D$17</f>
        <v>12542.915000000003</v>
      </c>
      <c r="G17" s="5">
        <f t="shared" si="3"/>
        <v>10034.332000000002</v>
      </c>
      <c r="H17" s="5">
        <f t="shared" si="3"/>
        <v>7525.7490000000007</v>
      </c>
      <c r="I17" s="5">
        <f t="shared" si="3"/>
        <v>7525.7490000000007</v>
      </c>
      <c r="J17" s="5">
        <f t="shared" si="3"/>
        <v>6271.4575000000013</v>
      </c>
      <c r="K17" s="5">
        <f t="shared" si="3"/>
        <v>5017.1660000000011</v>
      </c>
      <c r="L17" s="5">
        <f t="shared" si="3"/>
        <v>3762.8745000000004</v>
      </c>
      <c r="M17" s="5">
        <f t="shared" si="3"/>
        <v>10034.332000000002</v>
      </c>
      <c r="N17" s="5">
        <f t="shared" si="3"/>
        <v>12542.915000000003</v>
      </c>
      <c r="O17" s="5">
        <f t="shared" si="3"/>
        <v>15051.498000000001</v>
      </c>
      <c r="P17" s="5">
        <f t="shared" si="3"/>
        <v>20068.664000000004</v>
      </c>
      <c r="Q17" s="5">
        <f>SUM(E17:P17)</f>
        <v>125429.15000000005</v>
      </c>
    </row>
    <row r="18" spans="2:18" ht="34.200000000000003" customHeight="1" x14ac:dyDescent="0.3">
      <c r="D18" s="80" t="s">
        <v>52</v>
      </c>
      <c r="E18" s="5">
        <f>+E8-E17</f>
        <v>12314.861999999999</v>
      </c>
      <c r="F18" s="5">
        <f t="shared" ref="F18:P18" si="4">+F8-F17</f>
        <v>10262.385</v>
      </c>
      <c r="G18" s="5">
        <f t="shared" si="4"/>
        <v>8209.9079999999994</v>
      </c>
      <c r="H18" s="5">
        <f t="shared" si="4"/>
        <v>6157.4309999999996</v>
      </c>
      <c r="I18" s="5">
        <f t="shared" si="4"/>
        <v>6157.4309999999996</v>
      </c>
      <c r="J18" s="5">
        <f t="shared" si="4"/>
        <v>5131.1925000000001</v>
      </c>
      <c r="K18" s="5">
        <f t="shared" si="4"/>
        <v>4104.9539999999997</v>
      </c>
      <c r="L18" s="5">
        <f t="shared" si="4"/>
        <v>3078.7154999999998</v>
      </c>
      <c r="M18" s="5">
        <f t="shared" si="4"/>
        <v>8209.9079999999994</v>
      </c>
      <c r="N18" s="5">
        <f t="shared" si="4"/>
        <v>10262.385</v>
      </c>
      <c r="O18" s="5">
        <f t="shared" si="4"/>
        <v>12314.861999999999</v>
      </c>
      <c r="P18" s="5">
        <f t="shared" si="4"/>
        <v>16419.815999999999</v>
      </c>
      <c r="Q18" s="5">
        <f>SUM(E18:P18)</f>
        <v>102623.84999999998</v>
      </c>
    </row>
    <row r="19" spans="2:18" x14ac:dyDescent="0.3">
      <c r="Q19" s="79">
        <f>SUM(Q17:Q18)</f>
        <v>228053.00000000003</v>
      </c>
    </row>
    <row r="20" spans="2:18" x14ac:dyDescent="0.3">
      <c r="D20" s="2" t="s">
        <v>8</v>
      </c>
    </row>
    <row r="21" spans="2:18" x14ac:dyDescent="0.3">
      <c r="D21" s="7">
        <f>100%-D17</f>
        <v>0.44999999999999996</v>
      </c>
      <c r="E21" s="5">
        <f>+$D$21*E8</f>
        <v>12314.861999999999</v>
      </c>
      <c r="F21" s="5">
        <f t="shared" ref="F21:P21" si="5">+$D$21*F8</f>
        <v>10262.385</v>
      </c>
      <c r="G21" s="5">
        <f t="shared" si="5"/>
        <v>8209.9079999999994</v>
      </c>
      <c r="H21" s="5">
        <f t="shared" si="5"/>
        <v>6157.4309999999996</v>
      </c>
      <c r="I21" s="5">
        <f t="shared" si="5"/>
        <v>6157.4309999999996</v>
      </c>
      <c r="J21" s="5">
        <f t="shared" si="5"/>
        <v>5131.1925000000001</v>
      </c>
      <c r="K21" s="5">
        <f t="shared" si="5"/>
        <v>4104.9539999999997</v>
      </c>
      <c r="L21" s="5">
        <f t="shared" si="5"/>
        <v>3078.7154999999998</v>
      </c>
      <c r="M21" s="5">
        <f t="shared" si="5"/>
        <v>8209.9079999999994</v>
      </c>
      <c r="N21" s="5">
        <f t="shared" si="5"/>
        <v>10262.385</v>
      </c>
      <c r="O21" s="5">
        <f t="shared" si="5"/>
        <v>12314.861999999999</v>
      </c>
      <c r="P21" s="5">
        <f t="shared" si="5"/>
        <v>16419.815999999999</v>
      </c>
      <c r="Q21" s="5">
        <f>SUM(E21:P21)</f>
        <v>102623.84999999998</v>
      </c>
    </row>
    <row r="23" spans="2:18" x14ac:dyDescent="0.3">
      <c r="D23" s="7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2:18" x14ac:dyDescent="0.3">
      <c r="D24" s="136" t="s">
        <v>9</v>
      </c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</row>
    <row r="25" spans="2:18" x14ac:dyDescent="0.3">
      <c r="B25" s="1" t="s">
        <v>10</v>
      </c>
      <c r="C25" s="1"/>
      <c r="D25" s="14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2:18" x14ac:dyDescent="0.3">
      <c r="B26" s="137" t="s">
        <v>55</v>
      </c>
      <c r="C26" s="138"/>
      <c r="D26" s="139"/>
    </row>
    <row r="27" spans="2:18" x14ac:dyDescent="0.3">
      <c r="B27" s="16" t="s">
        <v>12</v>
      </c>
      <c r="C27" s="17"/>
      <c r="D27" s="18"/>
    </row>
    <row r="28" spans="2:18" x14ac:dyDescent="0.3">
      <c r="B28" s="16" t="s">
        <v>12</v>
      </c>
      <c r="C28" s="16">
        <v>2022</v>
      </c>
      <c r="D28" s="83">
        <f>SUM(D29:D31)</f>
        <v>72694</v>
      </c>
      <c r="E28" s="19">
        <v>0.9</v>
      </c>
      <c r="F28" s="2" t="s">
        <v>13</v>
      </c>
    </row>
    <row r="29" spans="2:18" x14ac:dyDescent="0.3">
      <c r="B29" s="16" t="s">
        <v>14</v>
      </c>
      <c r="C29" s="16">
        <v>2022</v>
      </c>
      <c r="D29" s="82">
        <v>29018</v>
      </c>
      <c r="E29" s="19">
        <f>+'[1]Base de Datos'!E28</f>
        <v>0.4</v>
      </c>
      <c r="F29" s="2" t="s">
        <v>15</v>
      </c>
    </row>
    <row r="30" spans="2:18" x14ac:dyDescent="0.3">
      <c r="B30" s="16" t="s">
        <v>16</v>
      </c>
      <c r="C30" s="16">
        <v>2022</v>
      </c>
      <c r="D30" s="77">
        <v>38051</v>
      </c>
      <c r="E30" s="2" t="s">
        <v>17</v>
      </c>
    </row>
    <row r="31" spans="2:18" x14ac:dyDescent="0.3">
      <c r="B31" s="16" t="s">
        <v>18</v>
      </c>
      <c r="C31" s="16">
        <v>2022</v>
      </c>
      <c r="D31" s="81">
        <v>5625</v>
      </c>
      <c r="E31" s="2" t="s">
        <v>19</v>
      </c>
    </row>
    <row r="32" spans="2:18" x14ac:dyDescent="0.3">
      <c r="D32" s="13"/>
    </row>
    <row r="33" spans="2:17" x14ac:dyDescent="0.3">
      <c r="B33" s="16" t="s">
        <v>20</v>
      </c>
      <c r="C33" s="16">
        <v>2022</v>
      </c>
      <c r="D33" s="76">
        <v>5085</v>
      </c>
      <c r="E33" s="2" t="s">
        <v>21</v>
      </c>
    </row>
    <row r="34" spans="2:17" x14ac:dyDescent="0.3">
      <c r="D34" s="13"/>
    </row>
    <row r="35" spans="2:17" x14ac:dyDescent="0.3">
      <c r="E35" s="20">
        <f t="shared" ref="E35:P35" si="6">+E7</f>
        <v>44562</v>
      </c>
      <c r="F35" s="20">
        <f t="shared" si="6"/>
        <v>44593</v>
      </c>
      <c r="G35" s="20">
        <f t="shared" si="6"/>
        <v>44621</v>
      </c>
      <c r="H35" s="20">
        <f t="shared" si="6"/>
        <v>44652</v>
      </c>
      <c r="I35" s="20">
        <f t="shared" si="6"/>
        <v>44682</v>
      </c>
      <c r="J35" s="20">
        <f t="shared" si="6"/>
        <v>44713</v>
      </c>
      <c r="K35" s="20">
        <f t="shared" si="6"/>
        <v>44743</v>
      </c>
      <c r="L35" s="20">
        <f t="shared" si="6"/>
        <v>44774</v>
      </c>
      <c r="M35" s="20">
        <f t="shared" si="6"/>
        <v>44805</v>
      </c>
      <c r="N35" s="20">
        <f t="shared" si="6"/>
        <v>44835</v>
      </c>
      <c r="O35" s="20">
        <f t="shared" si="6"/>
        <v>44866</v>
      </c>
      <c r="P35" s="20">
        <f t="shared" si="6"/>
        <v>44896</v>
      </c>
    </row>
    <row r="36" spans="2:17" x14ac:dyDescent="0.3">
      <c r="D36" s="21" t="str">
        <f>+[1]Resultados!C8</f>
        <v>Gastos Operativos</v>
      </c>
    </row>
    <row r="37" spans="2:17" x14ac:dyDescent="0.3">
      <c r="D37" s="2" t="str">
        <f>+[1]Resultados!C9</f>
        <v>Gasto Ventas</v>
      </c>
      <c r="E37" s="84">
        <f>+$D$29*E5</f>
        <v>3482.16</v>
      </c>
      <c r="F37" s="84">
        <f t="shared" ref="F37:P37" si="7">+$D$29*F5</f>
        <v>2901.8</v>
      </c>
      <c r="G37" s="84">
        <f t="shared" si="7"/>
        <v>2321.44</v>
      </c>
      <c r="H37" s="84">
        <f t="shared" si="7"/>
        <v>1741.08</v>
      </c>
      <c r="I37" s="84">
        <f t="shared" si="7"/>
        <v>1741.08</v>
      </c>
      <c r="J37" s="84">
        <f t="shared" si="7"/>
        <v>1450.9</v>
      </c>
      <c r="K37" s="84">
        <f t="shared" si="7"/>
        <v>1160.72</v>
      </c>
      <c r="L37" s="84">
        <f t="shared" si="7"/>
        <v>870.54</v>
      </c>
      <c r="M37" s="84">
        <f t="shared" si="7"/>
        <v>2321.44</v>
      </c>
      <c r="N37" s="84">
        <f t="shared" si="7"/>
        <v>2901.8</v>
      </c>
      <c r="O37" s="84">
        <f t="shared" si="7"/>
        <v>3482.16</v>
      </c>
      <c r="P37" s="84">
        <f t="shared" si="7"/>
        <v>4642.88</v>
      </c>
      <c r="Q37" s="85">
        <f>SUM(E37:P37)</f>
        <v>29017.999999999996</v>
      </c>
    </row>
    <row r="38" spans="2:17" x14ac:dyDescent="0.3">
      <c r="D38" s="2" t="str">
        <f>+[1]Resultados!C10</f>
        <v>Gasto Administrativo</v>
      </c>
      <c r="E38" s="86">
        <f>+$D$30*E5</f>
        <v>4566.12</v>
      </c>
      <c r="F38" s="86">
        <f t="shared" ref="F38:P38" si="8">+$D$30*F5</f>
        <v>3805.1000000000004</v>
      </c>
      <c r="G38" s="86">
        <f t="shared" si="8"/>
        <v>3044.08</v>
      </c>
      <c r="H38" s="86">
        <f t="shared" si="8"/>
        <v>2283.06</v>
      </c>
      <c r="I38" s="86">
        <f t="shared" si="8"/>
        <v>2283.06</v>
      </c>
      <c r="J38" s="86">
        <f t="shared" si="8"/>
        <v>1902.5500000000002</v>
      </c>
      <c r="K38" s="86">
        <f t="shared" si="8"/>
        <v>1522.04</v>
      </c>
      <c r="L38" s="86">
        <f t="shared" si="8"/>
        <v>1141.53</v>
      </c>
      <c r="M38" s="86">
        <f t="shared" si="8"/>
        <v>3044.08</v>
      </c>
      <c r="N38" s="86">
        <f t="shared" si="8"/>
        <v>3805.1000000000004</v>
      </c>
      <c r="O38" s="86">
        <f t="shared" si="8"/>
        <v>4566.12</v>
      </c>
      <c r="P38" s="86">
        <f t="shared" si="8"/>
        <v>6088.16</v>
      </c>
      <c r="Q38" s="87">
        <f>SUM(E38:P38)</f>
        <v>38051</v>
      </c>
    </row>
    <row r="39" spans="2:17" x14ac:dyDescent="0.3">
      <c r="D39" s="2" t="str">
        <f>+[1]Resultados!C11</f>
        <v>Depreciaciones</v>
      </c>
      <c r="E39" s="91">
        <f>+$D$31/12</f>
        <v>468.75</v>
      </c>
      <c r="F39" s="91">
        <f t="shared" ref="F39:P39" si="9">+$D$31/12</f>
        <v>468.75</v>
      </c>
      <c r="G39" s="91">
        <f t="shared" si="9"/>
        <v>468.75</v>
      </c>
      <c r="H39" s="91">
        <f t="shared" si="9"/>
        <v>468.75</v>
      </c>
      <c r="I39" s="91">
        <f t="shared" si="9"/>
        <v>468.75</v>
      </c>
      <c r="J39" s="91">
        <f t="shared" si="9"/>
        <v>468.75</v>
      </c>
      <c r="K39" s="91">
        <f t="shared" si="9"/>
        <v>468.75</v>
      </c>
      <c r="L39" s="91">
        <f t="shared" si="9"/>
        <v>468.75</v>
      </c>
      <c r="M39" s="91">
        <f t="shared" si="9"/>
        <v>468.75</v>
      </c>
      <c r="N39" s="91">
        <f t="shared" si="9"/>
        <v>468.75</v>
      </c>
      <c r="O39" s="91">
        <f t="shared" si="9"/>
        <v>468.75</v>
      </c>
      <c r="P39" s="91">
        <f t="shared" si="9"/>
        <v>468.75</v>
      </c>
      <c r="Q39" s="92">
        <f>SUM(E39:P39)</f>
        <v>5625</v>
      </c>
    </row>
    <row r="40" spans="2:17" x14ac:dyDescent="0.3">
      <c r="D40" s="22" t="str">
        <f>+[1]Resultados!C12</f>
        <v>Total Gasto Operativo</v>
      </c>
      <c r="E40" s="93">
        <f>SUM(E37:E39)</f>
        <v>8517.0299999999988</v>
      </c>
      <c r="F40" s="93">
        <f t="shared" ref="F40:P40" si="10">SUM(F37:F39)</f>
        <v>7175.6500000000005</v>
      </c>
      <c r="G40" s="93">
        <f t="shared" si="10"/>
        <v>5834.27</v>
      </c>
      <c r="H40" s="93">
        <f t="shared" si="10"/>
        <v>4492.8899999999994</v>
      </c>
      <c r="I40" s="93">
        <f t="shared" si="10"/>
        <v>4492.8899999999994</v>
      </c>
      <c r="J40" s="93">
        <f t="shared" si="10"/>
        <v>3822.2000000000003</v>
      </c>
      <c r="K40" s="93">
        <f t="shared" si="10"/>
        <v>3151.51</v>
      </c>
      <c r="L40" s="93">
        <f t="shared" si="10"/>
        <v>2480.8199999999997</v>
      </c>
      <c r="M40" s="93">
        <f t="shared" si="10"/>
        <v>5834.27</v>
      </c>
      <c r="N40" s="93">
        <f t="shared" si="10"/>
        <v>7175.6500000000005</v>
      </c>
      <c r="O40" s="93">
        <f t="shared" si="10"/>
        <v>8517.0299999999988</v>
      </c>
      <c r="P40" s="93">
        <f t="shared" si="10"/>
        <v>11199.79</v>
      </c>
      <c r="Q40" s="88">
        <f>SUM(E40:P40)</f>
        <v>72694</v>
      </c>
    </row>
    <row r="41" spans="2:17" x14ac:dyDescent="0.3">
      <c r="D41" s="2" t="s">
        <v>22</v>
      </c>
      <c r="E41" s="89">
        <f>+$D$33/12</f>
        <v>423.75</v>
      </c>
      <c r="F41" s="89">
        <f t="shared" ref="F41:P41" si="11">+$D$33/12</f>
        <v>423.75</v>
      </c>
      <c r="G41" s="89">
        <f t="shared" si="11"/>
        <v>423.75</v>
      </c>
      <c r="H41" s="89">
        <f t="shared" si="11"/>
        <v>423.75</v>
      </c>
      <c r="I41" s="89">
        <f t="shared" si="11"/>
        <v>423.75</v>
      </c>
      <c r="J41" s="89">
        <f t="shared" si="11"/>
        <v>423.75</v>
      </c>
      <c r="K41" s="89">
        <f t="shared" si="11"/>
        <v>423.75</v>
      </c>
      <c r="L41" s="89">
        <f t="shared" si="11"/>
        <v>423.75</v>
      </c>
      <c r="M41" s="89">
        <f t="shared" si="11"/>
        <v>423.75</v>
      </c>
      <c r="N41" s="89">
        <f t="shared" si="11"/>
        <v>423.75</v>
      </c>
      <c r="O41" s="89">
        <f t="shared" si="11"/>
        <v>423.75</v>
      </c>
      <c r="P41" s="89">
        <f t="shared" si="11"/>
        <v>423.75</v>
      </c>
      <c r="Q41" s="90">
        <f>SUM(E41:P41)</f>
        <v>5085</v>
      </c>
    </row>
    <row r="43" spans="2:17" x14ac:dyDescent="0.3">
      <c r="D43" s="2" t="s">
        <v>22</v>
      </c>
      <c r="E43" s="5">
        <v>427.93967605165943</v>
      </c>
      <c r="F43" s="5">
        <v>427.19623731014826</v>
      </c>
      <c r="G43" s="5">
        <v>426.44536418122203</v>
      </c>
      <c r="H43" s="5">
        <v>425.6869823210065</v>
      </c>
      <c r="I43" s="5">
        <v>424.92101664218887</v>
      </c>
      <c r="J43" s="5">
        <v>424.14739130658302</v>
      </c>
      <c r="K43" s="5">
        <v>423.36602971762113</v>
      </c>
      <c r="L43" s="5">
        <v>422.57685451276956</v>
      </c>
      <c r="M43" s="5">
        <v>421.77978755586958</v>
      </c>
      <c r="N43" s="5">
        <v>420.9747499294005</v>
      </c>
      <c r="O43" s="5">
        <v>420.1616619266668</v>
      </c>
      <c r="P43" s="5">
        <v>419.34044304390568</v>
      </c>
      <c r="Q43" s="12">
        <f>SUM(E43:P43)</f>
        <v>5084.5361944990418</v>
      </c>
    </row>
  </sheetData>
  <mergeCells count="4">
    <mergeCell ref="C2:R2"/>
    <mergeCell ref="D6:R6"/>
    <mergeCell ref="D24:R24"/>
    <mergeCell ref="B26:D26"/>
  </mergeCells>
  <pageMargins left="0.7" right="0.7" top="0.75" bottom="0.75" header="0.3" footer="0.3"/>
  <pageSetup orientation="portrait" horizontalDpi="30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7EC3-C2EF-4C8E-81D6-9C93EAD3CE12}">
  <dimension ref="B2:Q20"/>
  <sheetViews>
    <sheetView topLeftCell="C1" zoomScaleNormal="100" workbookViewId="0">
      <selection activeCell="H15" sqref="H15"/>
    </sheetView>
  </sheetViews>
  <sheetFormatPr baseColWidth="10" defaultRowHeight="15.6" x14ac:dyDescent="0.3"/>
  <cols>
    <col min="1" max="1" width="11.5546875" style="2"/>
    <col min="2" max="2" width="11.77734375" style="2" bestFit="1" customWidth="1"/>
    <col min="3" max="3" width="28.6640625" style="2" bestFit="1" customWidth="1"/>
    <col min="4" max="5" width="13.44140625" style="2" bestFit="1" customWidth="1"/>
    <col min="6" max="14" width="12.109375" style="2" bestFit="1" customWidth="1"/>
    <col min="15" max="15" width="12.21875" style="2" bestFit="1" customWidth="1"/>
    <col min="16" max="16" width="14.77734375" style="2" bestFit="1" customWidth="1"/>
    <col min="17" max="17" width="13.5546875" style="2" bestFit="1" customWidth="1"/>
    <col min="18" max="258" width="11.5546875" style="2"/>
    <col min="259" max="259" width="28.6640625" style="2" bestFit="1" customWidth="1"/>
    <col min="260" max="270" width="11.88671875" style="2" bestFit="1" customWidth="1"/>
    <col min="271" max="271" width="12" style="2" bestFit="1" customWidth="1"/>
    <col min="272" max="272" width="12.88671875" style="2" bestFit="1" customWidth="1"/>
    <col min="273" max="273" width="11.77734375" style="2" bestFit="1" customWidth="1"/>
    <col min="274" max="514" width="11.5546875" style="2"/>
    <col min="515" max="515" width="28.6640625" style="2" bestFit="1" customWidth="1"/>
    <col min="516" max="526" width="11.88671875" style="2" bestFit="1" customWidth="1"/>
    <col min="527" max="527" width="12" style="2" bestFit="1" customWidth="1"/>
    <col min="528" max="528" width="12.88671875" style="2" bestFit="1" customWidth="1"/>
    <col min="529" max="529" width="11.77734375" style="2" bestFit="1" customWidth="1"/>
    <col min="530" max="770" width="11.5546875" style="2"/>
    <col min="771" max="771" width="28.6640625" style="2" bestFit="1" customWidth="1"/>
    <col min="772" max="782" width="11.88671875" style="2" bestFit="1" customWidth="1"/>
    <col min="783" max="783" width="12" style="2" bestFit="1" customWidth="1"/>
    <col min="784" max="784" width="12.88671875" style="2" bestFit="1" customWidth="1"/>
    <col min="785" max="785" width="11.77734375" style="2" bestFit="1" customWidth="1"/>
    <col min="786" max="1026" width="11.5546875" style="2"/>
    <col min="1027" max="1027" width="28.6640625" style="2" bestFit="1" customWidth="1"/>
    <col min="1028" max="1038" width="11.88671875" style="2" bestFit="1" customWidth="1"/>
    <col min="1039" max="1039" width="12" style="2" bestFit="1" customWidth="1"/>
    <col min="1040" max="1040" width="12.88671875" style="2" bestFit="1" customWidth="1"/>
    <col min="1041" max="1041" width="11.77734375" style="2" bestFit="1" customWidth="1"/>
    <col min="1042" max="1282" width="11.5546875" style="2"/>
    <col min="1283" max="1283" width="28.6640625" style="2" bestFit="1" customWidth="1"/>
    <col min="1284" max="1294" width="11.88671875" style="2" bestFit="1" customWidth="1"/>
    <col min="1295" max="1295" width="12" style="2" bestFit="1" customWidth="1"/>
    <col min="1296" max="1296" width="12.88671875" style="2" bestFit="1" customWidth="1"/>
    <col min="1297" max="1297" width="11.77734375" style="2" bestFit="1" customWidth="1"/>
    <col min="1298" max="1538" width="11.5546875" style="2"/>
    <col min="1539" max="1539" width="28.6640625" style="2" bestFit="1" customWidth="1"/>
    <col min="1540" max="1550" width="11.88671875" style="2" bestFit="1" customWidth="1"/>
    <col min="1551" max="1551" width="12" style="2" bestFit="1" customWidth="1"/>
    <col min="1552" max="1552" width="12.88671875" style="2" bestFit="1" customWidth="1"/>
    <col min="1553" max="1553" width="11.77734375" style="2" bestFit="1" customWidth="1"/>
    <col min="1554" max="1794" width="11.5546875" style="2"/>
    <col min="1795" max="1795" width="28.6640625" style="2" bestFit="1" customWidth="1"/>
    <col min="1796" max="1806" width="11.88671875" style="2" bestFit="1" customWidth="1"/>
    <col min="1807" max="1807" width="12" style="2" bestFit="1" customWidth="1"/>
    <col min="1808" max="1808" width="12.88671875" style="2" bestFit="1" customWidth="1"/>
    <col min="1809" max="1809" width="11.77734375" style="2" bestFit="1" customWidth="1"/>
    <col min="1810" max="2050" width="11.5546875" style="2"/>
    <col min="2051" max="2051" width="28.6640625" style="2" bestFit="1" customWidth="1"/>
    <col min="2052" max="2062" width="11.88671875" style="2" bestFit="1" customWidth="1"/>
    <col min="2063" max="2063" width="12" style="2" bestFit="1" customWidth="1"/>
    <col min="2064" max="2064" width="12.88671875" style="2" bestFit="1" customWidth="1"/>
    <col min="2065" max="2065" width="11.77734375" style="2" bestFit="1" customWidth="1"/>
    <col min="2066" max="2306" width="11.5546875" style="2"/>
    <col min="2307" max="2307" width="28.6640625" style="2" bestFit="1" customWidth="1"/>
    <col min="2308" max="2318" width="11.88671875" style="2" bestFit="1" customWidth="1"/>
    <col min="2319" max="2319" width="12" style="2" bestFit="1" customWidth="1"/>
    <col min="2320" max="2320" width="12.88671875" style="2" bestFit="1" customWidth="1"/>
    <col min="2321" max="2321" width="11.77734375" style="2" bestFit="1" customWidth="1"/>
    <col min="2322" max="2562" width="11.5546875" style="2"/>
    <col min="2563" max="2563" width="28.6640625" style="2" bestFit="1" customWidth="1"/>
    <col min="2564" max="2574" width="11.88671875" style="2" bestFit="1" customWidth="1"/>
    <col min="2575" max="2575" width="12" style="2" bestFit="1" customWidth="1"/>
    <col min="2576" max="2576" width="12.88671875" style="2" bestFit="1" customWidth="1"/>
    <col min="2577" max="2577" width="11.77734375" style="2" bestFit="1" customWidth="1"/>
    <col min="2578" max="2818" width="11.5546875" style="2"/>
    <col min="2819" max="2819" width="28.6640625" style="2" bestFit="1" customWidth="1"/>
    <col min="2820" max="2830" width="11.88671875" style="2" bestFit="1" customWidth="1"/>
    <col min="2831" max="2831" width="12" style="2" bestFit="1" customWidth="1"/>
    <col min="2832" max="2832" width="12.88671875" style="2" bestFit="1" customWidth="1"/>
    <col min="2833" max="2833" width="11.77734375" style="2" bestFit="1" customWidth="1"/>
    <col min="2834" max="3074" width="11.5546875" style="2"/>
    <col min="3075" max="3075" width="28.6640625" style="2" bestFit="1" customWidth="1"/>
    <col min="3076" max="3086" width="11.88671875" style="2" bestFit="1" customWidth="1"/>
    <col min="3087" max="3087" width="12" style="2" bestFit="1" customWidth="1"/>
    <col min="3088" max="3088" width="12.88671875" style="2" bestFit="1" customWidth="1"/>
    <col min="3089" max="3089" width="11.77734375" style="2" bestFit="1" customWidth="1"/>
    <col min="3090" max="3330" width="11.5546875" style="2"/>
    <col min="3331" max="3331" width="28.6640625" style="2" bestFit="1" customWidth="1"/>
    <col min="3332" max="3342" width="11.88671875" style="2" bestFit="1" customWidth="1"/>
    <col min="3343" max="3343" width="12" style="2" bestFit="1" customWidth="1"/>
    <col min="3344" max="3344" width="12.88671875" style="2" bestFit="1" customWidth="1"/>
    <col min="3345" max="3345" width="11.77734375" style="2" bestFit="1" customWidth="1"/>
    <col min="3346" max="3586" width="11.5546875" style="2"/>
    <col min="3587" max="3587" width="28.6640625" style="2" bestFit="1" customWidth="1"/>
    <col min="3588" max="3598" width="11.88671875" style="2" bestFit="1" customWidth="1"/>
    <col min="3599" max="3599" width="12" style="2" bestFit="1" customWidth="1"/>
    <col min="3600" max="3600" width="12.88671875" style="2" bestFit="1" customWidth="1"/>
    <col min="3601" max="3601" width="11.77734375" style="2" bestFit="1" customWidth="1"/>
    <col min="3602" max="3842" width="11.5546875" style="2"/>
    <col min="3843" max="3843" width="28.6640625" style="2" bestFit="1" customWidth="1"/>
    <col min="3844" max="3854" width="11.88671875" style="2" bestFit="1" customWidth="1"/>
    <col min="3855" max="3855" width="12" style="2" bestFit="1" customWidth="1"/>
    <col min="3856" max="3856" width="12.88671875" style="2" bestFit="1" customWidth="1"/>
    <col min="3857" max="3857" width="11.77734375" style="2" bestFit="1" customWidth="1"/>
    <col min="3858" max="4098" width="11.5546875" style="2"/>
    <col min="4099" max="4099" width="28.6640625" style="2" bestFit="1" customWidth="1"/>
    <col min="4100" max="4110" width="11.88671875" style="2" bestFit="1" customWidth="1"/>
    <col min="4111" max="4111" width="12" style="2" bestFit="1" customWidth="1"/>
    <col min="4112" max="4112" width="12.88671875" style="2" bestFit="1" customWidth="1"/>
    <col min="4113" max="4113" width="11.77734375" style="2" bestFit="1" customWidth="1"/>
    <col min="4114" max="4354" width="11.5546875" style="2"/>
    <col min="4355" max="4355" width="28.6640625" style="2" bestFit="1" customWidth="1"/>
    <col min="4356" max="4366" width="11.88671875" style="2" bestFit="1" customWidth="1"/>
    <col min="4367" max="4367" width="12" style="2" bestFit="1" customWidth="1"/>
    <col min="4368" max="4368" width="12.88671875" style="2" bestFit="1" customWidth="1"/>
    <col min="4369" max="4369" width="11.77734375" style="2" bestFit="1" customWidth="1"/>
    <col min="4370" max="4610" width="11.5546875" style="2"/>
    <col min="4611" max="4611" width="28.6640625" style="2" bestFit="1" customWidth="1"/>
    <col min="4612" max="4622" width="11.88671875" style="2" bestFit="1" customWidth="1"/>
    <col min="4623" max="4623" width="12" style="2" bestFit="1" customWidth="1"/>
    <col min="4624" max="4624" width="12.88671875" style="2" bestFit="1" customWidth="1"/>
    <col min="4625" max="4625" width="11.77734375" style="2" bestFit="1" customWidth="1"/>
    <col min="4626" max="4866" width="11.5546875" style="2"/>
    <col min="4867" max="4867" width="28.6640625" style="2" bestFit="1" customWidth="1"/>
    <col min="4868" max="4878" width="11.88671875" style="2" bestFit="1" customWidth="1"/>
    <col min="4879" max="4879" width="12" style="2" bestFit="1" customWidth="1"/>
    <col min="4880" max="4880" width="12.88671875" style="2" bestFit="1" customWidth="1"/>
    <col min="4881" max="4881" width="11.77734375" style="2" bestFit="1" customWidth="1"/>
    <col min="4882" max="5122" width="11.5546875" style="2"/>
    <col min="5123" max="5123" width="28.6640625" style="2" bestFit="1" customWidth="1"/>
    <col min="5124" max="5134" width="11.88671875" style="2" bestFit="1" customWidth="1"/>
    <col min="5135" max="5135" width="12" style="2" bestFit="1" customWidth="1"/>
    <col min="5136" max="5136" width="12.88671875" style="2" bestFit="1" customWidth="1"/>
    <col min="5137" max="5137" width="11.77734375" style="2" bestFit="1" customWidth="1"/>
    <col min="5138" max="5378" width="11.5546875" style="2"/>
    <col min="5379" max="5379" width="28.6640625" style="2" bestFit="1" customWidth="1"/>
    <col min="5380" max="5390" width="11.88671875" style="2" bestFit="1" customWidth="1"/>
    <col min="5391" max="5391" width="12" style="2" bestFit="1" customWidth="1"/>
    <col min="5392" max="5392" width="12.88671875" style="2" bestFit="1" customWidth="1"/>
    <col min="5393" max="5393" width="11.77734375" style="2" bestFit="1" customWidth="1"/>
    <col min="5394" max="5634" width="11.5546875" style="2"/>
    <col min="5635" max="5635" width="28.6640625" style="2" bestFit="1" customWidth="1"/>
    <col min="5636" max="5646" width="11.88671875" style="2" bestFit="1" customWidth="1"/>
    <col min="5647" max="5647" width="12" style="2" bestFit="1" customWidth="1"/>
    <col min="5648" max="5648" width="12.88671875" style="2" bestFit="1" customWidth="1"/>
    <col min="5649" max="5649" width="11.77734375" style="2" bestFit="1" customWidth="1"/>
    <col min="5650" max="5890" width="11.5546875" style="2"/>
    <col min="5891" max="5891" width="28.6640625" style="2" bestFit="1" customWidth="1"/>
    <col min="5892" max="5902" width="11.88671875" style="2" bestFit="1" customWidth="1"/>
    <col min="5903" max="5903" width="12" style="2" bestFit="1" customWidth="1"/>
    <col min="5904" max="5904" width="12.88671875" style="2" bestFit="1" customWidth="1"/>
    <col min="5905" max="5905" width="11.77734375" style="2" bestFit="1" customWidth="1"/>
    <col min="5906" max="6146" width="11.5546875" style="2"/>
    <col min="6147" max="6147" width="28.6640625" style="2" bestFit="1" customWidth="1"/>
    <col min="6148" max="6158" width="11.88671875" style="2" bestFit="1" customWidth="1"/>
    <col min="6159" max="6159" width="12" style="2" bestFit="1" customWidth="1"/>
    <col min="6160" max="6160" width="12.88671875" style="2" bestFit="1" customWidth="1"/>
    <col min="6161" max="6161" width="11.77734375" style="2" bestFit="1" customWidth="1"/>
    <col min="6162" max="6402" width="11.5546875" style="2"/>
    <col min="6403" max="6403" width="28.6640625" style="2" bestFit="1" customWidth="1"/>
    <col min="6404" max="6414" width="11.88671875" style="2" bestFit="1" customWidth="1"/>
    <col min="6415" max="6415" width="12" style="2" bestFit="1" customWidth="1"/>
    <col min="6416" max="6416" width="12.88671875" style="2" bestFit="1" customWidth="1"/>
    <col min="6417" max="6417" width="11.77734375" style="2" bestFit="1" customWidth="1"/>
    <col min="6418" max="6658" width="11.5546875" style="2"/>
    <col min="6659" max="6659" width="28.6640625" style="2" bestFit="1" customWidth="1"/>
    <col min="6660" max="6670" width="11.88671875" style="2" bestFit="1" customWidth="1"/>
    <col min="6671" max="6671" width="12" style="2" bestFit="1" customWidth="1"/>
    <col min="6672" max="6672" width="12.88671875" style="2" bestFit="1" customWidth="1"/>
    <col min="6673" max="6673" width="11.77734375" style="2" bestFit="1" customWidth="1"/>
    <col min="6674" max="6914" width="11.5546875" style="2"/>
    <col min="6915" max="6915" width="28.6640625" style="2" bestFit="1" customWidth="1"/>
    <col min="6916" max="6926" width="11.88671875" style="2" bestFit="1" customWidth="1"/>
    <col min="6927" max="6927" width="12" style="2" bestFit="1" customWidth="1"/>
    <col min="6928" max="6928" width="12.88671875" style="2" bestFit="1" customWidth="1"/>
    <col min="6929" max="6929" width="11.77734375" style="2" bestFit="1" customWidth="1"/>
    <col min="6930" max="7170" width="11.5546875" style="2"/>
    <col min="7171" max="7171" width="28.6640625" style="2" bestFit="1" customWidth="1"/>
    <col min="7172" max="7182" width="11.88671875" style="2" bestFit="1" customWidth="1"/>
    <col min="7183" max="7183" width="12" style="2" bestFit="1" customWidth="1"/>
    <col min="7184" max="7184" width="12.88671875" style="2" bestFit="1" customWidth="1"/>
    <col min="7185" max="7185" width="11.77734375" style="2" bestFit="1" customWidth="1"/>
    <col min="7186" max="7426" width="11.5546875" style="2"/>
    <col min="7427" max="7427" width="28.6640625" style="2" bestFit="1" customWidth="1"/>
    <col min="7428" max="7438" width="11.88671875" style="2" bestFit="1" customWidth="1"/>
    <col min="7439" max="7439" width="12" style="2" bestFit="1" customWidth="1"/>
    <col min="7440" max="7440" width="12.88671875" style="2" bestFit="1" customWidth="1"/>
    <col min="7441" max="7441" width="11.77734375" style="2" bestFit="1" customWidth="1"/>
    <col min="7442" max="7682" width="11.5546875" style="2"/>
    <col min="7683" max="7683" width="28.6640625" style="2" bestFit="1" customWidth="1"/>
    <col min="7684" max="7694" width="11.88671875" style="2" bestFit="1" customWidth="1"/>
    <col min="7695" max="7695" width="12" style="2" bestFit="1" customWidth="1"/>
    <col min="7696" max="7696" width="12.88671875" style="2" bestFit="1" customWidth="1"/>
    <col min="7697" max="7697" width="11.77734375" style="2" bestFit="1" customWidth="1"/>
    <col min="7698" max="7938" width="11.5546875" style="2"/>
    <col min="7939" max="7939" width="28.6640625" style="2" bestFit="1" customWidth="1"/>
    <col min="7940" max="7950" width="11.88671875" style="2" bestFit="1" customWidth="1"/>
    <col min="7951" max="7951" width="12" style="2" bestFit="1" customWidth="1"/>
    <col min="7952" max="7952" width="12.88671875" style="2" bestFit="1" customWidth="1"/>
    <col min="7953" max="7953" width="11.77734375" style="2" bestFit="1" customWidth="1"/>
    <col min="7954" max="8194" width="11.5546875" style="2"/>
    <col min="8195" max="8195" width="28.6640625" style="2" bestFit="1" customWidth="1"/>
    <col min="8196" max="8206" width="11.88671875" style="2" bestFit="1" customWidth="1"/>
    <col min="8207" max="8207" width="12" style="2" bestFit="1" customWidth="1"/>
    <col min="8208" max="8208" width="12.88671875" style="2" bestFit="1" customWidth="1"/>
    <col min="8209" max="8209" width="11.77734375" style="2" bestFit="1" customWidth="1"/>
    <col min="8210" max="8450" width="11.5546875" style="2"/>
    <col min="8451" max="8451" width="28.6640625" style="2" bestFit="1" customWidth="1"/>
    <col min="8452" max="8462" width="11.88671875" style="2" bestFit="1" customWidth="1"/>
    <col min="8463" max="8463" width="12" style="2" bestFit="1" customWidth="1"/>
    <col min="8464" max="8464" width="12.88671875" style="2" bestFit="1" customWidth="1"/>
    <col min="8465" max="8465" width="11.77734375" style="2" bestFit="1" customWidth="1"/>
    <col min="8466" max="8706" width="11.5546875" style="2"/>
    <col min="8707" max="8707" width="28.6640625" style="2" bestFit="1" customWidth="1"/>
    <col min="8708" max="8718" width="11.88671875" style="2" bestFit="1" customWidth="1"/>
    <col min="8719" max="8719" width="12" style="2" bestFit="1" customWidth="1"/>
    <col min="8720" max="8720" width="12.88671875" style="2" bestFit="1" customWidth="1"/>
    <col min="8721" max="8721" width="11.77734375" style="2" bestFit="1" customWidth="1"/>
    <col min="8722" max="8962" width="11.5546875" style="2"/>
    <col min="8963" max="8963" width="28.6640625" style="2" bestFit="1" customWidth="1"/>
    <col min="8964" max="8974" width="11.88671875" style="2" bestFit="1" customWidth="1"/>
    <col min="8975" max="8975" width="12" style="2" bestFit="1" customWidth="1"/>
    <col min="8976" max="8976" width="12.88671875" style="2" bestFit="1" customWidth="1"/>
    <col min="8977" max="8977" width="11.77734375" style="2" bestFit="1" customWidth="1"/>
    <col min="8978" max="9218" width="11.5546875" style="2"/>
    <col min="9219" max="9219" width="28.6640625" style="2" bestFit="1" customWidth="1"/>
    <col min="9220" max="9230" width="11.88671875" style="2" bestFit="1" customWidth="1"/>
    <col min="9231" max="9231" width="12" style="2" bestFit="1" customWidth="1"/>
    <col min="9232" max="9232" width="12.88671875" style="2" bestFit="1" customWidth="1"/>
    <col min="9233" max="9233" width="11.77734375" style="2" bestFit="1" customWidth="1"/>
    <col min="9234" max="9474" width="11.5546875" style="2"/>
    <col min="9475" max="9475" width="28.6640625" style="2" bestFit="1" customWidth="1"/>
    <col min="9476" max="9486" width="11.88671875" style="2" bestFit="1" customWidth="1"/>
    <col min="9487" max="9487" width="12" style="2" bestFit="1" customWidth="1"/>
    <col min="9488" max="9488" width="12.88671875" style="2" bestFit="1" customWidth="1"/>
    <col min="9489" max="9489" width="11.77734375" style="2" bestFit="1" customWidth="1"/>
    <col min="9490" max="9730" width="11.5546875" style="2"/>
    <col min="9731" max="9731" width="28.6640625" style="2" bestFit="1" customWidth="1"/>
    <col min="9732" max="9742" width="11.88671875" style="2" bestFit="1" customWidth="1"/>
    <col min="9743" max="9743" width="12" style="2" bestFit="1" customWidth="1"/>
    <col min="9744" max="9744" width="12.88671875" style="2" bestFit="1" customWidth="1"/>
    <col min="9745" max="9745" width="11.77734375" style="2" bestFit="1" customWidth="1"/>
    <col min="9746" max="9986" width="11.5546875" style="2"/>
    <col min="9987" max="9987" width="28.6640625" style="2" bestFit="1" customWidth="1"/>
    <col min="9988" max="9998" width="11.88671875" style="2" bestFit="1" customWidth="1"/>
    <col min="9999" max="9999" width="12" style="2" bestFit="1" customWidth="1"/>
    <col min="10000" max="10000" width="12.88671875" style="2" bestFit="1" customWidth="1"/>
    <col min="10001" max="10001" width="11.77734375" style="2" bestFit="1" customWidth="1"/>
    <col min="10002" max="10242" width="11.5546875" style="2"/>
    <col min="10243" max="10243" width="28.6640625" style="2" bestFit="1" customWidth="1"/>
    <col min="10244" max="10254" width="11.88671875" style="2" bestFit="1" customWidth="1"/>
    <col min="10255" max="10255" width="12" style="2" bestFit="1" customWidth="1"/>
    <col min="10256" max="10256" width="12.88671875" style="2" bestFit="1" customWidth="1"/>
    <col min="10257" max="10257" width="11.77734375" style="2" bestFit="1" customWidth="1"/>
    <col min="10258" max="10498" width="11.5546875" style="2"/>
    <col min="10499" max="10499" width="28.6640625" style="2" bestFit="1" customWidth="1"/>
    <col min="10500" max="10510" width="11.88671875" style="2" bestFit="1" customWidth="1"/>
    <col min="10511" max="10511" width="12" style="2" bestFit="1" customWidth="1"/>
    <col min="10512" max="10512" width="12.88671875" style="2" bestFit="1" customWidth="1"/>
    <col min="10513" max="10513" width="11.77734375" style="2" bestFit="1" customWidth="1"/>
    <col min="10514" max="10754" width="11.5546875" style="2"/>
    <col min="10755" max="10755" width="28.6640625" style="2" bestFit="1" customWidth="1"/>
    <col min="10756" max="10766" width="11.88671875" style="2" bestFit="1" customWidth="1"/>
    <col min="10767" max="10767" width="12" style="2" bestFit="1" customWidth="1"/>
    <col min="10768" max="10768" width="12.88671875" style="2" bestFit="1" customWidth="1"/>
    <col min="10769" max="10769" width="11.77734375" style="2" bestFit="1" customWidth="1"/>
    <col min="10770" max="11010" width="11.5546875" style="2"/>
    <col min="11011" max="11011" width="28.6640625" style="2" bestFit="1" customWidth="1"/>
    <col min="11012" max="11022" width="11.88671875" style="2" bestFit="1" customWidth="1"/>
    <col min="11023" max="11023" width="12" style="2" bestFit="1" customWidth="1"/>
    <col min="11024" max="11024" width="12.88671875" style="2" bestFit="1" customWidth="1"/>
    <col min="11025" max="11025" width="11.77734375" style="2" bestFit="1" customWidth="1"/>
    <col min="11026" max="11266" width="11.5546875" style="2"/>
    <col min="11267" max="11267" width="28.6640625" style="2" bestFit="1" customWidth="1"/>
    <col min="11268" max="11278" width="11.88671875" style="2" bestFit="1" customWidth="1"/>
    <col min="11279" max="11279" width="12" style="2" bestFit="1" customWidth="1"/>
    <col min="11280" max="11280" width="12.88671875" style="2" bestFit="1" customWidth="1"/>
    <col min="11281" max="11281" width="11.77734375" style="2" bestFit="1" customWidth="1"/>
    <col min="11282" max="11522" width="11.5546875" style="2"/>
    <col min="11523" max="11523" width="28.6640625" style="2" bestFit="1" customWidth="1"/>
    <col min="11524" max="11534" width="11.88671875" style="2" bestFit="1" customWidth="1"/>
    <col min="11535" max="11535" width="12" style="2" bestFit="1" customWidth="1"/>
    <col min="11536" max="11536" width="12.88671875" style="2" bestFit="1" customWidth="1"/>
    <col min="11537" max="11537" width="11.77734375" style="2" bestFit="1" customWidth="1"/>
    <col min="11538" max="11778" width="11.5546875" style="2"/>
    <col min="11779" max="11779" width="28.6640625" style="2" bestFit="1" customWidth="1"/>
    <col min="11780" max="11790" width="11.88671875" style="2" bestFit="1" customWidth="1"/>
    <col min="11791" max="11791" width="12" style="2" bestFit="1" customWidth="1"/>
    <col min="11792" max="11792" width="12.88671875" style="2" bestFit="1" customWidth="1"/>
    <col min="11793" max="11793" width="11.77734375" style="2" bestFit="1" customWidth="1"/>
    <col min="11794" max="12034" width="11.5546875" style="2"/>
    <col min="12035" max="12035" width="28.6640625" style="2" bestFit="1" customWidth="1"/>
    <col min="12036" max="12046" width="11.88671875" style="2" bestFit="1" customWidth="1"/>
    <col min="12047" max="12047" width="12" style="2" bestFit="1" customWidth="1"/>
    <col min="12048" max="12048" width="12.88671875" style="2" bestFit="1" customWidth="1"/>
    <col min="12049" max="12049" width="11.77734375" style="2" bestFit="1" customWidth="1"/>
    <col min="12050" max="12290" width="11.5546875" style="2"/>
    <col min="12291" max="12291" width="28.6640625" style="2" bestFit="1" customWidth="1"/>
    <col min="12292" max="12302" width="11.88671875" style="2" bestFit="1" customWidth="1"/>
    <col min="12303" max="12303" width="12" style="2" bestFit="1" customWidth="1"/>
    <col min="12304" max="12304" width="12.88671875" style="2" bestFit="1" customWidth="1"/>
    <col min="12305" max="12305" width="11.77734375" style="2" bestFit="1" customWidth="1"/>
    <col min="12306" max="12546" width="11.5546875" style="2"/>
    <col min="12547" max="12547" width="28.6640625" style="2" bestFit="1" customWidth="1"/>
    <col min="12548" max="12558" width="11.88671875" style="2" bestFit="1" customWidth="1"/>
    <col min="12559" max="12559" width="12" style="2" bestFit="1" customWidth="1"/>
    <col min="12560" max="12560" width="12.88671875" style="2" bestFit="1" customWidth="1"/>
    <col min="12561" max="12561" width="11.77734375" style="2" bestFit="1" customWidth="1"/>
    <col min="12562" max="12802" width="11.5546875" style="2"/>
    <col min="12803" max="12803" width="28.6640625" style="2" bestFit="1" customWidth="1"/>
    <col min="12804" max="12814" width="11.88671875" style="2" bestFit="1" customWidth="1"/>
    <col min="12815" max="12815" width="12" style="2" bestFit="1" customWidth="1"/>
    <col min="12816" max="12816" width="12.88671875" style="2" bestFit="1" customWidth="1"/>
    <col min="12817" max="12817" width="11.77734375" style="2" bestFit="1" customWidth="1"/>
    <col min="12818" max="13058" width="11.5546875" style="2"/>
    <col min="13059" max="13059" width="28.6640625" style="2" bestFit="1" customWidth="1"/>
    <col min="13060" max="13070" width="11.88671875" style="2" bestFit="1" customWidth="1"/>
    <col min="13071" max="13071" width="12" style="2" bestFit="1" customWidth="1"/>
    <col min="13072" max="13072" width="12.88671875" style="2" bestFit="1" customWidth="1"/>
    <col min="13073" max="13073" width="11.77734375" style="2" bestFit="1" customWidth="1"/>
    <col min="13074" max="13314" width="11.5546875" style="2"/>
    <col min="13315" max="13315" width="28.6640625" style="2" bestFit="1" customWidth="1"/>
    <col min="13316" max="13326" width="11.88671875" style="2" bestFit="1" customWidth="1"/>
    <col min="13327" max="13327" width="12" style="2" bestFit="1" customWidth="1"/>
    <col min="13328" max="13328" width="12.88671875" style="2" bestFit="1" customWidth="1"/>
    <col min="13329" max="13329" width="11.77734375" style="2" bestFit="1" customWidth="1"/>
    <col min="13330" max="13570" width="11.5546875" style="2"/>
    <col min="13571" max="13571" width="28.6640625" style="2" bestFit="1" customWidth="1"/>
    <col min="13572" max="13582" width="11.88671875" style="2" bestFit="1" customWidth="1"/>
    <col min="13583" max="13583" width="12" style="2" bestFit="1" customWidth="1"/>
    <col min="13584" max="13584" width="12.88671875" style="2" bestFit="1" customWidth="1"/>
    <col min="13585" max="13585" width="11.77734375" style="2" bestFit="1" customWidth="1"/>
    <col min="13586" max="13826" width="11.5546875" style="2"/>
    <col min="13827" max="13827" width="28.6640625" style="2" bestFit="1" customWidth="1"/>
    <col min="13828" max="13838" width="11.88671875" style="2" bestFit="1" customWidth="1"/>
    <col min="13839" max="13839" width="12" style="2" bestFit="1" customWidth="1"/>
    <col min="13840" max="13840" width="12.88671875" style="2" bestFit="1" customWidth="1"/>
    <col min="13841" max="13841" width="11.77734375" style="2" bestFit="1" customWidth="1"/>
    <col min="13842" max="14082" width="11.5546875" style="2"/>
    <col min="14083" max="14083" width="28.6640625" style="2" bestFit="1" customWidth="1"/>
    <col min="14084" max="14094" width="11.88671875" style="2" bestFit="1" customWidth="1"/>
    <col min="14095" max="14095" width="12" style="2" bestFit="1" customWidth="1"/>
    <col min="14096" max="14096" width="12.88671875" style="2" bestFit="1" customWidth="1"/>
    <col min="14097" max="14097" width="11.77734375" style="2" bestFit="1" customWidth="1"/>
    <col min="14098" max="14338" width="11.5546875" style="2"/>
    <col min="14339" max="14339" width="28.6640625" style="2" bestFit="1" customWidth="1"/>
    <col min="14340" max="14350" width="11.88671875" style="2" bestFit="1" customWidth="1"/>
    <col min="14351" max="14351" width="12" style="2" bestFit="1" customWidth="1"/>
    <col min="14352" max="14352" width="12.88671875" style="2" bestFit="1" customWidth="1"/>
    <col min="14353" max="14353" width="11.77734375" style="2" bestFit="1" customWidth="1"/>
    <col min="14354" max="14594" width="11.5546875" style="2"/>
    <col min="14595" max="14595" width="28.6640625" style="2" bestFit="1" customWidth="1"/>
    <col min="14596" max="14606" width="11.88671875" style="2" bestFit="1" customWidth="1"/>
    <col min="14607" max="14607" width="12" style="2" bestFit="1" customWidth="1"/>
    <col min="14608" max="14608" width="12.88671875" style="2" bestFit="1" customWidth="1"/>
    <col min="14609" max="14609" width="11.77734375" style="2" bestFit="1" customWidth="1"/>
    <col min="14610" max="14850" width="11.5546875" style="2"/>
    <col min="14851" max="14851" width="28.6640625" style="2" bestFit="1" customWidth="1"/>
    <col min="14852" max="14862" width="11.88671875" style="2" bestFit="1" customWidth="1"/>
    <col min="14863" max="14863" width="12" style="2" bestFit="1" customWidth="1"/>
    <col min="14864" max="14864" width="12.88671875" style="2" bestFit="1" customWidth="1"/>
    <col min="14865" max="14865" width="11.77734375" style="2" bestFit="1" customWidth="1"/>
    <col min="14866" max="15106" width="11.5546875" style="2"/>
    <col min="15107" max="15107" width="28.6640625" style="2" bestFit="1" customWidth="1"/>
    <col min="15108" max="15118" width="11.88671875" style="2" bestFit="1" customWidth="1"/>
    <col min="15119" max="15119" width="12" style="2" bestFit="1" customWidth="1"/>
    <col min="15120" max="15120" width="12.88671875" style="2" bestFit="1" customWidth="1"/>
    <col min="15121" max="15121" width="11.77734375" style="2" bestFit="1" customWidth="1"/>
    <col min="15122" max="15362" width="11.5546875" style="2"/>
    <col min="15363" max="15363" width="28.6640625" style="2" bestFit="1" customWidth="1"/>
    <col min="15364" max="15374" width="11.88671875" style="2" bestFit="1" customWidth="1"/>
    <col min="15375" max="15375" width="12" style="2" bestFit="1" customWidth="1"/>
    <col min="15376" max="15376" width="12.88671875" style="2" bestFit="1" customWidth="1"/>
    <col min="15377" max="15377" width="11.77734375" style="2" bestFit="1" customWidth="1"/>
    <col min="15378" max="15618" width="11.5546875" style="2"/>
    <col min="15619" max="15619" width="28.6640625" style="2" bestFit="1" customWidth="1"/>
    <col min="15620" max="15630" width="11.88671875" style="2" bestFit="1" customWidth="1"/>
    <col min="15631" max="15631" width="12" style="2" bestFit="1" customWidth="1"/>
    <col min="15632" max="15632" width="12.88671875" style="2" bestFit="1" customWidth="1"/>
    <col min="15633" max="15633" width="11.77734375" style="2" bestFit="1" customWidth="1"/>
    <col min="15634" max="15874" width="11.5546875" style="2"/>
    <col min="15875" max="15875" width="28.6640625" style="2" bestFit="1" customWidth="1"/>
    <col min="15876" max="15886" width="11.88671875" style="2" bestFit="1" customWidth="1"/>
    <col min="15887" max="15887" width="12" style="2" bestFit="1" customWidth="1"/>
    <col min="15888" max="15888" width="12.88671875" style="2" bestFit="1" customWidth="1"/>
    <col min="15889" max="15889" width="11.77734375" style="2" bestFit="1" customWidth="1"/>
    <col min="15890" max="16130" width="11.5546875" style="2"/>
    <col min="16131" max="16131" width="28.6640625" style="2" bestFit="1" customWidth="1"/>
    <col min="16132" max="16142" width="11.88671875" style="2" bestFit="1" customWidth="1"/>
    <col min="16143" max="16143" width="12" style="2" bestFit="1" customWidth="1"/>
    <col min="16144" max="16144" width="12.88671875" style="2" bestFit="1" customWidth="1"/>
    <col min="16145" max="16145" width="11.77734375" style="2" bestFit="1" customWidth="1"/>
    <col min="16146" max="16384" width="11.5546875" style="2"/>
  </cols>
  <sheetData>
    <row r="2" spans="2:17" x14ac:dyDescent="0.3">
      <c r="C2" s="125" t="s">
        <v>53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</row>
    <row r="3" spans="2:17" x14ac:dyDescent="0.3">
      <c r="C3" s="27"/>
      <c r="D3" s="4">
        <v>44562</v>
      </c>
      <c r="E3" s="4">
        <v>44593</v>
      </c>
      <c r="F3" s="4">
        <v>44621</v>
      </c>
      <c r="G3" s="4">
        <v>44652</v>
      </c>
      <c r="H3" s="4">
        <v>44682</v>
      </c>
      <c r="I3" s="4">
        <v>44713</v>
      </c>
      <c r="J3" s="4">
        <v>44743</v>
      </c>
      <c r="K3" s="4">
        <v>44774</v>
      </c>
      <c r="L3" s="4">
        <v>44805</v>
      </c>
      <c r="M3" s="4">
        <v>44835</v>
      </c>
      <c r="N3" s="4">
        <v>44866</v>
      </c>
      <c r="O3" s="4">
        <v>44896</v>
      </c>
      <c r="P3" s="28" t="s">
        <v>23</v>
      </c>
    </row>
    <row r="4" spans="2:17" x14ac:dyDescent="0.3">
      <c r="C4" s="29" t="s">
        <v>24</v>
      </c>
      <c r="D4" s="94">
        <f>+'Plan de Ventas y gastos 2022'!E8</f>
        <v>27366.36</v>
      </c>
      <c r="E4" s="94">
        <f>+'Plan de Ventas y gastos 2022'!F8</f>
        <v>22805.300000000003</v>
      </c>
      <c r="F4" s="94">
        <f>+'Plan de Ventas y gastos 2022'!G8</f>
        <v>18244.240000000002</v>
      </c>
      <c r="G4" s="94">
        <f>+'Plan de Ventas y gastos 2022'!H8</f>
        <v>13683.18</v>
      </c>
      <c r="H4" s="94">
        <f>+'Plan de Ventas y gastos 2022'!I8</f>
        <v>13683.18</v>
      </c>
      <c r="I4" s="94">
        <f>+'Plan de Ventas y gastos 2022'!J8</f>
        <v>11402.650000000001</v>
      </c>
      <c r="J4" s="94">
        <f>+'Plan de Ventas y gastos 2022'!K8</f>
        <v>9122.1200000000008</v>
      </c>
      <c r="K4" s="94">
        <f>+'Plan de Ventas y gastos 2022'!L8</f>
        <v>6841.59</v>
      </c>
      <c r="L4" s="94">
        <f>+'Plan de Ventas y gastos 2022'!M8</f>
        <v>18244.240000000002</v>
      </c>
      <c r="M4" s="94">
        <f>+'Plan de Ventas y gastos 2022'!N8</f>
        <v>22805.300000000003</v>
      </c>
      <c r="N4" s="94">
        <f>+'Plan de Ventas y gastos 2022'!O8</f>
        <v>27366.36</v>
      </c>
      <c r="O4" s="94">
        <f>+'Plan de Ventas y gastos 2022'!P8</f>
        <v>36488.480000000003</v>
      </c>
      <c r="P4" s="30">
        <f>SUM(D4:O4)</f>
        <v>228052.99999999997</v>
      </c>
    </row>
    <row r="5" spans="2:17" x14ac:dyDescent="0.3">
      <c r="C5" s="31" t="s">
        <v>7</v>
      </c>
      <c r="D5" s="94">
        <f>+'Plan de Ventas y gastos 2022'!E17</f>
        <v>15051.498000000001</v>
      </c>
      <c r="E5" s="94">
        <f>+'Plan de Ventas y gastos 2022'!F17</f>
        <v>12542.915000000003</v>
      </c>
      <c r="F5" s="94">
        <f>+'Plan de Ventas y gastos 2022'!G17</f>
        <v>10034.332000000002</v>
      </c>
      <c r="G5" s="94">
        <f>+'Plan de Ventas y gastos 2022'!H17</f>
        <v>7525.7490000000007</v>
      </c>
      <c r="H5" s="94">
        <f>+'Plan de Ventas y gastos 2022'!I17</f>
        <v>7525.7490000000007</v>
      </c>
      <c r="I5" s="94">
        <f>+'Plan de Ventas y gastos 2022'!J17</f>
        <v>6271.4575000000013</v>
      </c>
      <c r="J5" s="94">
        <f>+'Plan de Ventas y gastos 2022'!K17</f>
        <v>5017.1660000000011</v>
      </c>
      <c r="K5" s="94">
        <f>+'Plan de Ventas y gastos 2022'!L17</f>
        <v>3762.8745000000004</v>
      </c>
      <c r="L5" s="94">
        <f>+'Plan de Ventas y gastos 2022'!M17</f>
        <v>10034.332000000002</v>
      </c>
      <c r="M5" s="94">
        <f>+'Plan de Ventas y gastos 2022'!N17</f>
        <v>12542.915000000003</v>
      </c>
      <c r="N5" s="94">
        <f>+'Plan de Ventas y gastos 2022'!O17</f>
        <v>15051.498000000001</v>
      </c>
      <c r="O5" s="94">
        <f>+'Plan de Ventas y gastos 2022'!P17</f>
        <v>20068.664000000004</v>
      </c>
      <c r="P5" s="95">
        <f>SUM(D5:O5)</f>
        <v>125429.15000000005</v>
      </c>
    </row>
    <row r="6" spans="2:17" x14ac:dyDescent="0.3">
      <c r="C6" s="117" t="s">
        <v>8</v>
      </c>
      <c r="D6" s="118">
        <f>+'Plan de Ventas y gastos 2022'!E21</f>
        <v>12314.861999999999</v>
      </c>
      <c r="E6" s="118">
        <f>+'Plan de Ventas y gastos 2022'!F21</f>
        <v>10262.385</v>
      </c>
      <c r="F6" s="118">
        <f>+'Plan de Ventas y gastos 2022'!G21</f>
        <v>8209.9079999999994</v>
      </c>
      <c r="G6" s="118">
        <f>+'Plan de Ventas y gastos 2022'!H21</f>
        <v>6157.4309999999996</v>
      </c>
      <c r="H6" s="118">
        <f>+'Plan de Ventas y gastos 2022'!I21</f>
        <v>6157.4309999999996</v>
      </c>
      <c r="I6" s="118">
        <f>+'Plan de Ventas y gastos 2022'!J21</f>
        <v>5131.1925000000001</v>
      </c>
      <c r="J6" s="118">
        <f>+'Plan de Ventas y gastos 2022'!K21</f>
        <v>4104.9539999999997</v>
      </c>
      <c r="K6" s="118">
        <f>+'Plan de Ventas y gastos 2022'!L21</f>
        <v>3078.7154999999998</v>
      </c>
      <c r="L6" s="118">
        <f>+'Plan de Ventas y gastos 2022'!M21</f>
        <v>8209.9079999999994</v>
      </c>
      <c r="M6" s="118">
        <f>+'Plan de Ventas y gastos 2022'!N21</f>
        <v>10262.385</v>
      </c>
      <c r="N6" s="118">
        <f>+'Plan de Ventas y gastos 2022'!O21</f>
        <v>12314.861999999999</v>
      </c>
      <c r="O6" s="118">
        <f>+'Plan de Ventas y gastos 2022'!P21</f>
        <v>16419.815999999999</v>
      </c>
      <c r="P6" s="95">
        <f>SUM(D6:O6)</f>
        <v>102623.84999999998</v>
      </c>
      <c r="Q6" s="88">
        <f>+P5+P6</f>
        <v>228053.00000000003</v>
      </c>
    </row>
    <row r="7" spans="2:17" x14ac:dyDescent="0.3">
      <c r="C7" s="31" t="s">
        <v>25</v>
      </c>
      <c r="D7" s="32">
        <v>0.45</v>
      </c>
      <c r="E7" s="32">
        <v>0.45</v>
      </c>
      <c r="F7" s="32">
        <v>0.45</v>
      </c>
      <c r="G7" s="32">
        <v>0.45</v>
      </c>
      <c r="H7" s="32">
        <v>0.45</v>
      </c>
      <c r="I7" s="32">
        <v>0.45</v>
      </c>
      <c r="J7" s="32">
        <v>0.45</v>
      </c>
      <c r="K7" s="32">
        <v>0.45</v>
      </c>
      <c r="L7" s="32">
        <v>0.45</v>
      </c>
      <c r="M7" s="32">
        <v>0.45</v>
      </c>
      <c r="N7" s="32">
        <v>0.45</v>
      </c>
      <c r="O7" s="32">
        <v>0.45</v>
      </c>
      <c r="P7" s="32"/>
    </row>
    <row r="9" spans="2:17" x14ac:dyDescent="0.3">
      <c r="B9" s="33">
        <v>1</v>
      </c>
      <c r="C9" s="34" t="str">
        <f>+[1]Resultados!C8</f>
        <v>Gastos Operativos</v>
      </c>
      <c r="Q9" s="96" t="s">
        <v>26</v>
      </c>
    </row>
    <row r="10" spans="2:17" x14ac:dyDescent="0.3">
      <c r="B10" s="35" t="s">
        <v>27</v>
      </c>
      <c r="C10" s="108" t="str">
        <f>+[1]Resultados!C9</f>
        <v>Gasto Ventas</v>
      </c>
      <c r="D10" s="97">
        <f>+'Plan de Ventas y gastos 2022'!E37</f>
        <v>3482.16</v>
      </c>
      <c r="E10" s="97">
        <f>+'Plan de Ventas y gastos 2022'!F37</f>
        <v>2901.8</v>
      </c>
      <c r="F10" s="97">
        <f>+'Plan de Ventas y gastos 2022'!G37</f>
        <v>2321.44</v>
      </c>
      <c r="G10" s="97">
        <f>+'Plan de Ventas y gastos 2022'!H37</f>
        <v>1741.08</v>
      </c>
      <c r="H10" s="97">
        <f>+'Plan de Ventas y gastos 2022'!I37</f>
        <v>1741.08</v>
      </c>
      <c r="I10" s="97">
        <f>+'Plan de Ventas y gastos 2022'!J37</f>
        <v>1450.9</v>
      </c>
      <c r="J10" s="97">
        <f>+'Plan de Ventas y gastos 2022'!K37</f>
        <v>1160.72</v>
      </c>
      <c r="K10" s="97">
        <f>+'Plan de Ventas y gastos 2022'!L37</f>
        <v>870.54</v>
      </c>
      <c r="L10" s="97">
        <f>+'Plan de Ventas y gastos 2022'!M37</f>
        <v>2321.44</v>
      </c>
      <c r="M10" s="97">
        <f>+'Plan de Ventas y gastos 2022'!N37</f>
        <v>2901.8</v>
      </c>
      <c r="N10" s="97">
        <f>+'Plan de Ventas y gastos 2022'!O37</f>
        <v>3482.16</v>
      </c>
      <c r="O10" s="97">
        <f>+'Plan de Ventas y gastos 2022'!P37</f>
        <v>4642.88</v>
      </c>
      <c r="P10" s="98">
        <f>SUM(D10:O10)</f>
        <v>29017.999999999996</v>
      </c>
      <c r="Q10" s="105">
        <f>+'Plan de Ventas y gastos 2023'!D29</f>
        <v>29018</v>
      </c>
    </row>
    <row r="11" spans="2:17" x14ac:dyDescent="0.3">
      <c r="B11" s="35" t="s">
        <v>28</v>
      </c>
      <c r="C11" s="109" t="str">
        <f>+[1]Resultados!C10</f>
        <v>Gasto Administrativo</v>
      </c>
      <c r="D11" s="107">
        <f>+'Plan de Ventas y gastos 2022'!E38</f>
        <v>4566.12</v>
      </c>
      <c r="E11" s="107">
        <f>+'Plan de Ventas y gastos 2022'!F38</f>
        <v>3805.1000000000004</v>
      </c>
      <c r="F11" s="107">
        <f>+'Plan de Ventas y gastos 2022'!G38</f>
        <v>3044.08</v>
      </c>
      <c r="G11" s="107">
        <f>+'Plan de Ventas y gastos 2022'!H38</f>
        <v>2283.06</v>
      </c>
      <c r="H11" s="107">
        <f>+'Plan de Ventas y gastos 2022'!I38</f>
        <v>2283.06</v>
      </c>
      <c r="I11" s="107">
        <f>+'Plan de Ventas y gastos 2022'!J38</f>
        <v>1902.5500000000002</v>
      </c>
      <c r="J11" s="107">
        <f>+'Plan de Ventas y gastos 2022'!K38</f>
        <v>1522.04</v>
      </c>
      <c r="K11" s="107">
        <f>+'Plan de Ventas y gastos 2022'!L38</f>
        <v>1141.53</v>
      </c>
      <c r="L11" s="107">
        <f>+'Plan de Ventas y gastos 2022'!M38</f>
        <v>3044.08</v>
      </c>
      <c r="M11" s="107">
        <f>+'Plan de Ventas y gastos 2022'!N38</f>
        <v>3805.1000000000004</v>
      </c>
      <c r="N11" s="107">
        <f>+'Plan de Ventas y gastos 2022'!O38</f>
        <v>4566.12</v>
      </c>
      <c r="O11" s="107">
        <f>+'Plan de Ventas y gastos 2022'!P38</f>
        <v>6088.16</v>
      </c>
      <c r="P11" s="98">
        <f>SUM(D11:O11)</f>
        <v>38051</v>
      </c>
      <c r="Q11" s="106">
        <f>+'Plan de Ventas y gastos 2023'!D30</f>
        <v>38051</v>
      </c>
    </row>
    <row r="12" spans="2:17" x14ac:dyDescent="0.3">
      <c r="B12" s="35" t="s">
        <v>29</v>
      </c>
      <c r="C12" s="110" t="str">
        <f>+[1]Resultados!C11</f>
        <v>Depreciaciones</v>
      </c>
      <c r="D12" s="111">
        <f>+'Plan de Ventas y gastos 2022'!E39</f>
        <v>468.75</v>
      </c>
      <c r="E12" s="111">
        <f>+'Plan de Ventas y gastos 2022'!F39</f>
        <v>468.75</v>
      </c>
      <c r="F12" s="111">
        <f>+'Plan de Ventas y gastos 2022'!G39</f>
        <v>468.75</v>
      </c>
      <c r="G12" s="111">
        <f>+'Plan de Ventas y gastos 2022'!H39</f>
        <v>468.75</v>
      </c>
      <c r="H12" s="111">
        <f>+'Plan de Ventas y gastos 2022'!I39</f>
        <v>468.75</v>
      </c>
      <c r="I12" s="111">
        <f>+'Plan de Ventas y gastos 2022'!J39</f>
        <v>468.75</v>
      </c>
      <c r="J12" s="111">
        <f>+'Plan de Ventas y gastos 2022'!K39</f>
        <v>468.75</v>
      </c>
      <c r="K12" s="111">
        <f>+'Plan de Ventas y gastos 2022'!L39</f>
        <v>468.75</v>
      </c>
      <c r="L12" s="111">
        <f>+'Plan de Ventas y gastos 2022'!M39</f>
        <v>468.75</v>
      </c>
      <c r="M12" s="111">
        <f>+'Plan de Ventas y gastos 2022'!N39</f>
        <v>468.75</v>
      </c>
      <c r="N12" s="111">
        <f>+'Plan de Ventas y gastos 2022'!O39</f>
        <v>468.75</v>
      </c>
      <c r="O12" s="111">
        <f>+'Plan de Ventas y gastos 2022'!P39</f>
        <v>468.75</v>
      </c>
      <c r="P12" s="98">
        <f>SUM(D12:O12)</f>
        <v>5625</v>
      </c>
      <c r="Q12" s="114">
        <f>+'Plan de Ventas y gastos 2023'!D31</f>
        <v>5625</v>
      </c>
    </row>
    <row r="13" spans="2:17" x14ac:dyDescent="0.3">
      <c r="B13" s="33"/>
      <c r="C13" s="116" t="str">
        <f>+[1]Resultados!C12</f>
        <v>Total Gasto Operativo</v>
      </c>
      <c r="D13" s="115">
        <f>SUM(D10:D12)</f>
        <v>8517.0299999999988</v>
      </c>
      <c r="E13" s="115">
        <f t="shared" ref="E13:O13" si="0">SUM(E10:E12)</f>
        <v>7175.6500000000005</v>
      </c>
      <c r="F13" s="115">
        <f t="shared" si="0"/>
        <v>5834.27</v>
      </c>
      <c r="G13" s="115">
        <f t="shared" si="0"/>
        <v>4492.8899999999994</v>
      </c>
      <c r="H13" s="115">
        <f t="shared" si="0"/>
        <v>4492.8899999999994</v>
      </c>
      <c r="I13" s="115">
        <f t="shared" si="0"/>
        <v>3822.2000000000003</v>
      </c>
      <c r="J13" s="115">
        <f t="shared" si="0"/>
        <v>3151.51</v>
      </c>
      <c r="K13" s="115">
        <f t="shared" si="0"/>
        <v>2480.8199999999997</v>
      </c>
      <c r="L13" s="115">
        <f t="shared" si="0"/>
        <v>5834.27</v>
      </c>
      <c r="M13" s="115">
        <f t="shared" si="0"/>
        <v>7175.6500000000005</v>
      </c>
      <c r="N13" s="115">
        <f t="shared" si="0"/>
        <v>8517.0299999999988</v>
      </c>
      <c r="O13" s="115">
        <f t="shared" si="0"/>
        <v>11199.79</v>
      </c>
      <c r="P13" s="113">
        <f>SUM(P10:P12)</f>
        <v>72694</v>
      </c>
      <c r="Q13" s="88">
        <f>+'Plan de Ventas y gastos 2023'!D28</f>
        <v>72694</v>
      </c>
    </row>
    <row r="14" spans="2:17" x14ac:dyDescent="0.3">
      <c r="B14" s="23" t="s">
        <v>30</v>
      </c>
      <c r="C14" s="36" t="str">
        <f>+[1]Resultados!C13</f>
        <v>Utlidades Operativas</v>
      </c>
      <c r="D14" s="100">
        <f>+D6-D13</f>
        <v>3797.8320000000003</v>
      </c>
      <c r="E14" s="100">
        <f t="shared" ref="E14:O14" si="1">+E6-E13</f>
        <v>3086.7349999999997</v>
      </c>
      <c r="F14" s="100">
        <f t="shared" si="1"/>
        <v>2375.637999999999</v>
      </c>
      <c r="G14" s="100">
        <f t="shared" si="1"/>
        <v>1664.5410000000002</v>
      </c>
      <c r="H14" s="100">
        <f t="shared" si="1"/>
        <v>1664.5410000000002</v>
      </c>
      <c r="I14" s="100">
        <f t="shared" si="1"/>
        <v>1308.9924999999998</v>
      </c>
      <c r="J14" s="100">
        <f t="shared" si="1"/>
        <v>953.44399999999951</v>
      </c>
      <c r="K14" s="100">
        <f t="shared" si="1"/>
        <v>597.89550000000008</v>
      </c>
      <c r="L14" s="100">
        <f t="shared" si="1"/>
        <v>2375.637999999999</v>
      </c>
      <c r="M14" s="100">
        <f t="shared" si="1"/>
        <v>3086.7349999999997</v>
      </c>
      <c r="N14" s="100">
        <f t="shared" si="1"/>
        <v>3797.8320000000003</v>
      </c>
      <c r="O14" s="100">
        <f t="shared" si="1"/>
        <v>5220.025999999998</v>
      </c>
      <c r="P14" s="101"/>
      <c r="Q14" s="13"/>
    </row>
    <row r="15" spans="2:17" x14ac:dyDescent="0.3">
      <c r="B15" s="23">
        <v>2</v>
      </c>
      <c r="C15" s="120" t="str">
        <f>+[1]Resultados!C14</f>
        <v>Gasto Financiero</v>
      </c>
      <c r="D15" s="119">
        <f>+'Plan de Ventas y gastos 2022'!E41</f>
        <v>423.75</v>
      </c>
      <c r="E15" s="119">
        <f>+'Plan de Ventas y gastos 2022'!F41</f>
        <v>423.75</v>
      </c>
      <c r="F15" s="119">
        <f>+'Plan de Ventas y gastos 2022'!G41</f>
        <v>423.75</v>
      </c>
      <c r="G15" s="119">
        <f>+'Plan de Ventas y gastos 2022'!H41</f>
        <v>423.75</v>
      </c>
      <c r="H15" s="119">
        <f>+'Plan de Ventas y gastos 2022'!I41</f>
        <v>423.75</v>
      </c>
      <c r="I15" s="119">
        <f>+'Plan de Ventas y gastos 2022'!J41</f>
        <v>423.75</v>
      </c>
      <c r="J15" s="119">
        <f>+'Plan de Ventas y gastos 2022'!K41</f>
        <v>423.75</v>
      </c>
      <c r="K15" s="119">
        <f>+'Plan de Ventas y gastos 2022'!L41</f>
        <v>423.75</v>
      </c>
      <c r="L15" s="119">
        <f>+'Plan de Ventas y gastos 2022'!M41</f>
        <v>423.75</v>
      </c>
      <c r="M15" s="119">
        <f>+'Plan de Ventas y gastos 2022'!N41</f>
        <v>423.75</v>
      </c>
      <c r="N15" s="119">
        <f>+'Plan de Ventas y gastos 2022'!O41</f>
        <v>423.75</v>
      </c>
      <c r="O15" s="119">
        <f>+'Plan de Ventas y gastos 2022'!P41</f>
        <v>423.75</v>
      </c>
      <c r="P15" s="98">
        <f>SUM(D15:O15)</f>
        <v>5085</v>
      </c>
      <c r="Q15" s="121">
        <f>+'Plan de Ventas y gastos 2023'!D33</f>
        <v>5085</v>
      </c>
    </row>
    <row r="16" spans="2:17" ht="33.6" customHeight="1" x14ac:dyDescent="0.3">
      <c r="B16" s="23" t="s">
        <v>30</v>
      </c>
      <c r="C16" s="122" t="str">
        <f>+[1]Resultados!C15</f>
        <v>Utilidad antes de Impuestos</v>
      </c>
      <c r="D16" s="112">
        <f>+D14-D15</f>
        <v>3374.0820000000003</v>
      </c>
      <c r="E16" s="112">
        <f t="shared" ref="E16:O16" si="2">+E14-E15</f>
        <v>2662.9849999999997</v>
      </c>
      <c r="F16" s="112">
        <f t="shared" si="2"/>
        <v>1951.887999999999</v>
      </c>
      <c r="G16" s="112">
        <f t="shared" si="2"/>
        <v>1240.7910000000002</v>
      </c>
      <c r="H16" s="112">
        <f t="shared" si="2"/>
        <v>1240.7910000000002</v>
      </c>
      <c r="I16" s="112">
        <f t="shared" si="2"/>
        <v>885.24249999999984</v>
      </c>
      <c r="J16" s="112">
        <f t="shared" si="2"/>
        <v>529.69399999999951</v>
      </c>
      <c r="K16" s="112">
        <f t="shared" si="2"/>
        <v>174.14550000000008</v>
      </c>
      <c r="L16" s="112">
        <f t="shared" si="2"/>
        <v>1951.887999999999</v>
      </c>
      <c r="M16" s="112">
        <f t="shared" si="2"/>
        <v>2662.9849999999997</v>
      </c>
      <c r="N16" s="112">
        <f t="shared" si="2"/>
        <v>3374.0820000000003</v>
      </c>
      <c r="O16" s="112">
        <f t="shared" si="2"/>
        <v>4796.275999999998</v>
      </c>
      <c r="P16" s="113">
        <f>SUM(D16:O16)</f>
        <v>24844.85</v>
      </c>
      <c r="Q16" s="13"/>
    </row>
    <row r="17" spans="2:17" x14ac:dyDescent="0.3">
      <c r="B17" s="123">
        <v>0.3</v>
      </c>
      <c r="C17" s="22" t="str">
        <f>+[1]Resultados!C16</f>
        <v>Impuestos Renta</v>
      </c>
      <c r="D17" s="99">
        <f>+$B$17*D16</f>
        <v>1012.2246</v>
      </c>
      <c r="E17" s="99">
        <f t="shared" ref="E17:O17" si="3">+$B$17*E16</f>
        <v>798.89549999999986</v>
      </c>
      <c r="F17" s="99">
        <f t="shared" si="3"/>
        <v>585.5663999999997</v>
      </c>
      <c r="G17" s="99">
        <f t="shared" si="3"/>
        <v>372.23730000000006</v>
      </c>
      <c r="H17" s="99">
        <f t="shared" si="3"/>
        <v>372.23730000000006</v>
      </c>
      <c r="I17" s="99">
        <f t="shared" si="3"/>
        <v>265.57274999999993</v>
      </c>
      <c r="J17" s="99">
        <f t="shared" si="3"/>
        <v>158.90819999999985</v>
      </c>
      <c r="K17" s="99">
        <f t="shared" si="3"/>
        <v>52.243650000000024</v>
      </c>
      <c r="L17" s="99">
        <f t="shared" si="3"/>
        <v>585.5663999999997</v>
      </c>
      <c r="M17" s="99">
        <f t="shared" si="3"/>
        <v>798.89549999999986</v>
      </c>
      <c r="N17" s="99">
        <f t="shared" si="3"/>
        <v>1012.2246</v>
      </c>
      <c r="O17" s="99">
        <f t="shared" si="3"/>
        <v>1438.8827999999994</v>
      </c>
      <c r="P17" s="113">
        <f t="shared" ref="P17:P20" si="4">SUM(D17:O17)</f>
        <v>7453.4549999999981</v>
      </c>
      <c r="Q17" s="13"/>
    </row>
    <row r="18" spans="2:17" x14ac:dyDescent="0.3">
      <c r="C18" s="37" t="str">
        <f>+[1]Resultados!C17</f>
        <v>Utilidad Neta</v>
      </c>
      <c r="D18" s="102">
        <f>+D16-D17</f>
        <v>2361.8574000000003</v>
      </c>
      <c r="E18" s="102">
        <f t="shared" ref="E18:O18" si="5">+E16-E17</f>
        <v>1864.0894999999998</v>
      </c>
      <c r="F18" s="102">
        <f t="shared" si="5"/>
        <v>1366.3215999999993</v>
      </c>
      <c r="G18" s="102">
        <f t="shared" si="5"/>
        <v>868.55370000000016</v>
      </c>
      <c r="H18" s="102">
        <f t="shared" si="5"/>
        <v>868.55370000000016</v>
      </c>
      <c r="I18" s="102">
        <f t="shared" si="5"/>
        <v>619.66974999999991</v>
      </c>
      <c r="J18" s="102">
        <f t="shared" si="5"/>
        <v>370.78579999999965</v>
      </c>
      <c r="K18" s="102">
        <f t="shared" si="5"/>
        <v>121.90185000000005</v>
      </c>
      <c r="L18" s="102">
        <f t="shared" si="5"/>
        <v>1366.3215999999993</v>
      </c>
      <c r="M18" s="102">
        <f t="shared" si="5"/>
        <v>1864.0894999999998</v>
      </c>
      <c r="N18" s="102">
        <f t="shared" si="5"/>
        <v>2361.8574000000003</v>
      </c>
      <c r="O18" s="102">
        <f t="shared" si="5"/>
        <v>3357.3931999999986</v>
      </c>
      <c r="P18" s="124">
        <f>SUM(D18:O18)</f>
        <v>17391.394999999997</v>
      </c>
    </row>
    <row r="19" spans="2:17" x14ac:dyDescent="0.3">
      <c r="B19" s="123">
        <v>0.08</v>
      </c>
      <c r="C19" s="22" t="str">
        <f>+[1]Resultados!C18</f>
        <v>Dividendos</v>
      </c>
      <c r="D19" s="99">
        <f>+$B$19*D18</f>
        <v>188.94859200000002</v>
      </c>
      <c r="E19" s="99">
        <f t="shared" ref="E19:O19" si="6">+$B$19*E18</f>
        <v>149.12715999999998</v>
      </c>
      <c r="F19" s="99">
        <f t="shared" si="6"/>
        <v>109.30572799999995</v>
      </c>
      <c r="G19" s="99">
        <f t="shared" si="6"/>
        <v>69.484296000000015</v>
      </c>
      <c r="H19" s="99">
        <f t="shared" si="6"/>
        <v>69.484296000000015</v>
      </c>
      <c r="I19" s="99">
        <f t="shared" si="6"/>
        <v>49.573579999999993</v>
      </c>
      <c r="J19" s="99">
        <f t="shared" si="6"/>
        <v>29.662863999999974</v>
      </c>
      <c r="K19" s="99">
        <f t="shared" si="6"/>
        <v>9.7521480000000036</v>
      </c>
      <c r="L19" s="99">
        <f t="shared" si="6"/>
        <v>109.30572799999995</v>
      </c>
      <c r="M19" s="99">
        <f t="shared" si="6"/>
        <v>149.12715999999998</v>
      </c>
      <c r="N19" s="99">
        <f t="shared" si="6"/>
        <v>188.94859200000002</v>
      </c>
      <c r="O19" s="99">
        <f t="shared" si="6"/>
        <v>268.59145599999988</v>
      </c>
      <c r="P19" s="113">
        <f t="shared" si="4"/>
        <v>1391.3115999999998</v>
      </c>
    </row>
    <row r="20" spans="2:17" x14ac:dyDescent="0.3">
      <c r="C20" s="38" t="str">
        <f>+[1]Resultados!C19</f>
        <v>Utilidades Retenidas</v>
      </c>
      <c r="D20" s="103">
        <f>+D18-D19</f>
        <v>2172.9088080000001</v>
      </c>
      <c r="E20" s="103">
        <f t="shared" ref="E20:O20" si="7">+E18-E19</f>
        <v>1714.9623399999998</v>
      </c>
      <c r="F20" s="103">
        <f t="shared" si="7"/>
        <v>1257.0158719999993</v>
      </c>
      <c r="G20" s="103">
        <f t="shared" si="7"/>
        <v>799.06940400000019</v>
      </c>
      <c r="H20" s="103">
        <f t="shared" si="7"/>
        <v>799.06940400000019</v>
      </c>
      <c r="I20" s="103">
        <f t="shared" si="7"/>
        <v>570.09616999999992</v>
      </c>
      <c r="J20" s="103">
        <f t="shared" si="7"/>
        <v>341.1229359999997</v>
      </c>
      <c r="K20" s="103">
        <f t="shared" si="7"/>
        <v>112.14970200000005</v>
      </c>
      <c r="L20" s="103">
        <f t="shared" si="7"/>
        <v>1257.0158719999993</v>
      </c>
      <c r="M20" s="103">
        <f t="shared" si="7"/>
        <v>1714.9623399999998</v>
      </c>
      <c r="N20" s="103">
        <f t="shared" si="7"/>
        <v>2172.9088080000001</v>
      </c>
      <c r="O20" s="103">
        <f t="shared" si="7"/>
        <v>3088.8017439999985</v>
      </c>
      <c r="P20" s="104">
        <f t="shared" si="4"/>
        <v>16000.083399999996</v>
      </c>
      <c r="Q20" s="11"/>
    </row>
  </sheetData>
  <mergeCells count="1">
    <mergeCell ref="C2:P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7986-6C6B-462C-85C1-6F557414CB07}">
  <sheetPr>
    <tabColor rgb="FF0000CC"/>
  </sheetPr>
  <dimension ref="B2:R43"/>
  <sheetViews>
    <sheetView topLeftCell="B6" zoomScale="110" zoomScaleNormal="110" workbookViewId="0">
      <selection activeCell="D9" sqref="D9"/>
    </sheetView>
  </sheetViews>
  <sheetFormatPr baseColWidth="10" defaultRowHeight="15.6" x14ac:dyDescent="0.3"/>
  <cols>
    <col min="1" max="1" width="7.5546875" style="2" customWidth="1"/>
    <col min="2" max="2" width="25" style="2" customWidth="1"/>
    <col min="3" max="3" width="5.88671875" style="2" bestFit="1" customWidth="1"/>
    <col min="4" max="4" width="24.109375" style="2" customWidth="1"/>
    <col min="5" max="9" width="10.44140625" style="2" bestFit="1" customWidth="1"/>
    <col min="10" max="10" width="10.5546875" style="2" bestFit="1" customWidth="1"/>
    <col min="11" max="11" width="10.44140625" style="2" bestFit="1" customWidth="1"/>
    <col min="12" max="12" width="9.21875" style="2" bestFit="1" customWidth="1"/>
    <col min="13" max="16" width="10.44140625" style="2" bestFit="1" customWidth="1"/>
    <col min="17" max="17" width="11.6640625" style="2" bestFit="1" customWidth="1"/>
    <col min="18" max="18" width="11.77734375" style="2" bestFit="1" customWidth="1"/>
    <col min="19" max="257" width="11.5546875" style="2"/>
    <col min="258" max="258" width="19.6640625" style="2" bestFit="1" customWidth="1"/>
    <col min="259" max="259" width="5.6640625" style="2" bestFit="1" customWidth="1"/>
    <col min="260" max="260" width="18.6640625" style="2" bestFit="1" customWidth="1"/>
    <col min="261" max="263" width="9.21875" style="2" bestFit="1" customWidth="1"/>
    <col min="264" max="264" width="8.33203125" style="2" bestFit="1" customWidth="1"/>
    <col min="265" max="265" width="8.5546875" style="2" bestFit="1" customWidth="1"/>
    <col min="266" max="266" width="10.33203125" style="2" bestFit="1" customWidth="1"/>
    <col min="267" max="267" width="8.33203125" style="2" bestFit="1" customWidth="1"/>
    <col min="268" max="268" width="8.21875" style="2" bestFit="1" customWidth="1"/>
    <col min="269" max="272" width="9.21875" style="2" bestFit="1" customWidth="1"/>
    <col min="273" max="273" width="10.21875" style="2" bestFit="1" customWidth="1"/>
    <col min="274" max="513" width="11.5546875" style="2"/>
    <col min="514" max="514" width="19.6640625" style="2" bestFit="1" customWidth="1"/>
    <col min="515" max="515" width="5.6640625" style="2" bestFit="1" customWidth="1"/>
    <col min="516" max="516" width="18.6640625" style="2" bestFit="1" customWidth="1"/>
    <col min="517" max="519" width="9.21875" style="2" bestFit="1" customWidth="1"/>
    <col min="520" max="520" width="8.33203125" style="2" bestFit="1" customWidth="1"/>
    <col min="521" max="521" width="8.5546875" style="2" bestFit="1" customWidth="1"/>
    <col min="522" max="522" width="10.33203125" style="2" bestFit="1" customWidth="1"/>
    <col min="523" max="523" width="8.33203125" style="2" bestFit="1" customWidth="1"/>
    <col min="524" max="524" width="8.21875" style="2" bestFit="1" customWidth="1"/>
    <col min="525" max="528" width="9.21875" style="2" bestFit="1" customWidth="1"/>
    <col min="529" max="529" width="10.21875" style="2" bestFit="1" customWidth="1"/>
    <col min="530" max="769" width="11.5546875" style="2"/>
    <col min="770" max="770" width="19.6640625" style="2" bestFit="1" customWidth="1"/>
    <col min="771" max="771" width="5.6640625" style="2" bestFit="1" customWidth="1"/>
    <col min="772" max="772" width="18.6640625" style="2" bestFit="1" customWidth="1"/>
    <col min="773" max="775" width="9.21875" style="2" bestFit="1" customWidth="1"/>
    <col min="776" max="776" width="8.33203125" style="2" bestFit="1" customWidth="1"/>
    <col min="777" max="777" width="8.5546875" style="2" bestFit="1" customWidth="1"/>
    <col min="778" max="778" width="10.33203125" style="2" bestFit="1" customWidth="1"/>
    <col min="779" max="779" width="8.33203125" style="2" bestFit="1" customWidth="1"/>
    <col min="780" max="780" width="8.21875" style="2" bestFit="1" customWidth="1"/>
    <col min="781" max="784" width="9.21875" style="2" bestFit="1" customWidth="1"/>
    <col min="785" max="785" width="10.21875" style="2" bestFit="1" customWidth="1"/>
    <col min="786" max="1025" width="11.5546875" style="2"/>
    <col min="1026" max="1026" width="19.6640625" style="2" bestFit="1" customWidth="1"/>
    <col min="1027" max="1027" width="5.6640625" style="2" bestFit="1" customWidth="1"/>
    <col min="1028" max="1028" width="18.6640625" style="2" bestFit="1" customWidth="1"/>
    <col min="1029" max="1031" width="9.21875" style="2" bestFit="1" customWidth="1"/>
    <col min="1032" max="1032" width="8.33203125" style="2" bestFit="1" customWidth="1"/>
    <col min="1033" max="1033" width="8.5546875" style="2" bestFit="1" customWidth="1"/>
    <col min="1034" max="1034" width="10.33203125" style="2" bestFit="1" customWidth="1"/>
    <col min="1035" max="1035" width="8.33203125" style="2" bestFit="1" customWidth="1"/>
    <col min="1036" max="1036" width="8.21875" style="2" bestFit="1" customWidth="1"/>
    <col min="1037" max="1040" width="9.21875" style="2" bestFit="1" customWidth="1"/>
    <col min="1041" max="1041" width="10.21875" style="2" bestFit="1" customWidth="1"/>
    <col min="1042" max="1281" width="11.5546875" style="2"/>
    <col min="1282" max="1282" width="19.6640625" style="2" bestFit="1" customWidth="1"/>
    <col min="1283" max="1283" width="5.6640625" style="2" bestFit="1" customWidth="1"/>
    <col min="1284" max="1284" width="18.6640625" style="2" bestFit="1" customWidth="1"/>
    <col min="1285" max="1287" width="9.21875" style="2" bestFit="1" customWidth="1"/>
    <col min="1288" max="1288" width="8.33203125" style="2" bestFit="1" customWidth="1"/>
    <col min="1289" max="1289" width="8.5546875" style="2" bestFit="1" customWidth="1"/>
    <col min="1290" max="1290" width="10.33203125" style="2" bestFit="1" customWidth="1"/>
    <col min="1291" max="1291" width="8.33203125" style="2" bestFit="1" customWidth="1"/>
    <col min="1292" max="1292" width="8.21875" style="2" bestFit="1" customWidth="1"/>
    <col min="1293" max="1296" width="9.21875" style="2" bestFit="1" customWidth="1"/>
    <col min="1297" max="1297" width="10.21875" style="2" bestFit="1" customWidth="1"/>
    <col min="1298" max="1537" width="11.5546875" style="2"/>
    <col min="1538" max="1538" width="19.6640625" style="2" bestFit="1" customWidth="1"/>
    <col min="1539" max="1539" width="5.6640625" style="2" bestFit="1" customWidth="1"/>
    <col min="1540" max="1540" width="18.6640625" style="2" bestFit="1" customWidth="1"/>
    <col min="1541" max="1543" width="9.21875" style="2" bestFit="1" customWidth="1"/>
    <col min="1544" max="1544" width="8.33203125" style="2" bestFit="1" customWidth="1"/>
    <col min="1545" max="1545" width="8.5546875" style="2" bestFit="1" customWidth="1"/>
    <col min="1546" max="1546" width="10.33203125" style="2" bestFit="1" customWidth="1"/>
    <col min="1547" max="1547" width="8.33203125" style="2" bestFit="1" customWidth="1"/>
    <col min="1548" max="1548" width="8.21875" style="2" bestFit="1" customWidth="1"/>
    <col min="1549" max="1552" width="9.21875" style="2" bestFit="1" customWidth="1"/>
    <col min="1553" max="1553" width="10.21875" style="2" bestFit="1" customWidth="1"/>
    <col min="1554" max="1793" width="11.5546875" style="2"/>
    <col min="1794" max="1794" width="19.6640625" style="2" bestFit="1" customWidth="1"/>
    <col min="1795" max="1795" width="5.6640625" style="2" bestFit="1" customWidth="1"/>
    <col min="1796" max="1796" width="18.6640625" style="2" bestFit="1" customWidth="1"/>
    <col min="1797" max="1799" width="9.21875" style="2" bestFit="1" customWidth="1"/>
    <col min="1800" max="1800" width="8.33203125" style="2" bestFit="1" customWidth="1"/>
    <col min="1801" max="1801" width="8.5546875" style="2" bestFit="1" customWidth="1"/>
    <col min="1802" max="1802" width="10.33203125" style="2" bestFit="1" customWidth="1"/>
    <col min="1803" max="1803" width="8.33203125" style="2" bestFit="1" customWidth="1"/>
    <col min="1804" max="1804" width="8.21875" style="2" bestFit="1" customWidth="1"/>
    <col min="1805" max="1808" width="9.21875" style="2" bestFit="1" customWidth="1"/>
    <col min="1809" max="1809" width="10.21875" style="2" bestFit="1" customWidth="1"/>
    <col min="1810" max="2049" width="11.5546875" style="2"/>
    <col min="2050" max="2050" width="19.6640625" style="2" bestFit="1" customWidth="1"/>
    <col min="2051" max="2051" width="5.6640625" style="2" bestFit="1" customWidth="1"/>
    <col min="2052" max="2052" width="18.6640625" style="2" bestFit="1" customWidth="1"/>
    <col min="2053" max="2055" width="9.21875" style="2" bestFit="1" customWidth="1"/>
    <col min="2056" max="2056" width="8.33203125" style="2" bestFit="1" customWidth="1"/>
    <col min="2057" max="2057" width="8.5546875" style="2" bestFit="1" customWidth="1"/>
    <col min="2058" max="2058" width="10.33203125" style="2" bestFit="1" customWidth="1"/>
    <col min="2059" max="2059" width="8.33203125" style="2" bestFit="1" customWidth="1"/>
    <col min="2060" max="2060" width="8.21875" style="2" bestFit="1" customWidth="1"/>
    <col min="2061" max="2064" width="9.21875" style="2" bestFit="1" customWidth="1"/>
    <col min="2065" max="2065" width="10.21875" style="2" bestFit="1" customWidth="1"/>
    <col min="2066" max="2305" width="11.5546875" style="2"/>
    <col min="2306" max="2306" width="19.6640625" style="2" bestFit="1" customWidth="1"/>
    <col min="2307" max="2307" width="5.6640625" style="2" bestFit="1" customWidth="1"/>
    <col min="2308" max="2308" width="18.6640625" style="2" bestFit="1" customWidth="1"/>
    <col min="2309" max="2311" width="9.21875" style="2" bestFit="1" customWidth="1"/>
    <col min="2312" max="2312" width="8.33203125" style="2" bestFit="1" customWidth="1"/>
    <col min="2313" max="2313" width="8.5546875" style="2" bestFit="1" customWidth="1"/>
    <col min="2314" max="2314" width="10.33203125" style="2" bestFit="1" customWidth="1"/>
    <col min="2315" max="2315" width="8.33203125" style="2" bestFit="1" customWidth="1"/>
    <col min="2316" max="2316" width="8.21875" style="2" bestFit="1" customWidth="1"/>
    <col min="2317" max="2320" width="9.21875" style="2" bestFit="1" customWidth="1"/>
    <col min="2321" max="2321" width="10.21875" style="2" bestFit="1" customWidth="1"/>
    <col min="2322" max="2561" width="11.5546875" style="2"/>
    <col min="2562" max="2562" width="19.6640625" style="2" bestFit="1" customWidth="1"/>
    <col min="2563" max="2563" width="5.6640625" style="2" bestFit="1" customWidth="1"/>
    <col min="2564" max="2564" width="18.6640625" style="2" bestFit="1" customWidth="1"/>
    <col min="2565" max="2567" width="9.21875" style="2" bestFit="1" customWidth="1"/>
    <col min="2568" max="2568" width="8.33203125" style="2" bestFit="1" customWidth="1"/>
    <col min="2569" max="2569" width="8.5546875" style="2" bestFit="1" customWidth="1"/>
    <col min="2570" max="2570" width="10.33203125" style="2" bestFit="1" customWidth="1"/>
    <col min="2571" max="2571" width="8.33203125" style="2" bestFit="1" customWidth="1"/>
    <col min="2572" max="2572" width="8.21875" style="2" bestFit="1" customWidth="1"/>
    <col min="2573" max="2576" width="9.21875" style="2" bestFit="1" customWidth="1"/>
    <col min="2577" max="2577" width="10.21875" style="2" bestFit="1" customWidth="1"/>
    <col min="2578" max="2817" width="11.5546875" style="2"/>
    <col min="2818" max="2818" width="19.6640625" style="2" bestFit="1" customWidth="1"/>
    <col min="2819" max="2819" width="5.6640625" style="2" bestFit="1" customWidth="1"/>
    <col min="2820" max="2820" width="18.6640625" style="2" bestFit="1" customWidth="1"/>
    <col min="2821" max="2823" width="9.21875" style="2" bestFit="1" customWidth="1"/>
    <col min="2824" max="2824" width="8.33203125" style="2" bestFit="1" customWidth="1"/>
    <col min="2825" max="2825" width="8.5546875" style="2" bestFit="1" customWidth="1"/>
    <col min="2826" max="2826" width="10.33203125" style="2" bestFit="1" customWidth="1"/>
    <col min="2827" max="2827" width="8.33203125" style="2" bestFit="1" customWidth="1"/>
    <col min="2828" max="2828" width="8.21875" style="2" bestFit="1" customWidth="1"/>
    <col min="2829" max="2832" width="9.21875" style="2" bestFit="1" customWidth="1"/>
    <col min="2833" max="2833" width="10.21875" style="2" bestFit="1" customWidth="1"/>
    <col min="2834" max="3073" width="11.5546875" style="2"/>
    <col min="3074" max="3074" width="19.6640625" style="2" bestFit="1" customWidth="1"/>
    <col min="3075" max="3075" width="5.6640625" style="2" bestFit="1" customWidth="1"/>
    <col min="3076" max="3076" width="18.6640625" style="2" bestFit="1" customWidth="1"/>
    <col min="3077" max="3079" width="9.21875" style="2" bestFit="1" customWidth="1"/>
    <col min="3080" max="3080" width="8.33203125" style="2" bestFit="1" customWidth="1"/>
    <col min="3081" max="3081" width="8.5546875" style="2" bestFit="1" customWidth="1"/>
    <col min="3082" max="3082" width="10.33203125" style="2" bestFit="1" customWidth="1"/>
    <col min="3083" max="3083" width="8.33203125" style="2" bestFit="1" customWidth="1"/>
    <col min="3084" max="3084" width="8.21875" style="2" bestFit="1" customWidth="1"/>
    <col min="3085" max="3088" width="9.21875" style="2" bestFit="1" customWidth="1"/>
    <col min="3089" max="3089" width="10.21875" style="2" bestFit="1" customWidth="1"/>
    <col min="3090" max="3329" width="11.5546875" style="2"/>
    <col min="3330" max="3330" width="19.6640625" style="2" bestFit="1" customWidth="1"/>
    <col min="3331" max="3331" width="5.6640625" style="2" bestFit="1" customWidth="1"/>
    <col min="3332" max="3332" width="18.6640625" style="2" bestFit="1" customWidth="1"/>
    <col min="3333" max="3335" width="9.21875" style="2" bestFit="1" customWidth="1"/>
    <col min="3336" max="3336" width="8.33203125" style="2" bestFit="1" customWidth="1"/>
    <col min="3337" max="3337" width="8.5546875" style="2" bestFit="1" customWidth="1"/>
    <col min="3338" max="3338" width="10.33203125" style="2" bestFit="1" customWidth="1"/>
    <col min="3339" max="3339" width="8.33203125" style="2" bestFit="1" customWidth="1"/>
    <col min="3340" max="3340" width="8.21875" style="2" bestFit="1" customWidth="1"/>
    <col min="3341" max="3344" width="9.21875" style="2" bestFit="1" customWidth="1"/>
    <col min="3345" max="3345" width="10.21875" style="2" bestFit="1" customWidth="1"/>
    <col min="3346" max="3585" width="11.5546875" style="2"/>
    <col min="3586" max="3586" width="19.6640625" style="2" bestFit="1" customWidth="1"/>
    <col min="3587" max="3587" width="5.6640625" style="2" bestFit="1" customWidth="1"/>
    <col min="3588" max="3588" width="18.6640625" style="2" bestFit="1" customWidth="1"/>
    <col min="3589" max="3591" width="9.21875" style="2" bestFit="1" customWidth="1"/>
    <col min="3592" max="3592" width="8.33203125" style="2" bestFit="1" customWidth="1"/>
    <col min="3593" max="3593" width="8.5546875" style="2" bestFit="1" customWidth="1"/>
    <col min="3594" max="3594" width="10.33203125" style="2" bestFit="1" customWidth="1"/>
    <col min="3595" max="3595" width="8.33203125" style="2" bestFit="1" customWidth="1"/>
    <col min="3596" max="3596" width="8.21875" style="2" bestFit="1" customWidth="1"/>
    <col min="3597" max="3600" width="9.21875" style="2" bestFit="1" customWidth="1"/>
    <col min="3601" max="3601" width="10.21875" style="2" bestFit="1" customWidth="1"/>
    <col min="3602" max="3841" width="11.5546875" style="2"/>
    <col min="3842" max="3842" width="19.6640625" style="2" bestFit="1" customWidth="1"/>
    <col min="3843" max="3843" width="5.6640625" style="2" bestFit="1" customWidth="1"/>
    <col min="3844" max="3844" width="18.6640625" style="2" bestFit="1" customWidth="1"/>
    <col min="3845" max="3847" width="9.21875" style="2" bestFit="1" customWidth="1"/>
    <col min="3848" max="3848" width="8.33203125" style="2" bestFit="1" customWidth="1"/>
    <col min="3849" max="3849" width="8.5546875" style="2" bestFit="1" customWidth="1"/>
    <col min="3850" max="3850" width="10.33203125" style="2" bestFit="1" customWidth="1"/>
    <col min="3851" max="3851" width="8.33203125" style="2" bestFit="1" customWidth="1"/>
    <col min="3852" max="3852" width="8.21875" style="2" bestFit="1" customWidth="1"/>
    <col min="3853" max="3856" width="9.21875" style="2" bestFit="1" customWidth="1"/>
    <col min="3857" max="3857" width="10.21875" style="2" bestFit="1" customWidth="1"/>
    <col min="3858" max="4097" width="11.5546875" style="2"/>
    <col min="4098" max="4098" width="19.6640625" style="2" bestFit="1" customWidth="1"/>
    <col min="4099" max="4099" width="5.6640625" style="2" bestFit="1" customWidth="1"/>
    <col min="4100" max="4100" width="18.6640625" style="2" bestFit="1" customWidth="1"/>
    <col min="4101" max="4103" width="9.21875" style="2" bestFit="1" customWidth="1"/>
    <col min="4104" max="4104" width="8.33203125" style="2" bestFit="1" customWidth="1"/>
    <col min="4105" max="4105" width="8.5546875" style="2" bestFit="1" customWidth="1"/>
    <col min="4106" max="4106" width="10.33203125" style="2" bestFit="1" customWidth="1"/>
    <col min="4107" max="4107" width="8.33203125" style="2" bestFit="1" customWidth="1"/>
    <col min="4108" max="4108" width="8.21875" style="2" bestFit="1" customWidth="1"/>
    <col min="4109" max="4112" width="9.21875" style="2" bestFit="1" customWidth="1"/>
    <col min="4113" max="4113" width="10.21875" style="2" bestFit="1" customWidth="1"/>
    <col min="4114" max="4353" width="11.5546875" style="2"/>
    <col min="4354" max="4354" width="19.6640625" style="2" bestFit="1" customWidth="1"/>
    <col min="4355" max="4355" width="5.6640625" style="2" bestFit="1" customWidth="1"/>
    <col min="4356" max="4356" width="18.6640625" style="2" bestFit="1" customWidth="1"/>
    <col min="4357" max="4359" width="9.21875" style="2" bestFit="1" customWidth="1"/>
    <col min="4360" max="4360" width="8.33203125" style="2" bestFit="1" customWidth="1"/>
    <col min="4361" max="4361" width="8.5546875" style="2" bestFit="1" customWidth="1"/>
    <col min="4362" max="4362" width="10.33203125" style="2" bestFit="1" customWidth="1"/>
    <col min="4363" max="4363" width="8.33203125" style="2" bestFit="1" customWidth="1"/>
    <col min="4364" max="4364" width="8.21875" style="2" bestFit="1" customWidth="1"/>
    <col min="4365" max="4368" width="9.21875" style="2" bestFit="1" customWidth="1"/>
    <col min="4369" max="4369" width="10.21875" style="2" bestFit="1" customWidth="1"/>
    <col min="4370" max="4609" width="11.5546875" style="2"/>
    <col min="4610" max="4610" width="19.6640625" style="2" bestFit="1" customWidth="1"/>
    <col min="4611" max="4611" width="5.6640625" style="2" bestFit="1" customWidth="1"/>
    <col min="4612" max="4612" width="18.6640625" style="2" bestFit="1" customWidth="1"/>
    <col min="4613" max="4615" width="9.21875" style="2" bestFit="1" customWidth="1"/>
    <col min="4616" max="4616" width="8.33203125" style="2" bestFit="1" customWidth="1"/>
    <col min="4617" max="4617" width="8.5546875" style="2" bestFit="1" customWidth="1"/>
    <col min="4618" max="4618" width="10.33203125" style="2" bestFit="1" customWidth="1"/>
    <col min="4619" max="4619" width="8.33203125" style="2" bestFit="1" customWidth="1"/>
    <col min="4620" max="4620" width="8.21875" style="2" bestFit="1" customWidth="1"/>
    <col min="4621" max="4624" width="9.21875" style="2" bestFit="1" customWidth="1"/>
    <col min="4625" max="4625" width="10.21875" style="2" bestFit="1" customWidth="1"/>
    <col min="4626" max="4865" width="11.5546875" style="2"/>
    <col min="4866" max="4866" width="19.6640625" style="2" bestFit="1" customWidth="1"/>
    <col min="4867" max="4867" width="5.6640625" style="2" bestFit="1" customWidth="1"/>
    <col min="4868" max="4868" width="18.6640625" style="2" bestFit="1" customWidth="1"/>
    <col min="4869" max="4871" width="9.21875" style="2" bestFit="1" customWidth="1"/>
    <col min="4872" max="4872" width="8.33203125" style="2" bestFit="1" customWidth="1"/>
    <col min="4873" max="4873" width="8.5546875" style="2" bestFit="1" customWidth="1"/>
    <col min="4874" max="4874" width="10.33203125" style="2" bestFit="1" customWidth="1"/>
    <col min="4875" max="4875" width="8.33203125" style="2" bestFit="1" customWidth="1"/>
    <col min="4876" max="4876" width="8.21875" style="2" bestFit="1" customWidth="1"/>
    <col min="4877" max="4880" width="9.21875" style="2" bestFit="1" customWidth="1"/>
    <col min="4881" max="4881" width="10.21875" style="2" bestFit="1" customWidth="1"/>
    <col min="4882" max="5121" width="11.5546875" style="2"/>
    <col min="5122" max="5122" width="19.6640625" style="2" bestFit="1" customWidth="1"/>
    <col min="5123" max="5123" width="5.6640625" style="2" bestFit="1" customWidth="1"/>
    <col min="5124" max="5124" width="18.6640625" style="2" bestFit="1" customWidth="1"/>
    <col min="5125" max="5127" width="9.21875" style="2" bestFit="1" customWidth="1"/>
    <col min="5128" max="5128" width="8.33203125" style="2" bestFit="1" customWidth="1"/>
    <col min="5129" max="5129" width="8.5546875" style="2" bestFit="1" customWidth="1"/>
    <col min="5130" max="5130" width="10.33203125" style="2" bestFit="1" customWidth="1"/>
    <col min="5131" max="5131" width="8.33203125" style="2" bestFit="1" customWidth="1"/>
    <col min="5132" max="5132" width="8.21875" style="2" bestFit="1" customWidth="1"/>
    <col min="5133" max="5136" width="9.21875" style="2" bestFit="1" customWidth="1"/>
    <col min="5137" max="5137" width="10.21875" style="2" bestFit="1" customWidth="1"/>
    <col min="5138" max="5377" width="11.5546875" style="2"/>
    <col min="5378" max="5378" width="19.6640625" style="2" bestFit="1" customWidth="1"/>
    <col min="5379" max="5379" width="5.6640625" style="2" bestFit="1" customWidth="1"/>
    <col min="5380" max="5380" width="18.6640625" style="2" bestFit="1" customWidth="1"/>
    <col min="5381" max="5383" width="9.21875" style="2" bestFit="1" customWidth="1"/>
    <col min="5384" max="5384" width="8.33203125" style="2" bestFit="1" customWidth="1"/>
    <col min="5385" max="5385" width="8.5546875" style="2" bestFit="1" customWidth="1"/>
    <col min="5386" max="5386" width="10.33203125" style="2" bestFit="1" customWidth="1"/>
    <col min="5387" max="5387" width="8.33203125" style="2" bestFit="1" customWidth="1"/>
    <col min="5388" max="5388" width="8.21875" style="2" bestFit="1" customWidth="1"/>
    <col min="5389" max="5392" width="9.21875" style="2" bestFit="1" customWidth="1"/>
    <col min="5393" max="5393" width="10.21875" style="2" bestFit="1" customWidth="1"/>
    <col min="5394" max="5633" width="11.5546875" style="2"/>
    <col min="5634" max="5634" width="19.6640625" style="2" bestFit="1" customWidth="1"/>
    <col min="5635" max="5635" width="5.6640625" style="2" bestFit="1" customWidth="1"/>
    <col min="5636" max="5636" width="18.6640625" style="2" bestFit="1" customWidth="1"/>
    <col min="5637" max="5639" width="9.21875" style="2" bestFit="1" customWidth="1"/>
    <col min="5640" max="5640" width="8.33203125" style="2" bestFit="1" customWidth="1"/>
    <col min="5641" max="5641" width="8.5546875" style="2" bestFit="1" customWidth="1"/>
    <col min="5642" max="5642" width="10.33203125" style="2" bestFit="1" customWidth="1"/>
    <col min="5643" max="5643" width="8.33203125" style="2" bestFit="1" customWidth="1"/>
    <col min="5644" max="5644" width="8.21875" style="2" bestFit="1" customWidth="1"/>
    <col min="5645" max="5648" width="9.21875" style="2" bestFit="1" customWidth="1"/>
    <col min="5649" max="5649" width="10.21875" style="2" bestFit="1" customWidth="1"/>
    <col min="5650" max="5889" width="11.5546875" style="2"/>
    <col min="5890" max="5890" width="19.6640625" style="2" bestFit="1" customWidth="1"/>
    <col min="5891" max="5891" width="5.6640625" style="2" bestFit="1" customWidth="1"/>
    <col min="5892" max="5892" width="18.6640625" style="2" bestFit="1" customWidth="1"/>
    <col min="5893" max="5895" width="9.21875" style="2" bestFit="1" customWidth="1"/>
    <col min="5896" max="5896" width="8.33203125" style="2" bestFit="1" customWidth="1"/>
    <col min="5897" max="5897" width="8.5546875" style="2" bestFit="1" customWidth="1"/>
    <col min="5898" max="5898" width="10.33203125" style="2" bestFit="1" customWidth="1"/>
    <col min="5899" max="5899" width="8.33203125" style="2" bestFit="1" customWidth="1"/>
    <col min="5900" max="5900" width="8.21875" style="2" bestFit="1" customWidth="1"/>
    <col min="5901" max="5904" width="9.21875" style="2" bestFit="1" customWidth="1"/>
    <col min="5905" max="5905" width="10.21875" style="2" bestFit="1" customWidth="1"/>
    <col min="5906" max="6145" width="11.5546875" style="2"/>
    <col min="6146" max="6146" width="19.6640625" style="2" bestFit="1" customWidth="1"/>
    <col min="6147" max="6147" width="5.6640625" style="2" bestFit="1" customWidth="1"/>
    <col min="6148" max="6148" width="18.6640625" style="2" bestFit="1" customWidth="1"/>
    <col min="6149" max="6151" width="9.21875" style="2" bestFit="1" customWidth="1"/>
    <col min="6152" max="6152" width="8.33203125" style="2" bestFit="1" customWidth="1"/>
    <col min="6153" max="6153" width="8.5546875" style="2" bestFit="1" customWidth="1"/>
    <col min="6154" max="6154" width="10.33203125" style="2" bestFit="1" customWidth="1"/>
    <col min="6155" max="6155" width="8.33203125" style="2" bestFit="1" customWidth="1"/>
    <col min="6156" max="6156" width="8.21875" style="2" bestFit="1" customWidth="1"/>
    <col min="6157" max="6160" width="9.21875" style="2" bestFit="1" customWidth="1"/>
    <col min="6161" max="6161" width="10.21875" style="2" bestFit="1" customWidth="1"/>
    <col min="6162" max="6401" width="11.5546875" style="2"/>
    <col min="6402" max="6402" width="19.6640625" style="2" bestFit="1" customWidth="1"/>
    <col min="6403" max="6403" width="5.6640625" style="2" bestFit="1" customWidth="1"/>
    <col min="6404" max="6404" width="18.6640625" style="2" bestFit="1" customWidth="1"/>
    <col min="6405" max="6407" width="9.21875" style="2" bestFit="1" customWidth="1"/>
    <col min="6408" max="6408" width="8.33203125" style="2" bestFit="1" customWidth="1"/>
    <col min="6409" max="6409" width="8.5546875" style="2" bestFit="1" customWidth="1"/>
    <col min="6410" max="6410" width="10.33203125" style="2" bestFit="1" customWidth="1"/>
    <col min="6411" max="6411" width="8.33203125" style="2" bestFit="1" customWidth="1"/>
    <col min="6412" max="6412" width="8.21875" style="2" bestFit="1" customWidth="1"/>
    <col min="6413" max="6416" width="9.21875" style="2" bestFit="1" customWidth="1"/>
    <col min="6417" max="6417" width="10.21875" style="2" bestFit="1" customWidth="1"/>
    <col min="6418" max="6657" width="11.5546875" style="2"/>
    <col min="6658" max="6658" width="19.6640625" style="2" bestFit="1" customWidth="1"/>
    <col min="6659" max="6659" width="5.6640625" style="2" bestFit="1" customWidth="1"/>
    <col min="6660" max="6660" width="18.6640625" style="2" bestFit="1" customWidth="1"/>
    <col min="6661" max="6663" width="9.21875" style="2" bestFit="1" customWidth="1"/>
    <col min="6664" max="6664" width="8.33203125" style="2" bestFit="1" customWidth="1"/>
    <col min="6665" max="6665" width="8.5546875" style="2" bestFit="1" customWidth="1"/>
    <col min="6666" max="6666" width="10.33203125" style="2" bestFit="1" customWidth="1"/>
    <col min="6667" max="6667" width="8.33203125" style="2" bestFit="1" customWidth="1"/>
    <col min="6668" max="6668" width="8.21875" style="2" bestFit="1" customWidth="1"/>
    <col min="6669" max="6672" width="9.21875" style="2" bestFit="1" customWidth="1"/>
    <col min="6673" max="6673" width="10.21875" style="2" bestFit="1" customWidth="1"/>
    <col min="6674" max="6913" width="11.5546875" style="2"/>
    <col min="6914" max="6914" width="19.6640625" style="2" bestFit="1" customWidth="1"/>
    <col min="6915" max="6915" width="5.6640625" style="2" bestFit="1" customWidth="1"/>
    <col min="6916" max="6916" width="18.6640625" style="2" bestFit="1" customWidth="1"/>
    <col min="6917" max="6919" width="9.21875" style="2" bestFit="1" customWidth="1"/>
    <col min="6920" max="6920" width="8.33203125" style="2" bestFit="1" customWidth="1"/>
    <col min="6921" max="6921" width="8.5546875" style="2" bestFit="1" customWidth="1"/>
    <col min="6922" max="6922" width="10.33203125" style="2" bestFit="1" customWidth="1"/>
    <col min="6923" max="6923" width="8.33203125" style="2" bestFit="1" customWidth="1"/>
    <col min="6924" max="6924" width="8.21875" style="2" bestFit="1" customWidth="1"/>
    <col min="6925" max="6928" width="9.21875" style="2" bestFit="1" customWidth="1"/>
    <col min="6929" max="6929" width="10.21875" style="2" bestFit="1" customWidth="1"/>
    <col min="6930" max="7169" width="11.5546875" style="2"/>
    <col min="7170" max="7170" width="19.6640625" style="2" bestFit="1" customWidth="1"/>
    <col min="7171" max="7171" width="5.6640625" style="2" bestFit="1" customWidth="1"/>
    <col min="7172" max="7172" width="18.6640625" style="2" bestFit="1" customWidth="1"/>
    <col min="7173" max="7175" width="9.21875" style="2" bestFit="1" customWidth="1"/>
    <col min="7176" max="7176" width="8.33203125" style="2" bestFit="1" customWidth="1"/>
    <col min="7177" max="7177" width="8.5546875" style="2" bestFit="1" customWidth="1"/>
    <col min="7178" max="7178" width="10.33203125" style="2" bestFit="1" customWidth="1"/>
    <col min="7179" max="7179" width="8.33203125" style="2" bestFit="1" customWidth="1"/>
    <col min="7180" max="7180" width="8.21875" style="2" bestFit="1" customWidth="1"/>
    <col min="7181" max="7184" width="9.21875" style="2" bestFit="1" customWidth="1"/>
    <col min="7185" max="7185" width="10.21875" style="2" bestFit="1" customWidth="1"/>
    <col min="7186" max="7425" width="11.5546875" style="2"/>
    <col min="7426" max="7426" width="19.6640625" style="2" bestFit="1" customWidth="1"/>
    <col min="7427" max="7427" width="5.6640625" style="2" bestFit="1" customWidth="1"/>
    <col min="7428" max="7428" width="18.6640625" style="2" bestFit="1" customWidth="1"/>
    <col min="7429" max="7431" width="9.21875" style="2" bestFit="1" customWidth="1"/>
    <col min="7432" max="7432" width="8.33203125" style="2" bestFit="1" customWidth="1"/>
    <col min="7433" max="7433" width="8.5546875" style="2" bestFit="1" customWidth="1"/>
    <col min="7434" max="7434" width="10.33203125" style="2" bestFit="1" customWidth="1"/>
    <col min="7435" max="7435" width="8.33203125" style="2" bestFit="1" customWidth="1"/>
    <col min="7436" max="7436" width="8.21875" style="2" bestFit="1" customWidth="1"/>
    <col min="7437" max="7440" width="9.21875" style="2" bestFit="1" customWidth="1"/>
    <col min="7441" max="7441" width="10.21875" style="2" bestFit="1" customWidth="1"/>
    <col min="7442" max="7681" width="11.5546875" style="2"/>
    <col min="7682" max="7682" width="19.6640625" style="2" bestFit="1" customWidth="1"/>
    <col min="7683" max="7683" width="5.6640625" style="2" bestFit="1" customWidth="1"/>
    <col min="7684" max="7684" width="18.6640625" style="2" bestFit="1" customWidth="1"/>
    <col min="7685" max="7687" width="9.21875" style="2" bestFit="1" customWidth="1"/>
    <col min="7688" max="7688" width="8.33203125" style="2" bestFit="1" customWidth="1"/>
    <col min="7689" max="7689" width="8.5546875" style="2" bestFit="1" customWidth="1"/>
    <col min="7690" max="7690" width="10.33203125" style="2" bestFit="1" customWidth="1"/>
    <col min="7691" max="7691" width="8.33203125" style="2" bestFit="1" customWidth="1"/>
    <col min="7692" max="7692" width="8.21875" style="2" bestFit="1" customWidth="1"/>
    <col min="7693" max="7696" width="9.21875" style="2" bestFit="1" customWidth="1"/>
    <col min="7697" max="7697" width="10.21875" style="2" bestFit="1" customWidth="1"/>
    <col min="7698" max="7937" width="11.5546875" style="2"/>
    <col min="7938" max="7938" width="19.6640625" style="2" bestFit="1" customWidth="1"/>
    <col min="7939" max="7939" width="5.6640625" style="2" bestFit="1" customWidth="1"/>
    <col min="7940" max="7940" width="18.6640625" style="2" bestFit="1" customWidth="1"/>
    <col min="7941" max="7943" width="9.21875" style="2" bestFit="1" customWidth="1"/>
    <col min="7944" max="7944" width="8.33203125" style="2" bestFit="1" customWidth="1"/>
    <col min="7945" max="7945" width="8.5546875" style="2" bestFit="1" customWidth="1"/>
    <col min="7946" max="7946" width="10.33203125" style="2" bestFit="1" customWidth="1"/>
    <col min="7947" max="7947" width="8.33203125" style="2" bestFit="1" customWidth="1"/>
    <col min="7948" max="7948" width="8.21875" style="2" bestFit="1" customWidth="1"/>
    <col min="7949" max="7952" width="9.21875" style="2" bestFit="1" customWidth="1"/>
    <col min="7953" max="7953" width="10.21875" style="2" bestFit="1" customWidth="1"/>
    <col min="7954" max="8193" width="11.5546875" style="2"/>
    <col min="8194" max="8194" width="19.6640625" style="2" bestFit="1" customWidth="1"/>
    <col min="8195" max="8195" width="5.6640625" style="2" bestFit="1" customWidth="1"/>
    <col min="8196" max="8196" width="18.6640625" style="2" bestFit="1" customWidth="1"/>
    <col min="8197" max="8199" width="9.21875" style="2" bestFit="1" customWidth="1"/>
    <col min="8200" max="8200" width="8.33203125" style="2" bestFit="1" customWidth="1"/>
    <col min="8201" max="8201" width="8.5546875" style="2" bestFit="1" customWidth="1"/>
    <col min="8202" max="8202" width="10.33203125" style="2" bestFit="1" customWidth="1"/>
    <col min="8203" max="8203" width="8.33203125" style="2" bestFit="1" customWidth="1"/>
    <col min="8204" max="8204" width="8.21875" style="2" bestFit="1" customWidth="1"/>
    <col min="8205" max="8208" width="9.21875" style="2" bestFit="1" customWidth="1"/>
    <col min="8209" max="8209" width="10.21875" style="2" bestFit="1" customWidth="1"/>
    <col min="8210" max="8449" width="11.5546875" style="2"/>
    <col min="8450" max="8450" width="19.6640625" style="2" bestFit="1" customWidth="1"/>
    <col min="8451" max="8451" width="5.6640625" style="2" bestFit="1" customWidth="1"/>
    <col min="8452" max="8452" width="18.6640625" style="2" bestFit="1" customWidth="1"/>
    <col min="8453" max="8455" width="9.21875" style="2" bestFit="1" customWidth="1"/>
    <col min="8456" max="8456" width="8.33203125" style="2" bestFit="1" customWidth="1"/>
    <col min="8457" max="8457" width="8.5546875" style="2" bestFit="1" customWidth="1"/>
    <col min="8458" max="8458" width="10.33203125" style="2" bestFit="1" customWidth="1"/>
    <col min="8459" max="8459" width="8.33203125" style="2" bestFit="1" customWidth="1"/>
    <col min="8460" max="8460" width="8.21875" style="2" bestFit="1" customWidth="1"/>
    <col min="8461" max="8464" width="9.21875" style="2" bestFit="1" customWidth="1"/>
    <col min="8465" max="8465" width="10.21875" style="2" bestFit="1" customWidth="1"/>
    <col min="8466" max="8705" width="11.5546875" style="2"/>
    <col min="8706" max="8706" width="19.6640625" style="2" bestFit="1" customWidth="1"/>
    <col min="8707" max="8707" width="5.6640625" style="2" bestFit="1" customWidth="1"/>
    <col min="8708" max="8708" width="18.6640625" style="2" bestFit="1" customWidth="1"/>
    <col min="8709" max="8711" width="9.21875" style="2" bestFit="1" customWidth="1"/>
    <col min="8712" max="8712" width="8.33203125" style="2" bestFit="1" customWidth="1"/>
    <col min="8713" max="8713" width="8.5546875" style="2" bestFit="1" customWidth="1"/>
    <col min="8714" max="8714" width="10.33203125" style="2" bestFit="1" customWidth="1"/>
    <col min="8715" max="8715" width="8.33203125" style="2" bestFit="1" customWidth="1"/>
    <col min="8716" max="8716" width="8.21875" style="2" bestFit="1" customWidth="1"/>
    <col min="8717" max="8720" width="9.21875" style="2" bestFit="1" customWidth="1"/>
    <col min="8721" max="8721" width="10.21875" style="2" bestFit="1" customWidth="1"/>
    <col min="8722" max="8961" width="11.5546875" style="2"/>
    <col min="8962" max="8962" width="19.6640625" style="2" bestFit="1" customWidth="1"/>
    <col min="8963" max="8963" width="5.6640625" style="2" bestFit="1" customWidth="1"/>
    <col min="8964" max="8964" width="18.6640625" style="2" bestFit="1" customWidth="1"/>
    <col min="8965" max="8967" width="9.21875" style="2" bestFit="1" customWidth="1"/>
    <col min="8968" max="8968" width="8.33203125" style="2" bestFit="1" customWidth="1"/>
    <col min="8969" max="8969" width="8.5546875" style="2" bestFit="1" customWidth="1"/>
    <col min="8970" max="8970" width="10.33203125" style="2" bestFit="1" customWidth="1"/>
    <col min="8971" max="8971" width="8.33203125" style="2" bestFit="1" customWidth="1"/>
    <col min="8972" max="8972" width="8.21875" style="2" bestFit="1" customWidth="1"/>
    <col min="8973" max="8976" width="9.21875" style="2" bestFit="1" customWidth="1"/>
    <col min="8977" max="8977" width="10.21875" style="2" bestFit="1" customWidth="1"/>
    <col min="8978" max="9217" width="11.5546875" style="2"/>
    <col min="9218" max="9218" width="19.6640625" style="2" bestFit="1" customWidth="1"/>
    <col min="9219" max="9219" width="5.6640625" style="2" bestFit="1" customWidth="1"/>
    <col min="9220" max="9220" width="18.6640625" style="2" bestFit="1" customWidth="1"/>
    <col min="9221" max="9223" width="9.21875" style="2" bestFit="1" customWidth="1"/>
    <col min="9224" max="9224" width="8.33203125" style="2" bestFit="1" customWidth="1"/>
    <col min="9225" max="9225" width="8.5546875" style="2" bestFit="1" customWidth="1"/>
    <col min="9226" max="9226" width="10.33203125" style="2" bestFit="1" customWidth="1"/>
    <col min="9227" max="9227" width="8.33203125" style="2" bestFit="1" customWidth="1"/>
    <col min="9228" max="9228" width="8.21875" style="2" bestFit="1" customWidth="1"/>
    <col min="9229" max="9232" width="9.21875" style="2" bestFit="1" customWidth="1"/>
    <col min="9233" max="9233" width="10.21875" style="2" bestFit="1" customWidth="1"/>
    <col min="9234" max="9473" width="11.5546875" style="2"/>
    <col min="9474" max="9474" width="19.6640625" style="2" bestFit="1" customWidth="1"/>
    <col min="9475" max="9475" width="5.6640625" style="2" bestFit="1" customWidth="1"/>
    <col min="9476" max="9476" width="18.6640625" style="2" bestFit="1" customWidth="1"/>
    <col min="9477" max="9479" width="9.21875" style="2" bestFit="1" customWidth="1"/>
    <col min="9480" max="9480" width="8.33203125" style="2" bestFit="1" customWidth="1"/>
    <col min="9481" max="9481" width="8.5546875" style="2" bestFit="1" customWidth="1"/>
    <col min="9482" max="9482" width="10.33203125" style="2" bestFit="1" customWidth="1"/>
    <col min="9483" max="9483" width="8.33203125" style="2" bestFit="1" customWidth="1"/>
    <col min="9484" max="9484" width="8.21875" style="2" bestFit="1" customWidth="1"/>
    <col min="9485" max="9488" width="9.21875" style="2" bestFit="1" customWidth="1"/>
    <col min="9489" max="9489" width="10.21875" style="2" bestFit="1" customWidth="1"/>
    <col min="9490" max="9729" width="11.5546875" style="2"/>
    <col min="9730" max="9730" width="19.6640625" style="2" bestFit="1" customWidth="1"/>
    <col min="9731" max="9731" width="5.6640625" style="2" bestFit="1" customWidth="1"/>
    <col min="9732" max="9732" width="18.6640625" style="2" bestFit="1" customWidth="1"/>
    <col min="9733" max="9735" width="9.21875" style="2" bestFit="1" customWidth="1"/>
    <col min="9736" max="9736" width="8.33203125" style="2" bestFit="1" customWidth="1"/>
    <col min="9737" max="9737" width="8.5546875" style="2" bestFit="1" customWidth="1"/>
    <col min="9738" max="9738" width="10.33203125" style="2" bestFit="1" customWidth="1"/>
    <col min="9739" max="9739" width="8.33203125" style="2" bestFit="1" customWidth="1"/>
    <col min="9740" max="9740" width="8.21875" style="2" bestFit="1" customWidth="1"/>
    <col min="9741" max="9744" width="9.21875" style="2" bestFit="1" customWidth="1"/>
    <col min="9745" max="9745" width="10.21875" style="2" bestFit="1" customWidth="1"/>
    <col min="9746" max="9985" width="11.5546875" style="2"/>
    <col min="9986" max="9986" width="19.6640625" style="2" bestFit="1" customWidth="1"/>
    <col min="9987" max="9987" width="5.6640625" style="2" bestFit="1" customWidth="1"/>
    <col min="9988" max="9988" width="18.6640625" style="2" bestFit="1" customWidth="1"/>
    <col min="9989" max="9991" width="9.21875" style="2" bestFit="1" customWidth="1"/>
    <col min="9992" max="9992" width="8.33203125" style="2" bestFit="1" customWidth="1"/>
    <col min="9993" max="9993" width="8.5546875" style="2" bestFit="1" customWidth="1"/>
    <col min="9994" max="9994" width="10.33203125" style="2" bestFit="1" customWidth="1"/>
    <col min="9995" max="9995" width="8.33203125" style="2" bestFit="1" customWidth="1"/>
    <col min="9996" max="9996" width="8.21875" style="2" bestFit="1" customWidth="1"/>
    <col min="9997" max="10000" width="9.21875" style="2" bestFit="1" customWidth="1"/>
    <col min="10001" max="10001" width="10.21875" style="2" bestFit="1" customWidth="1"/>
    <col min="10002" max="10241" width="11.5546875" style="2"/>
    <col min="10242" max="10242" width="19.6640625" style="2" bestFit="1" customWidth="1"/>
    <col min="10243" max="10243" width="5.6640625" style="2" bestFit="1" customWidth="1"/>
    <col min="10244" max="10244" width="18.6640625" style="2" bestFit="1" customWidth="1"/>
    <col min="10245" max="10247" width="9.21875" style="2" bestFit="1" customWidth="1"/>
    <col min="10248" max="10248" width="8.33203125" style="2" bestFit="1" customWidth="1"/>
    <col min="10249" max="10249" width="8.5546875" style="2" bestFit="1" customWidth="1"/>
    <col min="10250" max="10250" width="10.33203125" style="2" bestFit="1" customWidth="1"/>
    <col min="10251" max="10251" width="8.33203125" style="2" bestFit="1" customWidth="1"/>
    <col min="10252" max="10252" width="8.21875" style="2" bestFit="1" customWidth="1"/>
    <col min="10253" max="10256" width="9.21875" style="2" bestFit="1" customWidth="1"/>
    <col min="10257" max="10257" width="10.21875" style="2" bestFit="1" customWidth="1"/>
    <col min="10258" max="10497" width="11.5546875" style="2"/>
    <col min="10498" max="10498" width="19.6640625" style="2" bestFit="1" customWidth="1"/>
    <col min="10499" max="10499" width="5.6640625" style="2" bestFit="1" customWidth="1"/>
    <col min="10500" max="10500" width="18.6640625" style="2" bestFit="1" customWidth="1"/>
    <col min="10501" max="10503" width="9.21875" style="2" bestFit="1" customWidth="1"/>
    <col min="10504" max="10504" width="8.33203125" style="2" bestFit="1" customWidth="1"/>
    <col min="10505" max="10505" width="8.5546875" style="2" bestFit="1" customWidth="1"/>
    <col min="10506" max="10506" width="10.33203125" style="2" bestFit="1" customWidth="1"/>
    <col min="10507" max="10507" width="8.33203125" style="2" bestFit="1" customWidth="1"/>
    <col min="10508" max="10508" width="8.21875" style="2" bestFit="1" customWidth="1"/>
    <col min="10509" max="10512" width="9.21875" style="2" bestFit="1" customWidth="1"/>
    <col min="10513" max="10513" width="10.21875" style="2" bestFit="1" customWidth="1"/>
    <col min="10514" max="10753" width="11.5546875" style="2"/>
    <col min="10754" max="10754" width="19.6640625" style="2" bestFit="1" customWidth="1"/>
    <col min="10755" max="10755" width="5.6640625" style="2" bestFit="1" customWidth="1"/>
    <col min="10756" max="10756" width="18.6640625" style="2" bestFit="1" customWidth="1"/>
    <col min="10757" max="10759" width="9.21875" style="2" bestFit="1" customWidth="1"/>
    <col min="10760" max="10760" width="8.33203125" style="2" bestFit="1" customWidth="1"/>
    <col min="10761" max="10761" width="8.5546875" style="2" bestFit="1" customWidth="1"/>
    <col min="10762" max="10762" width="10.33203125" style="2" bestFit="1" customWidth="1"/>
    <col min="10763" max="10763" width="8.33203125" style="2" bestFit="1" customWidth="1"/>
    <col min="10764" max="10764" width="8.21875" style="2" bestFit="1" customWidth="1"/>
    <col min="10765" max="10768" width="9.21875" style="2" bestFit="1" customWidth="1"/>
    <col min="10769" max="10769" width="10.21875" style="2" bestFit="1" customWidth="1"/>
    <col min="10770" max="11009" width="11.5546875" style="2"/>
    <col min="11010" max="11010" width="19.6640625" style="2" bestFit="1" customWidth="1"/>
    <col min="11011" max="11011" width="5.6640625" style="2" bestFit="1" customWidth="1"/>
    <col min="11012" max="11012" width="18.6640625" style="2" bestFit="1" customWidth="1"/>
    <col min="11013" max="11015" width="9.21875" style="2" bestFit="1" customWidth="1"/>
    <col min="11016" max="11016" width="8.33203125" style="2" bestFit="1" customWidth="1"/>
    <col min="11017" max="11017" width="8.5546875" style="2" bestFit="1" customWidth="1"/>
    <col min="11018" max="11018" width="10.33203125" style="2" bestFit="1" customWidth="1"/>
    <col min="11019" max="11019" width="8.33203125" style="2" bestFit="1" customWidth="1"/>
    <col min="11020" max="11020" width="8.21875" style="2" bestFit="1" customWidth="1"/>
    <col min="11021" max="11024" width="9.21875" style="2" bestFit="1" customWidth="1"/>
    <col min="11025" max="11025" width="10.21875" style="2" bestFit="1" customWidth="1"/>
    <col min="11026" max="11265" width="11.5546875" style="2"/>
    <col min="11266" max="11266" width="19.6640625" style="2" bestFit="1" customWidth="1"/>
    <col min="11267" max="11267" width="5.6640625" style="2" bestFit="1" customWidth="1"/>
    <col min="11268" max="11268" width="18.6640625" style="2" bestFit="1" customWidth="1"/>
    <col min="11269" max="11271" width="9.21875" style="2" bestFit="1" customWidth="1"/>
    <col min="11272" max="11272" width="8.33203125" style="2" bestFit="1" customWidth="1"/>
    <col min="11273" max="11273" width="8.5546875" style="2" bestFit="1" customWidth="1"/>
    <col min="11274" max="11274" width="10.33203125" style="2" bestFit="1" customWidth="1"/>
    <col min="11275" max="11275" width="8.33203125" style="2" bestFit="1" customWidth="1"/>
    <col min="11276" max="11276" width="8.21875" style="2" bestFit="1" customWidth="1"/>
    <col min="11277" max="11280" width="9.21875" style="2" bestFit="1" customWidth="1"/>
    <col min="11281" max="11281" width="10.21875" style="2" bestFit="1" customWidth="1"/>
    <col min="11282" max="11521" width="11.5546875" style="2"/>
    <col min="11522" max="11522" width="19.6640625" style="2" bestFit="1" customWidth="1"/>
    <col min="11523" max="11523" width="5.6640625" style="2" bestFit="1" customWidth="1"/>
    <col min="11524" max="11524" width="18.6640625" style="2" bestFit="1" customWidth="1"/>
    <col min="11525" max="11527" width="9.21875" style="2" bestFit="1" customWidth="1"/>
    <col min="11528" max="11528" width="8.33203125" style="2" bestFit="1" customWidth="1"/>
    <col min="11529" max="11529" width="8.5546875" style="2" bestFit="1" customWidth="1"/>
    <col min="11530" max="11530" width="10.33203125" style="2" bestFit="1" customWidth="1"/>
    <col min="11531" max="11531" width="8.33203125" style="2" bestFit="1" customWidth="1"/>
    <col min="11532" max="11532" width="8.21875" style="2" bestFit="1" customWidth="1"/>
    <col min="11533" max="11536" width="9.21875" style="2" bestFit="1" customWidth="1"/>
    <col min="11537" max="11537" width="10.21875" style="2" bestFit="1" customWidth="1"/>
    <col min="11538" max="11777" width="11.5546875" style="2"/>
    <col min="11778" max="11778" width="19.6640625" style="2" bestFit="1" customWidth="1"/>
    <col min="11779" max="11779" width="5.6640625" style="2" bestFit="1" customWidth="1"/>
    <col min="11780" max="11780" width="18.6640625" style="2" bestFit="1" customWidth="1"/>
    <col min="11781" max="11783" width="9.21875" style="2" bestFit="1" customWidth="1"/>
    <col min="11784" max="11784" width="8.33203125" style="2" bestFit="1" customWidth="1"/>
    <col min="11785" max="11785" width="8.5546875" style="2" bestFit="1" customWidth="1"/>
    <col min="11786" max="11786" width="10.33203125" style="2" bestFit="1" customWidth="1"/>
    <col min="11787" max="11787" width="8.33203125" style="2" bestFit="1" customWidth="1"/>
    <col min="11788" max="11788" width="8.21875" style="2" bestFit="1" customWidth="1"/>
    <col min="11789" max="11792" width="9.21875" style="2" bestFit="1" customWidth="1"/>
    <col min="11793" max="11793" width="10.21875" style="2" bestFit="1" customWidth="1"/>
    <col min="11794" max="12033" width="11.5546875" style="2"/>
    <col min="12034" max="12034" width="19.6640625" style="2" bestFit="1" customWidth="1"/>
    <col min="12035" max="12035" width="5.6640625" style="2" bestFit="1" customWidth="1"/>
    <col min="12036" max="12036" width="18.6640625" style="2" bestFit="1" customWidth="1"/>
    <col min="12037" max="12039" width="9.21875" style="2" bestFit="1" customWidth="1"/>
    <col min="12040" max="12040" width="8.33203125" style="2" bestFit="1" customWidth="1"/>
    <col min="12041" max="12041" width="8.5546875" style="2" bestFit="1" customWidth="1"/>
    <col min="12042" max="12042" width="10.33203125" style="2" bestFit="1" customWidth="1"/>
    <col min="12043" max="12043" width="8.33203125" style="2" bestFit="1" customWidth="1"/>
    <col min="12044" max="12044" width="8.21875" style="2" bestFit="1" customWidth="1"/>
    <col min="12045" max="12048" width="9.21875" style="2" bestFit="1" customWidth="1"/>
    <col min="12049" max="12049" width="10.21875" style="2" bestFit="1" customWidth="1"/>
    <col min="12050" max="12289" width="11.5546875" style="2"/>
    <col min="12290" max="12290" width="19.6640625" style="2" bestFit="1" customWidth="1"/>
    <col min="12291" max="12291" width="5.6640625" style="2" bestFit="1" customWidth="1"/>
    <col min="12292" max="12292" width="18.6640625" style="2" bestFit="1" customWidth="1"/>
    <col min="12293" max="12295" width="9.21875" style="2" bestFit="1" customWidth="1"/>
    <col min="12296" max="12296" width="8.33203125" style="2" bestFit="1" customWidth="1"/>
    <col min="12297" max="12297" width="8.5546875" style="2" bestFit="1" customWidth="1"/>
    <col min="12298" max="12298" width="10.33203125" style="2" bestFit="1" customWidth="1"/>
    <col min="12299" max="12299" width="8.33203125" style="2" bestFit="1" customWidth="1"/>
    <col min="12300" max="12300" width="8.21875" style="2" bestFit="1" customWidth="1"/>
    <col min="12301" max="12304" width="9.21875" style="2" bestFit="1" customWidth="1"/>
    <col min="12305" max="12305" width="10.21875" style="2" bestFit="1" customWidth="1"/>
    <col min="12306" max="12545" width="11.5546875" style="2"/>
    <col min="12546" max="12546" width="19.6640625" style="2" bestFit="1" customWidth="1"/>
    <col min="12547" max="12547" width="5.6640625" style="2" bestFit="1" customWidth="1"/>
    <col min="12548" max="12548" width="18.6640625" style="2" bestFit="1" customWidth="1"/>
    <col min="12549" max="12551" width="9.21875" style="2" bestFit="1" customWidth="1"/>
    <col min="12552" max="12552" width="8.33203125" style="2" bestFit="1" customWidth="1"/>
    <col min="12553" max="12553" width="8.5546875" style="2" bestFit="1" customWidth="1"/>
    <col min="12554" max="12554" width="10.33203125" style="2" bestFit="1" customWidth="1"/>
    <col min="12555" max="12555" width="8.33203125" style="2" bestFit="1" customWidth="1"/>
    <col min="12556" max="12556" width="8.21875" style="2" bestFit="1" customWidth="1"/>
    <col min="12557" max="12560" width="9.21875" style="2" bestFit="1" customWidth="1"/>
    <col min="12561" max="12561" width="10.21875" style="2" bestFit="1" customWidth="1"/>
    <col min="12562" max="12801" width="11.5546875" style="2"/>
    <col min="12802" max="12802" width="19.6640625" style="2" bestFit="1" customWidth="1"/>
    <col min="12803" max="12803" width="5.6640625" style="2" bestFit="1" customWidth="1"/>
    <col min="12804" max="12804" width="18.6640625" style="2" bestFit="1" customWidth="1"/>
    <col min="12805" max="12807" width="9.21875" style="2" bestFit="1" customWidth="1"/>
    <col min="12808" max="12808" width="8.33203125" style="2" bestFit="1" customWidth="1"/>
    <col min="12809" max="12809" width="8.5546875" style="2" bestFit="1" customWidth="1"/>
    <col min="12810" max="12810" width="10.33203125" style="2" bestFit="1" customWidth="1"/>
    <col min="12811" max="12811" width="8.33203125" style="2" bestFit="1" customWidth="1"/>
    <col min="12812" max="12812" width="8.21875" style="2" bestFit="1" customWidth="1"/>
    <col min="12813" max="12816" width="9.21875" style="2" bestFit="1" customWidth="1"/>
    <col min="12817" max="12817" width="10.21875" style="2" bestFit="1" customWidth="1"/>
    <col min="12818" max="13057" width="11.5546875" style="2"/>
    <col min="13058" max="13058" width="19.6640625" style="2" bestFit="1" customWidth="1"/>
    <col min="13059" max="13059" width="5.6640625" style="2" bestFit="1" customWidth="1"/>
    <col min="13060" max="13060" width="18.6640625" style="2" bestFit="1" customWidth="1"/>
    <col min="13061" max="13063" width="9.21875" style="2" bestFit="1" customWidth="1"/>
    <col min="13064" max="13064" width="8.33203125" style="2" bestFit="1" customWidth="1"/>
    <col min="13065" max="13065" width="8.5546875" style="2" bestFit="1" customWidth="1"/>
    <col min="13066" max="13066" width="10.33203125" style="2" bestFit="1" customWidth="1"/>
    <col min="13067" max="13067" width="8.33203125" style="2" bestFit="1" customWidth="1"/>
    <col min="13068" max="13068" width="8.21875" style="2" bestFit="1" customWidth="1"/>
    <col min="13069" max="13072" width="9.21875" style="2" bestFit="1" customWidth="1"/>
    <col min="13073" max="13073" width="10.21875" style="2" bestFit="1" customWidth="1"/>
    <col min="13074" max="13313" width="11.5546875" style="2"/>
    <col min="13314" max="13314" width="19.6640625" style="2" bestFit="1" customWidth="1"/>
    <col min="13315" max="13315" width="5.6640625" style="2" bestFit="1" customWidth="1"/>
    <col min="13316" max="13316" width="18.6640625" style="2" bestFit="1" customWidth="1"/>
    <col min="13317" max="13319" width="9.21875" style="2" bestFit="1" customWidth="1"/>
    <col min="13320" max="13320" width="8.33203125" style="2" bestFit="1" customWidth="1"/>
    <col min="13321" max="13321" width="8.5546875" style="2" bestFit="1" customWidth="1"/>
    <col min="13322" max="13322" width="10.33203125" style="2" bestFit="1" customWidth="1"/>
    <col min="13323" max="13323" width="8.33203125" style="2" bestFit="1" customWidth="1"/>
    <col min="13324" max="13324" width="8.21875" style="2" bestFit="1" customWidth="1"/>
    <col min="13325" max="13328" width="9.21875" style="2" bestFit="1" customWidth="1"/>
    <col min="13329" max="13329" width="10.21875" style="2" bestFit="1" customWidth="1"/>
    <col min="13330" max="13569" width="11.5546875" style="2"/>
    <col min="13570" max="13570" width="19.6640625" style="2" bestFit="1" customWidth="1"/>
    <col min="13571" max="13571" width="5.6640625" style="2" bestFit="1" customWidth="1"/>
    <col min="13572" max="13572" width="18.6640625" style="2" bestFit="1" customWidth="1"/>
    <col min="13573" max="13575" width="9.21875" style="2" bestFit="1" customWidth="1"/>
    <col min="13576" max="13576" width="8.33203125" style="2" bestFit="1" customWidth="1"/>
    <col min="13577" max="13577" width="8.5546875" style="2" bestFit="1" customWidth="1"/>
    <col min="13578" max="13578" width="10.33203125" style="2" bestFit="1" customWidth="1"/>
    <col min="13579" max="13579" width="8.33203125" style="2" bestFit="1" customWidth="1"/>
    <col min="13580" max="13580" width="8.21875" style="2" bestFit="1" customWidth="1"/>
    <col min="13581" max="13584" width="9.21875" style="2" bestFit="1" customWidth="1"/>
    <col min="13585" max="13585" width="10.21875" style="2" bestFit="1" customWidth="1"/>
    <col min="13586" max="13825" width="11.5546875" style="2"/>
    <col min="13826" max="13826" width="19.6640625" style="2" bestFit="1" customWidth="1"/>
    <col min="13827" max="13827" width="5.6640625" style="2" bestFit="1" customWidth="1"/>
    <col min="13828" max="13828" width="18.6640625" style="2" bestFit="1" customWidth="1"/>
    <col min="13829" max="13831" width="9.21875" style="2" bestFit="1" customWidth="1"/>
    <col min="13832" max="13832" width="8.33203125" style="2" bestFit="1" customWidth="1"/>
    <col min="13833" max="13833" width="8.5546875" style="2" bestFit="1" customWidth="1"/>
    <col min="13834" max="13834" width="10.33203125" style="2" bestFit="1" customWidth="1"/>
    <col min="13835" max="13835" width="8.33203125" style="2" bestFit="1" customWidth="1"/>
    <col min="13836" max="13836" width="8.21875" style="2" bestFit="1" customWidth="1"/>
    <col min="13837" max="13840" width="9.21875" style="2" bestFit="1" customWidth="1"/>
    <col min="13841" max="13841" width="10.21875" style="2" bestFit="1" customWidth="1"/>
    <col min="13842" max="14081" width="11.5546875" style="2"/>
    <col min="14082" max="14082" width="19.6640625" style="2" bestFit="1" customWidth="1"/>
    <col min="14083" max="14083" width="5.6640625" style="2" bestFit="1" customWidth="1"/>
    <col min="14084" max="14084" width="18.6640625" style="2" bestFit="1" customWidth="1"/>
    <col min="14085" max="14087" width="9.21875" style="2" bestFit="1" customWidth="1"/>
    <col min="14088" max="14088" width="8.33203125" style="2" bestFit="1" customWidth="1"/>
    <col min="14089" max="14089" width="8.5546875" style="2" bestFit="1" customWidth="1"/>
    <col min="14090" max="14090" width="10.33203125" style="2" bestFit="1" customWidth="1"/>
    <col min="14091" max="14091" width="8.33203125" style="2" bestFit="1" customWidth="1"/>
    <col min="14092" max="14092" width="8.21875" style="2" bestFit="1" customWidth="1"/>
    <col min="14093" max="14096" width="9.21875" style="2" bestFit="1" customWidth="1"/>
    <col min="14097" max="14097" width="10.21875" style="2" bestFit="1" customWidth="1"/>
    <col min="14098" max="14337" width="11.5546875" style="2"/>
    <col min="14338" max="14338" width="19.6640625" style="2" bestFit="1" customWidth="1"/>
    <col min="14339" max="14339" width="5.6640625" style="2" bestFit="1" customWidth="1"/>
    <col min="14340" max="14340" width="18.6640625" style="2" bestFit="1" customWidth="1"/>
    <col min="14341" max="14343" width="9.21875" style="2" bestFit="1" customWidth="1"/>
    <col min="14344" max="14344" width="8.33203125" style="2" bestFit="1" customWidth="1"/>
    <col min="14345" max="14345" width="8.5546875" style="2" bestFit="1" customWidth="1"/>
    <col min="14346" max="14346" width="10.33203125" style="2" bestFit="1" customWidth="1"/>
    <col min="14347" max="14347" width="8.33203125" style="2" bestFit="1" customWidth="1"/>
    <col min="14348" max="14348" width="8.21875" style="2" bestFit="1" customWidth="1"/>
    <col min="14349" max="14352" width="9.21875" style="2" bestFit="1" customWidth="1"/>
    <col min="14353" max="14353" width="10.21875" style="2" bestFit="1" customWidth="1"/>
    <col min="14354" max="14593" width="11.5546875" style="2"/>
    <col min="14594" max="14594" width="19.6640625" style="2" bestFit="1" customWidth="1"/>
    <col min="14595" max="14595" width="5.6640625" style="2" bestFit="1" customWidth="1"/>
    <col min="14596" max="14596" width="18.6640625" style="2" bestFit="1" customWidth="1"/>
    <col min="14597" max="14599" width="9.21875" style="2" bestFit="1" customWidth="1"/>
    <col min="14600" max="14600" width="8.33203125" style="2" bestFit="1" customWidth="1"/>
    <col min="14601" max="14601" width="8.5546875" style="2" bestFit="1" customWidth="1"/>
    <col min="14602" max="14602" width="10.33203125" style="2" bestFit="1" customWidth="1"/>
    <col min="14603" max="14603" width="8.33203125" style="2" bestFit="1" customWidth="1"/>
    <col min="14604" max="14604" width="8.21875" style="2" bestFit="1" customWidth="1"/>
    <col min="14605" max="14608" width="9.21875" style="2" bestFit="1" customWidth="1"/>
    <col min="14609" max="14609" width="10.21875" style="2" bestFit="1" customWidth="1"/>
    <col min="14610" max="14849" width="11.5546875" style="2"/>
    <col min="14850" max="14850" width="19.6640625" style="2" bestFit="1" customWidth="1"/>
    <col min="14851" max="14851" width="5.6640625" style="2" bestFit="1" customWidth="1"/>
    <col min="14852" max="14852" width="18.6640625" style="2" bestFit="1" customWidth="1"/>
    <col min="14853" max="14855" width="9.21875" style="2" bestFit="1" customWidth="1"/>
    <col min="14856" max="14856" width="8.33203125" style="2" bestFit="1" customWidth="1"/>
    <col min="14857" max="14857" width="8.5546875" style="2" bestFit="1" customWidth="1"/>
    <col min="14858" max="14858" width="10.33203125" style="2" bestFit="1" customWidth="1"/>
    <col min="14859" max="14859" width="8.33203125" style="2" bestFit="1" customWidth="1"/>
    <col min="14860" max="14860" width="8.21875" style="2" bestFit="1" customWidth="1"/>
    <col min="14861" max="14864" width="9.21875" style="2" bestFit="1" customWidth="1"/>
    <col min="14865" max="14865" width="10.21875" style="2" bestFit="1" customWidth="1"/>
    <col min="14866" max="15105" width="11.5546875" style="2"/>
    <col min="15106" max="15106" width="19.6640625" style="2" bestFit="1" customWidth="1"/>
    <col min="15107" max="15107" width="5.6640625" style="2" bestFit="1" customWidth="1"/>
    <col min="15108" max="15108" width="18.6640625" style="2" bestFit="1" customWidth="1"/>
    <col min="15109" max="15111" width="9.21875" style="2" bestFit="1" customWidth="1"/>
    <col min="15112" max="15112" width="8.33203125" style="2" bestFit="1" customWidth="1"/>
    <col min="15113" max="15113" width="8.5546875" style="2" bestFit="1" customWidth="1"/>
    <col min="15114" max="15114" width="10.33203125" style="2" bestFit="1" customWidth="1"/>
    <col min="15115" max="15115" width="8.33203125" style="2" bestFit="1" customWidth="1"/>
    <col min="15116" max="15116" width="8.21875" style="2" bestFit="1" customWidth="1"/>
    <col min="15117" max="15120" width="9.21875" style="2" bestFit="1" customWidth="1"/>
    <col min="15121" max="15121" width="10.21875" style="2" bestFit="1" customWidth="1"/>
    <col min="15122" max="15361" width="11.5546875" style="2"/>
    <col min="15362" max="15362" width="19.6640625" style="2" bestFit="1" customWidth="1"/>
    <col min="15363" max="15363" width="5.6640625" style="2" bestFit="1" customWidth="1"/>
    <col min="15364" max="15364" width="18.6640625" style="2" bestFit="1" customWidth="1"/>
    <col min="15365" max="15367" width="9.21875" style="2" bestFit="1" customWidth="1"/>
    <col min="15368" max="15368" width="8.33203125" style="2" bestFit="1" customWidth="1"/>
    <col min="15369" max="15369" width="8.5546875" style="2" bestFit="1" customWidth="1"/>
    <col min="15370" max="15370" width="10.33203125" style="2" bestFit="1" customWidth="1"/>
    <col min="15371" max="15371" width="8.33203125" style="2" bestFit="1" customWidth="1"/>
    <col min="15372" max="15372" width="8.21875" style="2" bestFit="1" customWidth="1"/>
    <col min="15373" max="15376" width="9.21875" style="2" bestFit="1" customWidth="1"/>
    <col min="15377" max="15377" width="10.21875" style="2" bestFit="1" customWidth="1"/>
    <col min="15378" max="15617" width="11.5546875" style="2"/>
    <col min="15618" max="15618" width="19.6640625" style="2" bestFit="1" customWidth="1"/>
    <col min="15619" max="15619" width="5.6640625" style="2" bestFit="1" customWidth="1"/>
    <col min="15620" max="15620" width="18.6640625" style="2" bestFit="1" customWidth="1"/>
    <col min="15621" max="15623" width="9.21875" style="2" bestFit="1" customWidth="1"/>
    <col min="15624" max="15624" width="8.33203125" style="2" bestFit="1" customWidth="1"/>
    <col min="15625" max="15625" width="8.5546875" style="2" bestFit="1" customWidth="1"/>
    <col min="15626" max="15626" width="10.33203125" style="2" bestFit="1" customWidth="1"/>
    <col min="15627" max="15627" width="8.33203125" style="2" bestFit="1" customWidth="1"/>
    <col min="15628" max="15628" width="8.21875" style="2" bestFit="1" customWidth="1"/>
    <col min="15629" max="15632" width="9.21875" style="2" bestFit="1" customWidth="1"/>
    <col min="15633" max="15633" width="10.21875" style="2" bestFit="1" customWidth="1"/>
    <col min="15634" max="15873" width="11.5546875" style="2"/>
    <col min="15874" max="15874" width="19.6640625" style="2" bestFit="1" customWidth="1"/>
    <col min="15875" max="15875" width="5.6640625" style="2" bestFit="1" customWidth="1"/>
    <col min="15876" max="15876" width="18.6640625" style="2" bestFit="1" customWidth="1"/>
    <col min="15877" max="15879" width="9.21875" style="2" bestFit="1" customWidth="1"/>
    <col min="15880" max="15880" width="8.33203125" style="2" bestFit="1" customWidth="1"/>
    <col min="15881" max="15881" width="8.5546875" style="2" bestFit="1" customWidth="1"/>
    <col min="15882" max="15882" width="10.33203125" style="2" bestFit="1" customWidth="1"/>
    <col min="15883" max="15883" width="8.33203125" style="2" bestFit="1" customWidth="1"/>
    <col min="15884" max="15884" width="8.21875" style="2" bestFit="1" customWidth="1"/>
    <col min="15885" max="15888" width="9.21875" style="2" bestFit="1" customWidth="1"/>
    <col min="15889" max="15889" width="10.21875" style="2" bestFit="1" customWidth="1"/>
    <col min="15890" max="16129" width="11.5546875" style="2"/>
    <col min="16130" max="16130" width="19.6640625" style="2" bestFit="1" customWidth="1"/>
    <col min="16131" max="16131" width="5.6640625" style="2" bestFit="1" customWidth="1"/>
    <col min="16132" max="16132" width="18.6640625" style="2" bestFit="1" customWidth="1"/>
    <col min="16133" max="16135" width="9.21875" style="2" bestFit="1" customWidth="1"/>
    <col min="16136" max="16136" width="8.33203125" style="2" bestFit="1" customWidth="1"/>
    <col min="16137" max="16137" width="8.5546875" style="2" bestFit="1" customWidth="1"/>
    <col min="16138" max="16138" width="10.33203125" style="2" bestFit="1" customWidth="1"/>
    <col min="16139" max="16139" width="8.33203125" style="2" bestFit="1" customWidth="1"/>
    <col min="16140" max="16140" width="8.21875" style="2" bestFit="1" customWidth="1"/>
    <col min="16141" max="16144" width="9.21875" style="2" bestFit="1" customWidth="1"/>
    <col min="16145" max="16145" width="10.21875" style="2" bestFit="1" customWidth="1"/>
    <col min="16146" max="16384" width="11.5546875" style="2"/>
  </cols>
  <sheetData>
    <row r="2" spans="3:18" ht="23.4" thickBot="1" x14ac:dyDescent="0.45">
      <c r="C2" s="140" t="s">
        <v>31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3:18" ht="16.2" thickTop="1" x14ac:dyDescent="0.3"/>
    <row r="4" spans="3:18" x14ac:dyDescent="0.3">
      <c r="E4" s="4">
        <v>44562</v>
      </c>
      <c r="F4" s="4">
        <v>44593</v>
      </c>
      <c r="G4" s="4">
        <v>44621</v>
      </c>
      <c r="H4" s="4">
        <v>44652</v>
      </c>
      <c r="I4" s="4">
        <v>44682</v>
      </c>
      <c r="J4" s="4">
        <v>44713</v>
      </c>
      <c r="K4" s="4">
        <v>44743</v>
      </c>
      <c r="L4" s="4">
        <v>44774</v>
      </c>
      <c r="M4" s="4">
        <v>44805</v>
      </c>
      <c r="N4" s="4">
        <v>44835</v>
      </c>
      <c r="O4" s="4">
        <v>44866</v>
      </c>
      <c r="P4" s="4">
        <v>44896</v>
      </c>
    </row>
    <row r="5" spans="3:18" x14ac:dyDescent="0.3">
      <c r="D5" s="26" t="s">
        <v>0</v>
      </c>
      <c r="E5" s="3">
        <v>0.12</v>
      </c>
      <c r="F5" s="3">
        <v>0.1</v>
      </c>
      <c r="G5" s="3">
        <v>0.08</v>
      </c>
      <c r="H5" s="3">
        <v>0.06</v>
      </c>
      <c r="I5" s="3">
        <v>0.06</v>
      </c>
      <c r="J5" s="3">
        <v>0.05</v>
      </c>
      <c r="K5" s="3">
        <v>0.04</v>
      </c>
      <c r="L5" s="3">
        <v>0.03</v>
      </c>
      <c r="M5" s="3">
        <v>0.08</v>
      </c>
      <c r="N5" s="3">
        <v>0.1</v>
      </c>
      <c r="O5" s="3">
        <v>0.12</v>
      </c>
      <c r="P5" s="3">
        <v>0.16</v>
      </c>
      <c r="Q5" s="3">
        <f>SUM(E5:P5)</f>
        <v>1</v>
      </c>
    </row>
    <row r="6" spans="3:18" x14ac:dyDescent="0.3">
      <c r="D6" s="136" t="s">
        <v>1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</row>
    <row r="7" spans="3:18" x14ac:dyDescent="0.3">
      <c r="E7" s="4">
        <v>44562</v>
      </c>
      <c r="F7" s="4">
        <v>44593</v>
      </c>
      <c r="G7" s="4">
        <v>44621</v>
      </c>
      <c r="H7" s="4">
        <v>44652</v>
      </c>
      <c r="I7" s="4">
        <v>44682</v>
      </c>
      <c r="J7" s="4">
        <v>44713</v>
      </c>
      <c r="K7" s="4">
        <v>44743</v>
      </c>
      <c r="L7" s="4">
        <v>44774</v>
      </c>
      <c r="M7" s="4">
        <v>44805</v>
      </c>
      <c r="N7" s="4">
        <v>44835</v>
      </c>
      <c r="O7" s="4">
        <v>44866</v>
      </c>
      <c r="P7" s="4">
        <v>44896</v>
      </c>
    </row>
    <row r="8" spans="3:18" x14ac:dyDescent="0.3">
      <c r="D8" s="25" t="s">
        <v>54</v>
      </c>
      <c r="E8" s="5">
        <f>+$D$9*E5</f>
        <v>27366.36</v>
      </c>
      <c r="F8" s="5">
        <f t="shared" ref="F8:P8" si="0">+$D$9*F5</f>
        <v>22805.300000000003</v>
      </c>
      <c r="G8" s="5">
        <f t="shared" si="0"/>
        <v>18244.240000000002</v>
      </c>
      <c r="H8" s="5">
        <f t="shared" si="0"/>
        <v>13683.18</v>
      </c>
      <c r="I8" s="5">
        <f t="shared" si="0"/>
        <v>13683.18</v>
      </c>
      <c r="J8" s="5">
        <f t="shared" si="0"/>
        <v>11402.650000000001</v>
      </c>
      <c r="K8" s="5">
        <f t="shared" si="0"/>
        <v>9122.1200000000008</v>
      </c>
      <c r="L8" s="5">
        <f t="shared" si="0"/>
        <v>6841.59</v>
      </c>
      <c r="M8" s="5">
        <f t="shared" si="0"/>
        <v>18244.240000000002</v>
      </c>
      <c r="N8" s="5">
        <f t="shared" si="0"/>
        <v>22805.300000000003</v>
      </c>
      <c r="O8" s="5">
        <f t="shared" si="0"/>
        <v>27366.36</v>
      </c>
      <c r="P8" s="5">
        <f t="shared" si="0"/>
        <v>36488.480000000003</v>
      </c>
      <c r="Q8" s="79">
        <f>SUM(E8:P8)</f>
        <v>228052.99999999997</v>
      </c>
      <c r="R8" s="6"/>
    </row>
    <row r="9" spans="3:18" ht="17.399999999999999" x14ac:dyDescent="0.3">
      <c r="C9" s="2" t="s">
        <v>3</v>
      </c>
      <c r="D9" s="78">
        <v>228053</v>
      </c>
    </row>
    <row r="10" spans="3:18" x14ac:dyDescent="0.3">
      <c r="C10" s="7">
        <v>0</v>
      </c>
      <c r="D10" s="8" t="s">
        <v>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9">
        <f>SUM(E10:P10)</f>
        <v>0</v>
      </c>
      <c r="R10" s="6"/>
    </row>
    <row r="11" spans="3:18" x14ac:dyDescent="0.3">
      <c r="D11" s="9">
        <f>+'[1]Capital de Trabajo'!A14</f>
        <v>0</v>
      </c>
    </row>
    <row r="13" spans="3:18" x14ac:dyDescent="0.3">
      <c r="C13" s="10">
        <v>0.15</v>
      </c>
      <c r="D13" s="24" t="s">
        <v>5</v>
      </c>
      <c r="E13" s="5">
        <f>+$C$13*E8</f>
        <v>4104.9539999999997</v>
      </c>
      <c r="F13" s="5">
        <f t="shared" ref="F13:P13" si="1">+$C$13*F8</f>
        <v>3420.7950000000005</v>
      </c>
      <c r="G13" s="5">
        <f t="shared" si="1"/>
        <v>2736.636</v>
      </c>
      <c r="H13" s="5">
        <f t="shared" si="1"/>
        <v>2052.4769999999999</v>
      </c>
      <c r="I13" s="5">
        <f t="shared" si="1"/>
        <v>2052.4769999999999</v>
      </c>
      <c r="J13" s="5">
        <f t="shared" si="1"/>
        <v>1710.3975000000003</v>
      </c>
      <c r="K13" s="5">
        <f t="shared" si="1"/>
        <v>1368.318</v>
      </c>
      <c r="L13" s="5">
        <f t="shared" si="1"/>
        <v>1026.2384999999999</v>
      </c>
      <c r="M13" s="5">
        <f t="shared" si="1"/>
        <v>2736.636</v>
      </c>
      <c r="N13" s="5">
        <f t="shared" si="1"/>
        <v>3420.7950000000005</v>
      </c>
      <c r="O13" s="5">
        <f t="shared" si="1"/>
        <v>4104.9539999999997</v>
      </c>
      <c r="P13" s="5">
        <f t="shared" si="1"/>
        <v>5473.2719999999999</v>
      </c>
      <c r="Q13" s="5">
        <f>SUM(E13:P13)</f>
        <v>34207.949999999997</v>
      </c>
    </row>
    <row r="14" spans="3:18" x14ac:dyDescent="0.3">
      <c r="C14" s="10">
        <v>0.85</v>
      </c>
      <c r="D14" s="24" t="s">
        <v>6</v>
      </c>
      <c r="E14" s="5">
        <f>+$C$14*E8</f>
        <v>23261.405999999999</v>
      </c>
      <c r="F14" s="5">
        <f t="shared" ref="F14:P14" si="2">+$C$14*F8</f>
        <v>19384.505000000001</v>
      </c>
      <c r="G14" s="5">
        <f t="shared" si="2"/>
        <v>15507.604000000001</v>
      </c>
      <c r="H14" s="5">
        <f t="shared" si="2"/>
        <v>11630.703</v>
      </c>
      <c r="I14" s="5">
        <f t="shared" si="2"/>
        <v>11630.703</v>
      </c>
      <c r="J14" s="5">
        <f t="shared" si="2"/>
        <v>9692.2525000000005</v>
      </c>
      <c r="K14" s="5">
        <f t="shared" si="2"/>
        <v>7753.8020000000006</v>
      </c>
      <c r="L14" s="5">
        <f t="shared" si="2"/>
        <v>5815.3514999999998</v>
      </c>
      <c r="M14" s="5">
        <f t="shared" si="2"/>
        <v>15507.604000000001</v>
      </c>
      <c r="N14" s="5">
        <f t="shared" si="2"/>
        <v>19384.505000000001</v>
      </c>
      <c r="O14" s="5">
        <f t="shared" si="2"/>
        <v>23261.405999999999</v>
      </c>
      <c r="P14" s="5">
        <f t="shared" si="2"/>
        <v>31015.208000000002</v>
      </c>
      <c r="Q14" s="5">
        <f>SUM(E14:P14)</f>
        <v>193845.05</v>
      </c>
    </row>
    <row r="15" spans="3:18" x14ac:dyDescent="0.3">
      <c r="D15" s="11"/>
      <c r="E15" s="11"/>
      <c r="F15" s="11"/>
      <c r="Q15" s="79">
        <f>SUM(Q13:Q14)</f>
        <v>228053</v>
      </c>
    </row>
    <row r="16" spans="3:18" x14ac:dyDescent="0.3">
      <c r="D16" s="2" t="s">
        <v>7</v>
      </c>
    </row>
    <row r="17" spans="2:18" x14ac:dyDescent="0.3">
      <c r="D17" s="7">
        <v>0.55000000000000004</v>
      </c>
      <c r="E17" s="5">
        <f>+$D$17*E8</f>
        <v>15051.498000000001</v>
      </c>
      <c r="F17" s="5">
        <f t="shared" ref="F17:P17" si="3">+$D$17*F8</f>
        <v>12542.915000000003</v>
      </c>
      <c r="G17" s="5">
        <f t="shared" si="3"/>
        <v>10034.332000000002</v>
      </c>
      <c r="H17" s="5">
        <f t="shared" si="3"/>
        <v>7525.7490000000007</v>
      </c>
      <c r="I17" s="5">
        <f t="shared" si="3"/>
        <v>7525.7490000000007</v>
      </c>
      <c r="J17" s="5">
        <f t="shared" si="3"/>
        <v>6271.4575000000013</v>
      </c>
      <c r="K17" s="5">
        <f t="shared" si="3"/>
        <v>5017.1660000000011</v>
      </c>
      <c r="L17" s="5">
        <f t="shared" si="3"/>
        <v>3762.8745000000004</v>
      </c>
      <c r="M17" s="5">
        <f t="shared" si="3"/>
        <v>10034.332000000002</v>
      </c>
      <c r="N17" s="5">
        <f t="shared" si="3"/>
        <v>12542.915000000003</v>
      </c>
      <c r="O17" s="5">
        <f t="shared" si="3"/>
        <v>15051.498000000001</v>
      </c>
      <c r="P17" s="5">
        <f t="shared" si="3"/>
        <v>20068.664000000004</v>
      </c>
      <c r="Q17" s="5">
        <f>SUM(E17:P17)</f>
        <v>125429.15000000005</v>
      </c>
    </row>
    <row r="18" spans="2:18" ht="34.200000000000003" customHeight="1" x14ac:dyDescent="0.3">
      <c r="D18" s="80" t="s">
        <v>52</v>
      </c>
      <c r="E18" s="5">
        <f t="shared" ref="E18:L18" si="4">+E8-E17</f>
        <v>12314.861999999999</v>
      </c>
      <c r="F18" s="5">
        <f t="shared" si="4"/>
        <v>10262.385</v>
      </c>
      <c r="G18" s="5">
        <f t="shared" si="4"/>
        <v>8209.9079999999994</v>
      </c>
      <c r="H18" s="5">
        <f t="shared" si="4"/>
        <v>6157.4309999999996</v>
      </c>
      <c r="I18" s="5">
        <f t="shared" si="4"/>
        <v>6157.4309999999996</v>
      </c>
      <c r="J18" s="5">
        <f t="shared" si="4"/>
        <v>5131.1925000000001</v>
      </c>
      <c r="K18" s="5">
        <f t="shared" si="4"/>
        <v>4104.9539999999997</v>
      </c>
      <c r="L18" s="5">
        <f t="shared" si="4"/>
        <v>3078.7154999999998</v>
      </c>
      <c r="M18" s="5">
        <f t="shared" ref="M18:P18" si="5">+M8-M17</f>
        <v>8209.9079999999994</v>
      </c>
      <c r="N18" s="5">
        <f t="shared" si="5"/>
        <v>10262.385</v>
      </c>
      <c r="O18" s="5">
        <f t="shared" si="5"/>
        <v>12314.861999999999</v>
      </c>
      <c r="P18" s="5">
        <f t="shared" si="5"/>
        <v>16419.815999999999</v>
      </c>
      <c r="Q18" s="5">
        <f>SUM(E18:P18)</f>
        <v>102623.84999999998</v>
      </c>
    </row>
    <row r="19" spans="2:18" x14ac:dyDescent="0.3">
      <c r="Q19" s="79">
        <f>SUM(Q17:Q18)</f>
        <v>228053.00000000003</v>
      </c>
    </row>
    <row r="20" spans="2:18" x14ac:dyDescent="0.3">
      <c r="D20" s="2" t="s">
        <v>8</v>
      </c>
    </row>
    <row r="21" spans="2:18" x14ac:dyDescent="0.3">
      <c r="D21" s="7">
        <f>100%-D17</f>
        <v>0.44999999999999996</v>
      </c>
      <c r="E21" s="5">
        <f>+$D$21*E8</f>
        <v>12314.861999999999</v>
      </c>
      <c r="F21" s="5">
        <f t="shared" ref="F21:P21" si="6">+$D$21*F8</f>
        <v>10262.385</v>
      </c>
      <c r="G21" s="5">
        <f t="shared" si="6"/>
        <v>8209.9079999999994</v>
      </c>
      <c r="H21" s="5">
        <f t="shared" si="6"/>
        <v>6157.4309999999996</v>
      </c>
      <c r="I21" s="5">
        <f t="shared" si="6"/>
        <v>6157.4309999999996</v>
      </c>
      <c r="J21" s="5">
        <f t="shared" si="6"/>
        <v>5131.1925000000001</v>
      </c>
      <c r="K21" s="5">
        <f t="shared" si="6"/>
        <v>4104.9539999999997</v>
      </c>
      <c r="L21" s="5">
        <f t="shared" si="6"/>
        <v>3078.7154999999998</v>
      </c>
      <c r="M21" s="5">
        <f t="shared" si="6"/>
        <v>8209.9079999999994</v>
      </c>
      <c r="N21" s="5">
        <f t="shared" si="6"/>
        <v>10262.385</v>
      </c>
      <c r="O21" s="5">
        <f t="shared" si="6"/>
        <v>12314.861999999999</v>
      </c>
      <c r="P21" s="5">
        <f t="shared" si="6"/>
        <v>16419.815999999999</v>
      </c>
      <c r="Q21" s="5">
        <f>SUM(E21:P21)</f>
        <v>102623.84999999998</v>
      </c>
    </row>
    <row r="23" spans="2:18" x14ac:dyDescent="0.3">
      <c r="D23" s="7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2:18" x14ac:dyDescent="0.3">
      <c r="D24" s="136" t="s">
        <v>9</v>
      </c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</row>
    <row r="25" spans="2:18" x14ac:dyDescent="0.3">
      <c r="B25" s="1" t="s">
        <v>10</v>
      </c>
      <c r="C25" s="1"/>
      <c r="D25" s="14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2:18" x14ac:dyDescent="0.3">
      <c r="B26" s="137" t="s">
        <v>55</v>
      </c>
      <c r="C26" s="138"/>
      <c r="D26" s="139"/>
    </row>
    <row r="27" spans="2:18" x14ac:dyDescent="0.3">
      <c r="B27" s="16" t="s">
        <v>12</v>
      </c>
      <c r="C27" s="17">
        <v>2022</v>
      </c>
      <c r="D27" s="18"/>
    </row>
    <row r="28" spans="2:18" x14ac:dyDescent="0.3">
      <c r="B28" s="16" t="s">
        <v>12</v>
      </c>
      <c r="C28" s="16">
        <v>2022</v>
      </c>
      <c r="D28" s="83">
        <f>SUM(D29:D31)</f>
        <v>72694</v>
      </c>
      <c r="E28" s="19">
        <v>0.9</v>
      </c>
      <c r="F28" s="2" t="s">
        <v>13</v>
      </c>
    </row>
    <row r="29" spans="2:18" x14ac:dyDescent="0.3">
      <c r="B29" s="16" t="s">
        <v>14</v>
      </c>
      <c r="C29" s="16">
        <v>2022</v>
      </c>
      <c r="D29" s="82">
        <v>29018</v>
      </c>
      <c r="E29" s="19">
        <f>+'[1]Base de Datos'!E28</f>
        <v>0.4</v>
      </c>
      <c r="F29" s="2" t="s">
        <v>15</v>
      </c>
    </row>
    <row r="30" spans="2:18" x14ac:dyDescent="0.3">
      <c r="B30" s="16" t="s">
        <v>16</v>
      </c>
      <c r="C30" s="16">
        <v>2022</v>
      </c>
      <c r="D30" s="77">
        <v>38051</v>
      </c>
      <c r="E30" s="2" t="s">
        <v>17</v>
      </c>
    </row>
    <row r="31" spans="2:18" x14ac:dyDescent="0.3">
      <c r="B31" s="16" t="s">
        <v>18</v>
      </c>
      <c r="C31" s="16">
        <v>2022</v>
      </c>
      <c r="D31" s="81">
        <v>5625</v>
      </c>
      <c r="E31" s="2" t="s">
        <v>19</v>
      </c>
    </row>
    <row r="32" spans="2:18" x14ac:dyDescent="0.3">
      <c r="D32" s="13"/>
    </row>
    <row r="33" spans="2:17" x14ac:dyDescent="0.3">
      <c r="B33" s="16" t="s">
        <v>20</v>
      </c>
      <c r="C33" s="16">
        <v>2022</v>
      </c>
      <c r="D33" s="76">
        <v>5085</v>
      </c>
      <c r="E33" s="2" t="s">
        <v>21</v>
      </c>
    </row>
    <row r="34" spans="2:17" x14ac:dyDescent="0.3">
      <c r="D34" s="13"/>
    </row>
    <row r="35" spans="2:17" x14ac:dyDescent="0.3">
      <c r="E35" s="20">
        <f t="shared" ref="E35:P35" si="7">+E7</f>
        <v>44562</v>
      </c>
      <c r="F35" s="20">
        <f t="shared" si="7"/>
        <v>44593</v>
      </c>
      <c r="G35" s="20">
        <f t="shared" si="7"/>
        <v>44621</v>
      </c>
      <c r="H35" s="20">
        <f t="shared" si="7"/>
        <v>44652</v>
      </c>
      <c r="I35" s="20">
        <f t="shared" si="7"/>
        <v>44682</v>
      </c>
      <c r="J35" s="20">
        <f t="shared" si="7"/>
        <v>44713</v>
      </c>
      <c r="K35" s="20">
        <f t="shared" si="7"/>
        <v>44743</v>
      </c>
      <c r="L35" s="20">
        <f t="shared" si="7"/>
        <v>44774</v>
      </c>
      <c r="M35" s="20">
        <f t="shared" si="7"/>
        <v>44805</v>
      </c>
      <c r="N35" s="20">
        <f t="shared" si="7"/>
        <v>44835</v>
      </c>
      <c r="O35" s="20">
        <f t="shared" si="7"/>
        <v>44866</v>
      </c>
      <c r="P35" s="20">
        <f t="shared" si="7"/>
        <v>44896</v>
      </c>
    </row>
    <row r="36" spans="2:17" x14ac:dyDescent="0.3">
      <c r="D36" s="21" t="str">
        <f>+[1]Resultados!C8</f>
        <v>Gastos Operativos</v>
      </c>
    </row>
    <row r="37" spans="2:17" x14ac:dyDescent="0.3">
      <c r="D37" s="2" t="str">
        <f>+[1]Resultados!C9</f>
        <v>Gasto Ventas</v>
      </c>
      <c r="E37" s="84">
        <f>+$D$29*E5</f>
        <v>3482.16</v>
      </c>
      <c r="F37" s="84">
        <f t="shared" ref="F37:P37" si="8">+$D$29*F5</f>
        <v>2901.8</v>
      </c>
      <c r="G37" s="84">
        <f t="shared" si="8"/>
        <v>2321.44</v>
      </c>
      <c r="H37" s="84">
        <f t="shared" si="8"/>
        <v>1741.08</v>
      </c>
      <c r="I37" s="84">
        <f t="shared" si="8"/>
        <v>1741.08</v>
      </c>
      <c r="J37" s="84">
        <f t="shared" si="8"/>
        <v>1450.9</v>
      </c>
      <c r="K37" s="84">
        <f t="shared" si="8"/>
        <v>1160.72</v>
      </c>
      <c r="L37" s="84">
        <f t="shared" si="8"/>
        <v>870.54</v>
      </c>
      <c r="M37" s="84">
        <f t="shared" si="8"/>
        <v>2321.44</v>
      </c>
      <c r="N37" s="84">
        <f t="shared" si="8"/>
        <v>2901.8</v>
      </c>
      <c r="O37" s="84">
        <f t="shared" si="8"/>
        <v>3482.16</v>
      </c>
      <c r="P37" s="84">
        <f t="shared" si="8"/>
        <v>4642.88</v>
      </c>
      <c r="Q37" s="85">
        <f>SUM(E37:P37)</f>
        <v>29017.999999999996</v>
      </c>
    </row>
    <row r="38" spans="2:17" x14ac:dyDescent="0.3">
      <c r="D38" s="2" t="str">
        <f>+[1]Resultados!C10</f>
        <v>Gasto Administrativo</v>
      </c>
      <c r="E38" s="86">
        <f>+$D$30*E5</f>
        <v>4566.12</v>
      </c>
      <c r="F38" s="86">
        <f t="shared" ref="F38:P38" si="9">+$D$30*F5</f>
        <v>3805.1000000000004</v>
      </c>
      <c r="G38" s="86">
        <f t="shared" si="9"/>
        <v>3044.08</v>
      </c>
      <c r="H38" s="86">
        <f t="shared" si="9"/>
        <v>2283.06</v>
      </c>
      <c r="I38" s="86">
        <f t="shared" si="9"/>
        <v>2283.06</v>
      </c>
      <c r="J38" s="86">
        <f t="shared" si="9"/>
        <v>1902.5500000000002</v>
      </c>
      <c r="K38" s="86">
        <f t="shared" si="9"/>
        <v>1522.04</v>
      </c>
      <c r="L38" s="86">
        <f t="shared" si="9"/>
        <v>1141.53</v>
      </c>
      <c r="M38" s="86">
        <f t="shared" si="9"/>
        <v>3044.08</v>
      </c>
      <c r="N38" s="86">
        <f t="shared" si="9"/>
        <v>3805.1000000000004</v>
      </c>
      <c r="O38" s="86">
        <f t="shared" si="9"/>
        <v>4566.12</v>
      </c>
      <c r="P38" s="86">
        <f t="shared" si="9"/>
        <v>6088.16</v>
      </c>
      <c r="Q38" s="87">
        <f>SUM(E38:P38)</f>
        <v>38051</v>
      </c>
    </row>
    <row r="39" spans="2:17" x14ac:dyDescent="0.3">
      <c r="D39" s="2" t="str">
        <f>+[1]Resultados!C11</f>
        <v>Depreciaciones</v>
      </c>
      <c r="E39" s="91">
        <f>+$D$31/12</f>
        <v>468.75</v>
      </c>
      <c r="F39" s="91">
        <f t="shared" ref="F39:P39" si="10">+$D$31/12</f>
        <v>468.75</v>
      </c>
      <c r="G39" s="91">
        <f t="shared" si="10"/>
        <v>468.75</v>
      </c>
      <c r="H39" s="91">
        <f t="shared" si="10"/>
        <v>468.75</v>
      </c>
      <c r="I39" s="91">
        <f t="shared" si="10"/>
        <v>468.75</v>
      </c>
      <c r="J39" s="91">
        <f t="shared" si="10"/>
        <v>468.75</v>
      </c>
      <c r="K39" s="91">
        <f t="shared" si="10"/>
        <v>468.75</v>
      </c>
      <c r="L39" s="91">
        <f t="shared" si="10"/>
        <v>468.75</v>
      </c>
      <c r="M39" s="91">
        <f t="shared" si="10"/>
        <v>468.75</v>
      </c>
      <c r="N39" s="91">
        <f t="shared" si="10"/>
        <v>468.75</v>
      </c>
      <c r="O39" s="91">
        <f t="shared" si="10"/>
        <v>468.75</v>
      </c>
      <c r="P39" s="91">
        <f t="shared" si="10"/>
        <v>468.75</v>
      </c>
      <c r="Q39" s="92">
        <f>SUM(E39:P39)</f>
        <v>5625</v>
      </c>
    </row>
    <row r="40" spans="2:17" x14ac:dyDescent="0.3">
      <c r="D40" s="22" t="str">
        <f>+[1]Resultados!C12</f>
        <v>Total Gasto Operativo</v>
      </c>
      <c r="E40" s="93">
        <f>SUM(E37:E39)</f>
        <v>8517.0299999999988</v>
      </c>
      <c r="F40" s="93">
        <f t="shared" ref="F40:P40" si="11">SUM(F37:F39)</f>
        <v>7175.6500000000005</v>
      </c>
      <c r="G40" s="93">
        <f t="shared" si="11"/>
        <v>5834.27</v>
      </c>
      <c r="H40" s="93">
        <f t="shared" si="11"/>
        <v>4492.8899999999994</v>
      </c>
      <c r="I40" s="93">
        <f t="shared" si="11"/>
        <v>4492.8899999999994</v>
      </c>
      <c r="J40" s="93">
        <f t="shared" si="11"/>
        <v>3822.2000000000003</v>
      </c>
      <c r="K40" s="93">
        <f t="shared" si="11"/>
        <v>3151.51</v>
      </c>
      <c r="L40" s="93">
        <f t="shared" si="11"/>
        <v>2480.8199999999997</v>
      </c>
      <c r="M40" s="93">
        <f t="shared" si="11"/>
        <v>5834.27</v>
      </c>
      <c r="N40" s="93">
        <f t="shared" si="11"/>
        <v>7175.6500000000005</v>
      </c>
      <c r="O40" s="93">
        <f t="shared" si="11"/>
        <v>8517.0299999999988</v>
      </c>
      <c r="P40" s="93">
        <f t="shared" si="11"/>
        <v>11199.79</v>
      </c>
      <c r="Q40" s="88">
        <f>SUM(E40:P40)</f>
        <v>72694</v>
      </c>
    </row>
    <row r="41" spans="2:17" x14ac:dyDescent="0.3">
      <c r="D41" s="2" t="s">
        <v>22</v>
      </c>
      <c r="E41" s="89">
        <f>+$D$33/12</f>
        <v>423.75</v>
      </c>
      <c r="F41" s="89">
        <f t="shared" ref="F41:P41" si="12">+$D$33/12</f>
        <v>423.75</v>
      </c>
      <c r="G41" s="89">
        <f t="shared" si="12"/>
        <v>423.75</v>
      </c>
      <c r="H41" s="89">
        <f t="shared" si="12"/>
        <v>423.75</v>
      </c>
      <c r="I41" s="89">
        <f t="shared" si="12"/>
        <v>423.75</v>
      </c>
      <c r="J41" s="89">
        <f t="shared" si="12"/>
        <v>423.75</v>
      </c>
      <c r="K41" s="89">
        <f t="shared" si="12"/>
        <v>423.75</v>
      </c>
      <c r="L41" s="89">
        <f t="shared" si="12"/>
        <v>423.75</v>
      </c>
      <c r="M41" s="89">
        <f t="shared" si="12"/>
        <v>423.75</v>
      </c>
      <c r="N41" s="89">
        <f t="shared" si="12"/>
        <v>423.75</v>
      </c>
      <c r="O41" s="89">
        <f t="shared" si="12"/>
        <v>423.75</v>
      </c>
      <c r="P41" s="89">
        <f t="shared" si="12"/>
        <v>423.75</v>
      </c>
      <c r="Q41" s="90">
        <f>SUM(E41:P41)</f>
        <v>5085</v>
      </c>
    </row>
    <row r="43" spans="2:17" x14ac:dyDescent="0.3">
      <c r="D43" s="2" t="s">
        <v>22</v>
      </c>
      <c r="E43" s="5">
        <v>427.93967605165943</v>
      </c>
      <c r="F43" s="5">
        <v>427.19623731014826</v>
      </c>
      <c r="G43" s="5">
        <v>426.44536418122203</v>
      </c>
      <c r="H43" s="5">
        <v>425.6869823210065</v>
      </c>
      <c r="I43" s="5">
        <v>424.92101664218887</v>
      </c>
      <c r="J43" s="5">
        <v>424.14739130658302</v>
      </c>
      <c r="K43" s="5">
        <v>423.36602971762113</v>
      </c>
      <c r="L43" s="5">
        <v>422.57685451276956</v>
      </c>
      <c r="M43" s="5">
        <v>421.77978755586958</v>
      </c>
      <c r="N43" s="5">
        <v>420.9747499294005</v>
      </c>
      <c r="O43" s="5">
        <v>420.1616619266668</v>
      </c>
      <c r="P43" s="5">
        <v>419.34044304390568</v>
      </c>
      <c r="Q43" s="12">
        <f>SUM(E43:P43)</f>
        <v>5084.5361944990418</v>
      </c>
    </row>
  </sheetData>
  <mergeCells count="4">
    <mergeCell ref="C2:R2"/>
    <mergeCell ref="D6:R6"/>
    <mergeCell ref="D24:R24"/>
    <mergeCell ref="B26:D26"/>
  </mergeCells>
  <pageMargins left="0.7" right="0.7" top="0.75" bottom="0.75" header="0.3" footer="0.3"/>
  <pageSetup orientation="portrait" horizontalDpi="30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PRESUPUESTO DE VENTAS</vt:lpstr>
      <vt:lpstr>Plan de Ventas y gastos 2023</vt:lpstr>
      <vt:lpstr>Resultados proyectados 2023</vt:lpstr>
      <vt:lpstr>Plan de Ventas y gastos 2022</vt:lpstr>
      <vt:lpstr>Resultados proyectados 2022</vt:lpstr>
      <vt:lpstr>Plan de Ventas y gastos DUPLICA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ESPINOZA FERNANDA VALENTINA</dc:creator>
  <cp:lastModifiedBy>MORALES ESPINOZA FERNANDA VALENTINA</cp:lastModifiedBy>
  <dcterms:created xsi:type="dcterms:W3CDTF">2025-12-10T15:56:55Z</dcterms:created>
  <dcterms:modified xsi:type="dcterms:W3CDTF">2026-04-08T16:38:33Z</dcterms:modified>
</cp:coreProperties>
</file>