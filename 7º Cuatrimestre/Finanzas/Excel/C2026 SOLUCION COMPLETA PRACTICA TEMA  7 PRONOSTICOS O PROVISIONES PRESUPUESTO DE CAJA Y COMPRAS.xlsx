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piron\Documents\UHISPANOAMERICANA\FINANZAS 1\FINANZAS IQ 2026\SEMANA 12\"/>
    </mc:Choice>
  </mc:AlternateContent>
  <xr:revisionPtr revIDLastSave="0" documentId="13_ncr:1_{66CBE2FB-1BD8-493E-967B-EE45E1112513}" xr6:coauthVersionLast="47" xr6:coauthVersionMax="47" xr10:uidLastSave="{00000000-0000-0000-0000-000000000000}"/>
  <bookViews>
    <workbookView xWindow="-108" yWindow="-108" windowWidth="23256" windowHeight="12456" xr2:uid="{956E89C3-B645-4B6A-88A2-C650605243B7}"/>
  </bookViews>
  <sheets>
    <sheet name="PRESUPUESTO DE CAJA" sheetId="5" r:id="rId1"/>
    <sheet name="PRESUPUESTO DE COMPRA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6" l="1"/>
  <c r="K20" i="6"/>
  <c r="I22" i="6"/>
  <c r="I21" i="6"/>
  <c r="I17" i="6"/>
  <c r="I16" i="6"/>
  <c r="I15" i="6"/>
  <c r="I20" i="6"/>
  <c r="G17" i="6"/>
  <c r="F41" i="6"/>
  <c r="E8" i="6"/>
  <c r="D43" i="6"/>
  <c r="B43" i="6"/>
  <c r="G15" i="6"/>
  <c r="G14" i="6"/>
  <c r="D32" i="6"/>
  <c r="B32" i="6"/>
  <c r="C34" i="6" s="1"/>
  <c r="C45" i="6" l="1"/>
  <c r="G12" i="5" l="1"/>
  <c r="G16" i="5" s="1"/>
  <c r="I11" i="5"/>
  <c r="I12" i="5" s="1"/>
  <c r="I14" i="5" s="1"/>
  <c r="K10" i="5"/>
  <c r="I10" i="5"/>
  <c r="G10" i="5"/>
  <c r="K11" i="5" l="1"/>
  <c r="K12" i="5" s="1"/>
  <c r="K14" i="5" s="1"/>
</calcChain>
</file>

<file path=xl/sharedStrings.xml><?xml version="1.0" encoding="utf-8"?>
<sst xmlns="http://schemas.openxmlformats.org/spreadsheetml/2006/main" count="66" uniqueCount="47">
  <si>
    <t>PRESUPUESTO DE CAJA</t>
  </si>
  <si>
    <t>Presupuesto de caja de Coulson Industries (en miles de dólares)</t>
  </si>
  <si>
    <t>Octubre</t>
  </si>
  <si>
    <t>Noviembre</t>
  </si>
  <si>
    <t>Diciembre</t>
  </si>
  <si>
    <t>Total de entradas de efectivo</t>
  </si>
  <si>
    <r>
      <rPr>
        <b/>
        <sz val="12"/>
        <color rgb="FFFF0000"/>
        <rFont val="Arial Nova"/>
        <family val="2"/>
      </rPr>
      <t>menos:</t>
    </r>
    <r>
      <rPr>
        <sz val="12"/>
        <color theme="1"/>
        <rFont val="Arial Nova"/>
        <family val="2"/>
      </rPr>
      <t xml:space="preserve"> total de desembolso de efectivo</t>
    </r>
  </si>
  <si>
    <t>Flujo de efectivo neto</t>
  </si>
  <si>
    <r>
      <rPr>
        <b/>
        <sz val="12"/>
        <color rgb="FF0000CC"/>
        <rFont val="Arial Nova"/>
        <family val="2"/>
      </rPr>
      <t>más:</t>
    </r>
    <r>
      <rPr>
        <sz val="12"/>
        <color theme="1"/>
        <rFont val="Arial Nova"/>
        <family val="2"/>
      </rPr>
      <t xml:space="preserve"> efectivo inicial</t>
    </r>
  </si>
  <si>
    <t>Efectivo final</t>
  </si>
  <si>
    <r>
      <rPr>
        <sz val="12"/>
        <color rgb="FFFF0000"/>
        <rFont val="Arial Nova"/>
        <family val="2"/>
      </rPr>
      <t>Menos:</t>
    </r>
    <r>
      <rPr>
        <sz val="12"/>
        <color theme="1"/>
        <rFont val="Arial Nova"/>
        <family val="2"/>
      </rPr>
      <t xml:space="preserve"> saldo de efectivo mínimo</t>
    </r>
  </si>
  <si>
    <t>Financiamiento total requerido (documentos por pagar)</t>
  </si>
  <si>
    <t>Saldo de efectivo excedente (valores negociables)</t>
  </si>
  <si>
    <t>Presupuesto de caja Compras (en miles de dólares)</t>
  </si>
  <si>
    <t>Marzo</t>
  </si>
  <si>
    <t>Abril</t>
  </si>
  <si>
    <t>Mayo</t>
  </si>
  <si>
    <t>Junio</t>
  </si>
  <si>
    <t>Abril - Mayo</t>
  </si>
  <si>
    <t>Inventario final</t>
  </si>
  <si>
    <r>
      <rPr>
        <b/>
        <sz val="12"/>
        <color rgb="FF0000CC"/>
        <rFont val="Arial Nova"/>
        <family val="2"/>
      </rPr>
      <t>más:</t>
    </r>
    <r>
      <rPr>
        <sz val="12"/>
        <color rgb="FF0000CC"/>
        <rFont val="Arial Nova"/>
        <family val="2"/>
      </rPr>
      <t xml:space="preserve"> costo de ventas</t>
    </r>
  </si>
  <si>
    <t>Total necesario</t>
  </si>
  <si>
    <t>menos: inventario final</t>
  </si>
  <si>
    <t>Compras</t>
  </si>
  <si>
    <t>Desembolso de compras</t>
  </si>
  <si>
    <t>50% de compras del mes pasado</t>
  </si>
  <si>
    <t>más 50% de compras de este mes</t>
  </si>
  <si>
    <t>Desembolsos de compras</t>
  </si>
  <si>
    <t xml:space="preserve"> </t>
  </si>
  <si>
    <t>Entradas dinero</t>
  </si>
  <si>
    <t>Salida dinero</t>
  </si>
  <si>
    <t>iuewrpl}</t>
  </si>
  <si>
    <t>Saldo mínimo efectivo</t>
  </si>
  <si>
    <t xml:space="preserve">Compras </t>
  </si>
  <si>
    <t>+</t>
  </si>
  <si>
    <t>qewrs</t>
  </si>
  <si>
    <t xml:space="preserve">costo % </t>
  </si>
  <si>
    <t>x</t>
  </si>
  <si>
    <t xml:space="preserve"> x </t>
  </si>
  <si>
    <t>El costo de ventas  80%</t>
  </si>
  <si>
    <t>Costo de ventas abril</t>
  </si>
  <si>
    <t>Suponga que las compras de marzo fueron de 20,000</t>
  </si>
  <si>
    <t>** Costo de ventas de abril= $35,000 * 80%= $28,000</t>
  </si>
  <si>
    <t>Cálculo de inventario final  abril</t>
  </si>
  <si>
    <t>Costo de ventas MARZO</t>
  </si>
  <si>
    <t>Cálculo de inventario final  marzo</t>
  </si>
  <si>
    <t>Costo de ventas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</si>
</sst>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_);_(@_)"/>
    <numFmt numFmtId="165" formatCode="[$$-540A]#,##0.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CC"/>
      <name val="Arial Nova"/>
      <family val="2"/>
    </font>
    <font>
      <b/>
      <sz val="16"/>
      <color theme="1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b/>
      <sz val="12"/>
      <color rgb="FFFF0000"/>
      <name val="Arial Nova"/>
      <family val="2"/>
    </font>
    <font>
      <sz val="12"/>
      <color rgb="FFFF0000"/>
      <name val="Arial Nova"/>
      <family val="2"/>
    </font>
    <font>
      <sz val="12"/>
      <color rgb="FF0000CC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CC"/>
      </patternFill>
    </fill>
    <fill>
      <patternFill patternType="solid">
        <fgColor rgb="FFCC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3" borderId="4" applyNumberFormat="0" applyFont="0" applyAlignment="0" applyProtection="0"/>
  </cellStyleXfs>
  <cellXfs count="51">
    <xf numFmtId="0" fontId="0" fillId="0" borderId="0" xfId="0"/>
    <xf numFmtId="0" fontId="5" fillId="0" borderId="0" xfId="2" applyFont="1"/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165" fontId="5" fillId="0" borderId="0" xfId="2" applyNumberFormat="1" applyFont="1"/>
    <xf numFmtId="165" fontId="8" fillId="0" borderId="1" xfId="2" applyNumberFormat="1" applyFont="1" applyBorder="1"/>
    <xf numFmtId="165" fontId="8" fillId="0" borderId="0" xfId="2" applyNumberFormat="1" applyFont="1"/>
    <xf numFmtId="165" fontId="9" fillId="0" borderId="1" xfId="2" applyNumberFormat="1" applyFont="1" applyBorder="1"/>
    <xf numFmtId="165" fontId="9" fillId="0" borderId="0" xfId="2" applyNumberFormat="1" applyFont="1"/>
    <xf numFmtId="165" fontId="3" fillId="0" borderId="0" xfId="2" applyNumberFormat="1" applyFont="1"/>
    <xf numFmtId="165" fontId="7" fillId="0" borderId="0" xfId="2" applyNumberFormat="1" applyFont="1"/>
    <xf numFmtId="165" fontId="8" fillId="2" borderId="1" xfId="2" applyNumberFormat="1" applyFont="1" applyFill="1" applyBorder="1"/>
    <xf numFmtId="165" fontId="8" fillId="2" borderId="0" xfId="2" applyNumberFormat="1" applyFont="1" applyFill="1"/>
    <xf numFmtId="165" fontId="5" fillId="0" borderId="0" xfId="2" applyNumberFormat="1" applyFont="1" applyAlignment="1">
      <alignment horizontal="center"/>
    </xf>
    <xf numFmtId="0" fontId="3" fillId="0" borderId="0" xfId="2" applyFont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3" borderId="7" xfId="4" applyFont="1" applyBorder="1"/>
    <xf numFmtId="165" fontId="5" fillId="3" borderId="8" xfId="4" applyNumberFormat="1" applyFont="1" applyBorder="1"/>
    <xf numFmtId="0" fontId="5" fillId="3" borderId="9" xfId="4" applyFont="1" applyBorder="1"/>
    <xf numFmtId="165" fontId="5" fillId="3" borderId="10" xfId="4" applyNumberFormat="1" applyFont="1" applyBorder="1"/>
    <xf numFmtId="165" fontId="5" fillId="2" borderId="4" xfId="4" applyNumberFormat="1" applyFont="1" applyFill="1"/>
    <xf numFmtId="0" fontId="5" fillId="4" borderId="0" xfId="2" applyFont="1" applyFill="1"/>
    <xf numFmtId="165" fontId="5" fillId="4" borderId="4" xfId="4" applyNumberFormat="1" applyFont="1" applyFill="1"/>
    <xf numFmtId="165" fontId="9" fillId="4" borderId="1" xfId="2" applyNumberFormat="1" applyFont="1" applyFill="1" applyBorder="1"/>
    <xf numFmtId="9" fontId="5" fillId="0" borderId="0" xfId="3" applyFont="1" applyAlignment="1">
      <alignment horizontal="center"/>
    </xf>
    <xf numFmtId="165" fontId="4" fillId="0" borderId="0" xfId="2" applyNumberFormat="1" applyFont="1" applyAlignment="1">
      <alignment horizontal="center"/>
    </xf>
    <xf numFmtId="165" fontId="5" fillId="4" borderId="0" xfId="2" applyNumberFormat="1" applyFont="1" applyFill="1" applyAlignment="1">
      <alignment horizontal="center"/>
    </xf>
    <xf numFmtId="165" fontId="5" fillId="0" borderId="1" xfId="2" applyNumberFormat="1" applyFont="1" applyBorder="1"/>
    <xf numFmtId="165" fontId="6" fillId="0" borderId="0" xfId="2" applyNumberFormat="1" applyFont="1"/>
    <xf numFmtId="165" fontId="3" fillId="0" borderId="1" xfId="2" applyNumberFormat="1" applyFont="1" applyBorder="1"/>
    <xf numFmtId="0" fontId="6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4" fillId="0" borderId="2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6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/>
    </xf>
    <xf numFmtId="0" fontId="5" fillId="2" borderId="0" xfId="2" applyFont="1" applyFill="1" applyAlignment="1">
      <alignment horizontal="left"/>
    </xf>
    <xf numFmtId="0" fontId="7" fillId="0" borderId="0" xfId="2" applyFont="1" applyAlignment="1">
      <alignment horizontal="left" vertical="center" wrapText="1"/>
    </xf>
    <xf numFmtId="165" fontId="7" fillId="0" borderId="3" xfId="2" applyNumberFormat="1" applyFont="1" applyBorder="1" applyAlignment="1">
      <alignment horizontal="right"/>
    </xf>
    <xf numFmtId="165" fontId="7" fillId="0" borderId="0" xfId="2" applyNumberFormat="1" applyFont="1" applyAlignment="1">
      <alignment horizontal="right"/>
    </xf>
    <xf numFmtId="0" fontId="6" fillId="3" borderId="5" xfId="4" applyFont="1" applyBorder="1" applyAlignment="1">
      <alignment horizontal="center"/>
    </xf>
    <xf numFmtId="0" fontId="6" fillId="3" borderId="6" xfId="4" applyFont="1" applyBorder="1" applyAlignment="1">
      <alignment horizontal="center"/>
    </xf>
    <xf numFmtId="0" fontId="6" fillId="2" borderId="4" xfId="4" applyFont="1" applyFill="1" applyAlignment="1">
      <alignment horizontal="center"/>
    </xf>
  </cellXfs>
  <cellStyles count="5">
    <cellStyle name="Moneda [0] 2" xfId="1" xr:uid="{D44434DB-22E5-48DD-B63C-96F092F94BC5}"/>
    <cellStyle name="Normal" xfId="0" builtinId="0"/>
    <cellStyle name="Normal 2" xfId="2" xr:uid="{7BC6DAB1-B279-4FDB-8256-F147ACFAA4EC}"/>
    <cellStyle name="Notas" xfId="4" builtinId="10"/>
    <cellStyle name="Porcentaje" xfId="3" builtinId="5"/>
  </cellStyles>
  <dxfs count="0"/>
  <tableStyles count="0" defaultTableStyle="TableStyleMedium2" defaultPivotStyle="PivotStyleLight16"/>
  <colors>
    <mruColors>
      <color rgb="FF0000CC"/>
      <color rgb="FFCCCCFF"/>
      <color rgb="FFCCECFF"/>
      <color rgb="FFFF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716280</xdr:colOff>
      <xdr:row>20</xdr:row>
      <xdr:rowOff>30480</xdr:rowOff>
    </xdr:from>
    <xdr:to>
      <xdr:col>11</xdr:col>
      <xdr:colOff>557437</xdr:colOff>
      <xdr:row>45</xdr:row>
      <xdr:rowOff>8467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52BE48-4C68-4667-9E8D-642FB1785C53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" y="4069080"/>
          <a:ext cx="7019197" cy="4930987"/>
        </a:xfrm>
        <a:prstGeom prst="rect">
          <a:avLst/>
        </a:prstGeom>
      </xdr:spPr>
    </xdr:pic>
    <xdr:clientData/>
  </xdr:twoCellAnchor>
  <xdr:twoCellAnchor>
    <xdr:from>
      <xdr:col>7</xdr:col>
      <xdr:colOff>45720</xdr:colOff>
      <xdr:row>10</xdr:row>
      <xdr:rowOff>83820</xdr:rowOff>
    </xdr:from>
    <xdr:to>
      <xdr:col>8</xdr:col>
      <xdr:colOff>365760</xdr:colOff>
      <xdr:row>11</xdr:row>
      <xdr:rowOff>99060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D23B4A7-952B-4172-A572-5A77698F4B0B}"/>
            </a:ext>
          </a:extLst>
        </xdr:cNvPr>
        <xdr:cNvCxnSpPr/>
      </xdr:nvCxnSpPr>
      <xdr:spPr>
        <a:xfrm flipV="1">
          <a:off x="6202680" y="2141220"/>
          <a:ext cx="716280" cy="21336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975360</xdr:colOff>
      <xdr:row>10</xdr:row>
      <xdr:rowOff>99060</xdr:rowOff>
    </xdr:from>
    <xdr:to>
      <xdr:col>10</xdr:col>
      <xdr:colOff>129540</xdr:colOff>
      <xdr:row>11</xdr:row>
      <xdr:rowOff>129540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EFD2597-7C4B-4F4A-B405-7BAAC36C58A3}"/>
            </a:ext>
          </a:extLst>
        </xdr:cNvPr>
        <xdr:cNvCxnSpPr/>
      </xdr:nvCxnSpPr>
      <xdr:spPr>
        <a:xfrm flipV="1">
          <a:off x="7528560" y="2156460"/>
          <a:ext cx="510540" cy="22860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205740</xdr:colOff>
      <xdr:row>25</xdr:row>
      <xdr:rowOff>91440</xdr:rowOff>
    </xdr:from>
    <xdr:to>
      <xdr:col>18</xdr:col>
      <xdr:colOff>145640</xdr:colOff>
      <xdr:row>47</xdr:row>
      <xdr:rowOff>64378</xdr:rowOff>
    </xdr:to>
    <xdr:pic>
      <xdr:nvPicPr>
        <xdr:cNvPr id="2" name="Imagen 1" descr="Tabla&#10;&#10;El contenido generado por IA puede ser incorrecto.">
          <a:extLst>
            <a:ext uri="{FF2B5EF4-FFF2-40B4-BE49-F238E27FC236}">
              <a16:creationId xmlns:a16="http://schemas.microsoft.com/office/drawing/2014/main" id="{EA9AA6A6-51F2-7C0E-6937-57B7F397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9540" y="4907280"/>
          <a:ext cx="5837780" cy="4331578"/>
        </a:xfrm>
        <a:prstGeom prst="rect">
          <a:avLst/>
        </a:prstGeom>
      </xdr:spPr>
    </xdr:pic>
    <xdr:clientData/>
  </xdr:twoCellAnchor>
  <xdr:twoCellAnchor>
    <xdr:from>
      <xdr:col>7</xdr:col>
      <xdr:colOff>45720</xdr:colOff>
      <xdr:row>15</xdr:row>
      <xdr:rowOff>83820</xdr:rowOff>
    </xdr:from>
    <xdr:to>
      <xdr:col>8</xdr:col>
      <xdr:colOff>365760</xdr:colOff>
      <xdr:row>16</xdr:row>
      <xdr:rowOff>99060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37DCC824-5C4E-40FB-BBAD-6607B0CAB25D}"/>
            </a:ext>
          </a:extLst>
        </xdr:cNvPr>
        <xdr:cNvCxnSpPr/>
      </xdr:nvCxnSpPr>
      <xdr:spPr>
        <a:xfrm flipV="1">
          <a:off x="6202680" y="2141220"/>
          <a:ext cx="716280" cy="21336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975360</xdr:colOff>
      <xdr:row>15</xdr:row>
      <xdr:rowOff>99060</xdr:rowOff>
    </xdr:from>
    <xdr:to>
      <xdr:col>10</xdr:col>
      <xdr:colOff>129540</xdr:colOff>
      <xdr:row>16</xdr:row>
      <xdr:rowOff>129540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FD14D4C-53FE-4F10-B8F4-84BBB399D623}"/>
            </a:ext>
          </a:extLst>
        </xdr:cNvPr>
        <xdr:cNvCxnSpPr/>
      </xdr:nvCxnSpPr>
      <xdr:spPr>
        <a:xfrm flipV="1">
          <a:off x="7528560" y="2156460"/>
          <a:ext cx="510540" cy="22860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</xdr:colOff>
      <xdr:row>15</xdr:row>
      <xdr:rowOff>83820</xdr:rowOff>
    </xdr:from>
    <xdr:to>
      <xdr:col>14</xdr:col>
      <xdr:colOff>365760</xdr:colOff>
      <xdr:row>16</xdr:row>
      <xdr:rowOff>99060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958FB5B-9C82-4D46-A188-D432B61EC81E}"/>
            </a:ext>
          </a:extLst>
        </xdr:cNvPr>
        <xdr:cNvCxnSpPr/>
      </xdr:nvCxnSpPr>
      <xdr:spPr>
        <a:xfrm flipV="1">
          <a:off x="6202680" y="2141220"/>
          <a:ext cx="716280" cy="21336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975360</xdr:colOff>
      <xdr:row>15</xdr:row>
      <xdr:rowOff>99060</xdr:rowOff>
    </xdr:from>
    <xdr:to>
      <xdr:col>16</xdr:col>
      <xdr:colOff>129540</xdr:colOff>
      <xdr:row>16</xdr:row>
      <xdr:rowOff>129540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3A71ECCE-4A67-4C15-B5FB-6EAD551FAE53}"/>
            </a:ext>
          </a:extLst>
        </xdr:cNvPr>
        <xdr:cNvCxnSpPr/>
      </xdr:nvCxnSpPr>
      <xdr:spPr>
        <a:xfrm flipV="1">
          <a:off x="7528560" y="2156460"/>
          <a:ext cx="510540" cy="228600"/>
        </a:xfrm>
        <a:prstGeom prst="straightConnector1">
          <a:avLst/>
        </a:prstGeom>
        <a:ln w="28575">
          <a:solidFill>
            <a:srgbClr val="66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26</xdr:row>
      <xdr:rowOff>144780</xdr:rowOff>
    </xdr:from>
    <xdr:to>
      <xdr:col>5</xdr:col>
      <xdr:colOff>1135380</xdr:colOff>
      <xdr:row>28</xdr:row>
      <xdr:rowOff>91440</xdr:rowOff>
    </xdr:to>
    <xdr:sp macro="" textlink="">
      <xdr:nvSpPr>
        <xdr:cNvPr id="3" name="Corchetes 2">
          <a:extLst>
            <a:ext uri="{FF2B5EF4-FFF2-40B4-BE49-F238E27FC236}">
              <a16:creationId xmlns:a16="http://schemas.microsoft.com/office/drawing/2014/main" id="{E1BEAB0B-075E-F399-E84F-CAED9DCA4F61}"/>
            </a:ext>
          </a:extLst>
        </xdr:cNvPr>
        <xdr:cNvSpPr/>
      </xdr:nvSpPr>
      <xdr:spPr>
        <a:xfrm>
          <a:off x="2392680" y="5158740"/>
          <a:ext cx="2705100" cy="342900"/>
        </a:xfrm>
        <a:prstGeom prst="bracketPair">
          <a:avLst/>
        </a:prstGeom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3</xdr:col>
      <xdr:colOff>15240</xdr:colOff>
      <xdr:row>28</xdr:row>
      <xdr:rowOff>152400</xdr:rowOff>
    </xdr:from>
    <xdr:to>
      <xdr:col>5</xdr:col>
      <xdr:colOff>1135380</xdr:colOff>
      <xdr:row>30</xdr:row>
      <xdr:rowOff>99060</xdr:rowOff>
    </xdr:to>
    <xdr:sp macro="" textlink="">
      <xdr:nvSpPr>
        <xdr:cNvPr id="8" name="Corchetes 7">
          <a:extLst>
            <a:ext uri="{FF2B5EF4-FFF2-40B4-BE49-F238E27FC236}">
              <a16:creationId xmlns:a16="http://schemas.microsoft.com/office/drawing/2014/main" id="{E99FF156-D063-4FAF-9BFF-E60A6852E073}"/>
            </a:ext>
          </a:extLst>
        </xdr:cNvPr>
        <xdr:cNvSpPr/>
      </xdr:nvSpPr>
      <xdr:spPr>
        <a:xfrm>
          <a:off x="2415540" y="5562600"/>
          <a:ext cx="2705100" cy="342900"/>
        </a:xfrm>
        <a:prstGeom prst="bracketPair">
          <a:avLst/>
        </a:prstGeom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5</xdr:col>
      <xdr:colOff>480060</xdr:colOff>
      <xdr:row>13</xdr:row>
      <xdr:rowOff>99060</xdr:rowOff>
    </xdr:from>
    <xdr:to>
      <xdr:col>6</xdr:col>
      <xdr:colOff>60960</xdr:colOff>
      <xdr:row>22</xdr:row>
      <xdr:rowOff>152400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DDD6FC35-7EC6-C0ED-7D9E-7B7F6619BD7F}"/>
            </a:ext>
          </a:extLst>
        </xdr:cNvPr>
        <xdr:cNvCxnSpPr/>
      </xdr:nvCxnSpPr>
      <xdr:spPr>
        <a:xfrm flipH="1">
          <a:off x="4823460" y="2796540"/>
          <a:ext cx="944880" cy="1836420"/>
        </a:xfrm>
        <a:prstGeom prst="straightConnector1">
          <a:avLst/>
        </a:prstGeom>
        <a:ln w="28575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37</xdr:row>
      <xdr:rowOff>144780</xdr:rowOff>
    </xdr:from>
    <xdr:to>
      <xdr:col>5</xdr:col>
      <xdr:colOff>1135380</xdr:colOff>
      <xdr:row>39</xdr:row>
      <xdr:rowOff>91440</xdr:rowOff>
    </xdr:to>
    <xdr:sp macro="" textlink="">
      <xdr:nvSpPr>
        <xdr:cNvPr id="11" name="Corchetes 10">
          <a:extLst>
            <a:ext uri="{FF2B5EF4-FFF2-40B4-BE49-F238E27FC236}">
              <a16:creationId xmlns:a16="http://schemas.microsoft.com/office/drawing/2014/main" id="{EE9C0BE5-BA9E-4D59-B1F9-3C979562F8F9}"/>
            </a:ext>
          </a:extLst>
        </xdr:cNvPr>
        <xdr:cNvSpPr/>
      </xdr:nvSpPr>
      <xdr:spPr>
        <a:xfrm>
          <a:off x="2438400" y="5417820"/>
          <a:ext cx="3040380" cy="342900"/>
        </a:xfrm>
        <a:prstGeom prst="bracketPair">
          <a:avLst/>
        </a:prstGeom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3</xdr:col>
      <xdr:colOff>15240</xdr:colOff>
      <xdr:row>39</xdr:row>
      <xdr:rowOff>152400</xdr:rowOff>
    </xdr:from>
    <xdr:to>
      <xdr:col>5</xdr:col>
      <xdr:colOff>1135380</xdr:colOff>
      <xdr:row>41</xdr:row>
      <xdr:rowOff>99060</xdr:rowOff>
    </xdr:to>
    <xdr:sp macro="" textlink="">
      <xdr:nvSpPr>
        <xdr:cNvPr id="12" name="Corchetes 11">
          <a:extLst>
            <a:ext uri="{FF2B5EF4-FFF2-40B4-BE49-F238E27FC236}">
              <a16:creationId xmlns:a16="http://schemas.microsoft.com/office/drawing/2014/main" id="{0A8396E7-4F92-4FCA-AD3E-3536A23396B1}"/>
            </a:ext>
          </a:extLst>
        </xdr:cNvPr>
        <xdr:cNvSpPr/>
      </xdr:nvSpPr>
      <xdr:spPr>
        <a:xfrm>
          <a:off x="2438400" y="5821680"/>
          <a:ext cx="3040380" cy="342900"/>
        </a:xfrm>
        <a:prstGeom prst="bracketPair">
          <a:avLst/>
        </a:prstGeom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3</xdr:col>
      <xdr:colOff>266700</xdr:colOff>
      <xdr:row>32</xdr:row>
      <xdr:rowOff>22860</xdr:rowOff>
    </xdr:from>
    <xdr:to>
      <xdr:col>5</xdr:col>
      <xdr:colOff>114300</xdr:colOff>
      <xdr:row>40</xdr:row>
      <xdr:rowOff>60960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253D5F39-8690-ABB5-4F5B-C967F1C03025}"/>
            </a:ext>
          </a:extLst>
        </xdr:cNvPr>
        <xdr:cNvCxnSpPr/>
      </xdr:nvCxnSpPr>
      <xdr:spPr>
        <a:xfrm>
          <a:off x="2689860" y="6743700"/>
          <a:ext cx="1767840" cy="1623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454794</xdr:colOff>
      <xdr:row>17</xdr:row>
      <xdr:rowOff>14338</xdr:rowOff>
    </xdr:from>
    <xdr:to>
      <xdr:col>8</xdr:col>
      <xdr:colOff>182880</xdr:colOff>
      <xdr:row>19</xdr:row>
      <xdr:rowOff>53340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F808037-CC4B-528E-3BAE-E873A636D353}"/>
            </a:ext>
          </a:extLst>
        </xdr:cNvPr>
        <xdr:cNvCxnSpPr/>
      </xdr:nvCxnSpPr>
      <xdr:spPr>
        <a:xfrm>
          <a:off x="6162174" y="3763378"/>
          <a:ext cx="954906" cy="435242"/>
        </a:xfrm>
        <a:prstGeom prst="line">
          <a:avLst/>
        </a:prstGeom>
        <a:gradFill>
          <a:gsLst>
            <a:gs pos="1000">
              <a:srgbClr val="489CD1">
                <a:alpha val="5000"/>
              </a:srgbClr>
            </a:gs>
            <a:gs pos="25000">
              <a:srgbClr val="A9D7B2">
                <a:alpha val="5000"/>
              </a:srgbClr>
            </a:gs>
            <a:gs pos="50000">
              <a:srgbClr val="B92B65">
                <a:alpha val="5000"/>
              </a:srgbClr>
            </a:gs>
            <a:gs pos="76000">
              <a:srgbClr val="9B2486">
                <a:alpha val="5000"/>
              </a:srgbClr>
            </a:gs>
            <a:gs pos="100000">
              <a:srgbClr val="244F85">
                <a:alpha val="5000"/>
              </a:srgbClr>
            </a:gs>
          </a:gsLst>
        </a:gradFill>
        <a:ln w="36000">
          <a:gradFill>
            <a:gsLst>
              <a:gs pos="1000">
                <a:srgbClr val="489CD1"/>
              </a:gs>
              <a:gs pos="25000">
                <a:srgbClr val="A9D7B2"/>
              </a:gs>
              <a:gs pos="50000">
                <a:srgbClr val="B92B65"/>
              </a:gs>
              <a:gs pos="76000">
                <a:srgbClr val="9B2486"/>
              </a:gs>
              <a:gs pos="100000">
                <a:srgbClr val="244F85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955740</xdr:colOff>
      <xdr:row>16</xdr:row>
      <xdr:rowOff>157500</xdr:rowOff>
    </xdr:from>
    <xdr:to>
      <xdr:col>8</xdr:col>
      <xdr:colOff>955740</xdr:colOff>
      <xdr:row>20</xdr:row>
      <xdr:rowOff>85020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C624230B-78D0-C24F-FFE2-31296CDDAB53}"/>
            </a:ext>
          </a:extLst>
        </xdr:cNvPr>
        <xdr:cNvCxnSpPr/>
      </xdr:nvCxnSpPr>
      <xdr:spPr>
        <a:xfrm rot="5400000">
          <a:off x="7529940" y="4068420"/>
          <a:ext cx="720000" cy="0"/>
        </a:xfrm>
        <a:prstGeom prst="line">
          <a:avLst/>
        </a:prstGeom>
        <a:gradFill>
          <a:gsLst>
            <a:gs pos="1000">
              <a:srgbClr val="F5C248">
                <a:alpha val="5000"/>
              </a:srgbClr>
            </a:gs>
            <a:gs pos="25000">
              <a:srgbClr val="C88E23">
                <a:alpha val="5000"/>
              </a:srgbClr>
            </a:gs>
            <a:gs pos="48000">
              <a:srgbClr val="F5C248">
                <a:alpha val="5000"/>
              </a:srgbClr>
            </a:gs>
            <a:gs pos="69000">
              <a:srgbClr val="C88E23">
                <a:alpha val="5000"/>
              </a:srgbClr>
            </a:gs>
            <a:gs pos="86000">
              <a:srgbClr val="F5C248">
                <a:alpha val="5000"/>
              </a:srgbClr>
            </a:gs>
            <a:gs pos="100000">
              <a:srgbClr val="C88E23">
                <a:alpha val="5000"/>
              </a:srgbClr>
            </a:gs>
          </a:gsLst>
        </a:gradFill>
        <a:ln w="36000">
          <a:gradFill>
            <a:gsLst>
              <a:gs pos="1000">
                <a:srgbClr val="F5C248"/>
              </a:gs>
              <a:gs pos="25000">
                <a:srgbClr val="C88E23"/>
              </a:gs>
              <a:gs pos="48000">
                <a:srgbClr val="F5C248"/>
              </a:gs>
              <a:gs pos="69000">
                <a:srgbClr val="C88E23"/>
              </a:gs>
              <a:gs pos="86000">
                <a:srgbClr val="F5C248"/>
              </a:gs>
              <a:gs pos="100000">
                <a:srgbClr val="C88E23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029B-EC4B-4D02-9DA8-F8FA54C636B2}">
  <dimension ref="C3:O31"/>
  <sheetViews>
    <sheetView tabSelected="1" workbookViewId="0">
      <selection activeCell="C22" sqref="C22"/>
    </sheetView>
  </sheetViews>
  <sheetFormatPr baseColWidth="10" defaultRowHeight="15.6" x14ac:dyDescent="0.3"/>
  <cols>
    <col min="1" max="5" width="11.5546875" style="1"/>
    <col min="6" max="6" width="19.88671875" style="1" customWidth="1"/>
    <col min="7" max="7" width="12.109375" style="1" customWidth="1"/>
    <col min="8" max="8" width="5.77734375" style="1" customWidth="1"/>
    <col min="9" max="9" width="14.44140625" style="1" customWidth="1"/>
    <col min="10" max="10" width="5.33203125" style="1" customWidth="1"/>
    <col min="11" max="11" width="12.44140625" style="1" customWidth="1"/>
    <col min="12" max="12" width="11.5546875" style="1"/>
    <col min="13" max="13" width="15.88671875" style="1" customWidth="1"/>
    <col min="14" max="16384" width="11.5546875" style="1"/>
  </cols>
  <sheetData>
    <row r="3" spans="3:15" ht="21" thickBot="1" x14ac:dyDescent="0.4">
      <c r="C3" s="34" t="s"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3:15" ht="16.2" thickTop="1" x14ac:dyDescent="0.3"/>
    <row r="5" spans="3:15" x14ac:dyDescent="0.3">
      <c r="C5" s="35" t="s">
        <v>1</v>
      </c>
      <c r="D5" s="35"/>
      <c r="E5" s="35"/>
      <c r="F5" s="35"/>
      <c r="G5" s="35"/>
      <c r="H5" s="35"/>
      <c r="I5" s="35"/>
      <c r="J5" s="35"/>
      <c r="K5" s="35"/>
      <c r="L5" s="2"/>
    </row>
    <row r="6" spans="3:15" x14ac:dyDescent="0.3">
      <c r="C6" s="36"/>
      <c r="D6" s="36"/>
      <c r="E6" s="36"/>
      <c r="F6" s="36"/>
      <c r="G6" s="36"/>
      <c r="H6" s="36"/>
      <c r="I6" s="36"/>
      <c r="J6" s="36"/>
      <c r="K6" s="36"/>
      <c r="L6" s="2"/>
    </row>
    <row r="7" spans="3:15" x14ac:dyDescent="0.3">
      <c r="G7" s="3" t="s">
        <v>2</v>
      </c>
      <c r="H7" s="3"/>
      <c r="I7" s="3" t="s">
        <v>3</v>
      </c>
      <c r="J7" s="3"/>
      <c r="K7" s="3" t="s">
        <v>4</v>
      </c>
      <c r="M7" s="50" t="s">
        <v>32</v>
      </c>
      <c r="N7" s="50"/>
      <c r="O7" s="22">
        <v>25</v>
      </c>
    </row>
    <row r="8" spans="3:15" ht="16.2" thickBot="1" x14ac:dyDescent="0.35">
      <c r="C8" s="33" t="s">
        <v>5</v>
      </c>
      <c r="D8" s="33"/>
      <c r="E8" s="33"/>
      <c r="F8" s="33"/>
      <c r="G8" s="5">
        <v>210</v>
      </c>
      <c r="H8" s="5"/>
      <c r="I8" s="5">
        <v>320</v>
      </c>
      <c r="J8" s="5"/>
      <c r="K8" s="5">
        <v>340</v>
      </c>
    </row>
    <row r="9" spans="3:15" x14ac:dyDescent="0.3">
      <c r="C9" s="33" t="s">
        <v>6</v>
      </c>
      <c r="D9" s="33"/>
      <c r="E9" s="33"/>
      <c r="F9" s="33"/>
      <c r="G9" s="6">
        <v>213</v>
      </c>
      <c r="H9" s="6"/>
      <c r="I9" s="6">
        <v>418</v>
      </c>
      <c r="J9" s="7"/>
      <c r="K9" s="6">
        <v>305</v>
      </c>
      <c r="M9" s="48" t="s">
        <v>29</v>
      </c>
      <c r="N9" s="49"/>
    </row>
    <row r="10" spans="3:15" x14ac:dyDescent="0.3">
      <c r="C10" s="33" t="s">
        <v>7</v>
      </c>
      <c r="D10" s="33"/>
      <c r="E10" s="33"/>
      <c r="F10" s="33"/>
      <c r="G10" s="7">
        <f>+G8-G9</f>
        <v>-3</v>
      </c>
      <c r="H10" s="7"/>
      <c r="I10" s="7">
        <f>+I8-I9</f>
        <v>-98</v>
      </c>
      <c r="J10" s="7"/>
      <c r="K10" s="9">
        <f>+K8-K9</f>
        <v>35</v>
      </c>
      <c r="M10" s="18" t="s">
        <v>2</v>
      </c>
      <c r="N10" s="19">
        <v>210</v>
      </c>
    </row>
    <row r="11" spans="3:15" x14ac:dyDescent="0.3">
      <c r="C11" s="33" t="s">
        <v>8</v>
      </c>
      <c r="D11" s="33"/>
      <c r="E11" s="33"/>
      <c r="F11" s="33"/>
      <c r="G11" s="25">
        <v>50</v>
      </c>
      <c r="H11" s="9"/>
      <c r="I11" s="8">
        <f>+G12</f>
        <v>47</v>
      </c>
      <c r="J11" s="9"/>
      <c r="K11" s="6">
        <f>+I12</f>
        <v>-51</v>
      </c>
      <c r="M11" s="18" t="s">
        <v>3</v>
      </c>
      <c r="N11" s="19">
        <v>320</v>
      </c>
    </row>
    <row r="12" spans="3:15" ht="16.2" thickBot="1" x14ac:dyDescent="0.35">
      <c r="C12" s="33" t="s">
        <v>9</v>
      </c>
      <c r="D12" s="33"/>
      <c r="E12" s="33"/>
      <c r="F12" s="33"/>
      <c r="G12" s="10">
        <f>+G10+G11</f>
        <v>47</v>
      </c>
      <c r="H12" s="10"/>
      <c r="I12" s="11">
        <f>+I10+I11</f>
        <v>-51</v>
      </c>
      <c r="J12" s="5"/>
      <c r="K12" s="11">
        <f>+K10+K11</f>
        <v>-16</v>
      </c>
      <c r="M12" s="20" t="s">
        <v>4</v>
      </c>
      <c r="N12" s="21">
        <v>340</v>
      </c>
    </row>
    <row r="13" spans="3:15" x14ac:dyDescent="0.3">
      <c r="C13" s="44" t="s">
        <v>10</v>
      </c>
      <c r="D13" s="44"/>
      <c r="E13" s="44"/>
      <c r="F13" s="44"/>
      <c r="G13" s="12">
        <v>25</v>
      </c>
      <c r="H13" s="13"/>
      <c r="I13" s="12">
        <v>25</v>
      </c>
      <c r="J13" s="13"/>
      <c r="K13" s="12">
        <v>25</v>
      </c>
    </row>
    <row r="14" spans="3:15" ht="16.2" thickBot="1" x14ac:dyDescent="0.35">
      <c r="C14" s="45" t="s">
        <v>11</v>
      </c>
      <c r="D14" s="45"/>
      <c r="E14" s="45"/>
      <c r="F14" s="45"/>
      <c r="H14" s="14"/>
      <c r="I14" s="46">
        <f>+I12-I13</f>
        <v>-76</v>
      </c>
      <c r="J14" s="5"/>
      <c r="K14" s="46">
        <f>+K12-K13</f>
        <v>-41</v>
      </c>
    </row>
    <row r="15" spans="3:15" x14ac:dyDescent="0.3">
      <c r="C15" s="45"/>
      <c r="D15" s="45"/>
      <c r="E15" s="45"/>
      <c r="F15" s="45"/>
      <c r="H15" s="14"/>
      <c r="I15" s="47"/>
      <c r="J15" s="5"/>
      <c r="K15" s="47"/>
      <c r="M15" s="48" t="s">
        <v>30</v>
      </c>
      <c r="N15" s="49"/>
    </row>
    <row r="16" spans="3:15" x14ac:dyDescent="0.3">
      <c r="C16" s="43" t="s">
        <v>12</v>
      </c>
      <c r="D16" s="43"/>
      <c r="E16" s="43"/>
      <c r="F16" s="43"/>
      <c r="G16" s="10">
        <f>+G12-G13</f>
        <v>22</v>
      </c>
      <c r="H16" s="10"/>
      <c r="I16" s="10"/>
      <c r="J16" s="10"/>
      <c r="K16" s="10"/>
      <c r="L16" s="15"/>
      <c r="M16" s="18" t="s">
        <v>2</v>
      </c>
      <c r="N16" s="19">
        <v>213</v>
      </c>
    </row>
    <row r="17" spans="7:14" x14ac:dyDescent="0.3">
      <c r="G17" s="5"/>
      <c r="M17" s="18" t="s">
        <v>3</v>
      </c>
      <c r="N17" s="19">
        <v>418</v>
      </c>
    </row>
    <row r="18" spans="7:14" ht="16.2" thickBot="1" x14ac:dyDescent="0.35">
      <c r="M18" s="20" t="s">
        <v>4</v>
      </c>
      <c r="N18" s="21">
        <v>305</v>
      </c>
    </row>
    <row r="20" spans="7:14" x14ac:dyDescent="0.3">
      <c r="M20" s="23" t="s">
        <v>9</v>
      </c>
      <c r="N20" s="24">
        <v>50</v>
      </c>
    </row>
    <row r="31" spans="7:14" x14ac:dyDescent="0.3">
      <c r="L31" s="1" t="s">
        <v>31</v>
      </c>
    </row>
  </sheetData>
  <mergeCells count="15">
    <mergeCell ref="K14:K15"/>
    <mergeCell ref="C3:O3"/>
    <mergeCell ref="C5:K6"/>
    <mergeCell ref="C8:F8"/>
    <mergeCell ref="C9:F9"/>
    <mergeCell ref="C10:F10"/>
    <mergeCell ref="C11:F11"/>
    <mergeCell ref="M9:N9"/>
    <mergeCell ref="M15:N15"/>
    <mergeCell ref="M7:N7"/>
    <mergeCell ref="C16:F16"/>
    <mergeCell ref="C12:F12"/>
    <mergeCell ref="C13:F13"/>
    <mergeCell ref="C14:F15"/>
    <mergeCell ref="I14:I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39C5-510D-4392-A107-4EA84E395F6C}">
  <sheetPr>
    <tabColor theme="1"/>
  </sheetPr>
  <dimension ref="B3:Q46"/>
  <sheetViews>
    <sheetView workbookViewId="0">
      <selection activeCell="C21" sqref="C21:F21"/>
    </sheetView>
  </sheetViews>
  <sheetFormatPr baseColWidth="10" defaultRowHeight="15.6" x14ac:dyDescent="0.3"/>
  <cols>
    <col min="1" max="1" width="11.5546875" style="1"/>
    <col min="2" max="4" width="11.88671875" style="1" bestFit="1" customWidth="1"/>
    <col min="5" max="5" width="16.109375" style="1" bestFit="1" customWidth="1"/>
    <col min="6" max="6" width="19.88671875" style="1" customWidth="1"/>
    <col min="7" max="7" width="12.109375" style="1" customWidth="1"/>
    <col min="8" max="8" width="5.77734375" style="1" customWidth="1"/>
    <col min="9" max="9" width="14.44140625" style="1" customWidth="1"/>
    <col min="10" max="10" width="5.33203125" style="1" customWidth="1"/>
    <col min="11" max="11" width="12.44140625" style="1" customWidth="1"/>
    <col min="12" max="12" width="6.5546875" style="1" customWidth="1"/>
    <col min="13" max="13" width="12.109375" style="1" customWidth="1"/>
    <col min="14" max="14" width="5.77734375" style="1" customWidth="1"/>
    <col min="15" max="15" width="14.44140625" style="1" customWidth="1"/>
    <col min="16" max="16" width="5.33203125" style="1" customWidth="1"/>
    <col min="17" max="17" width="12.44140625" style="1" customWidth="1"/>
    <col min="18" max="16384" width="11.5546875" style="1"/>
  </cols>
  <sheetData>
    <row r="3" spans="3:17" ht="21" thickBot="1" x14ac:dyDescent="0.4">
      <c r="C3" s="34" t="s">
        <v>35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3:17" ht="21" thickTop="1" x14ac:dyDescent="0.35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3:17" ht="20.399999999999999" x14ac:dyDescent="0.35">
      <c r="C5" s="4" t="s">
        <v>41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3:17" ht="20.399999999999999" x14ac:dyDescent="0.35">
      <c r="C6" s="4" t="s">
        <v>39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3:17" ht="20.399999999999999" x14ac:dyDescent="0.35">
      <c r="C7" s="33" t="s">
        <v>44</v>
      </c>
      <c r="D7" s="33"/>
      <c r="E7" s="27">
        <v>35000</v>
      </c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3:17" ht="20.399999999999999" x14ac:dyDescent="0.35">
      <c r="C8" s="33" t="s">
        <v>40</v>
      </c>
      <c r="D8" s="33"/>
      <c r="E8" s="27">
        <f>+G14</f>
        <v>28000</v>
      </c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3:17" x14ac:dyDescent="0.3">
      <c r="C9" s="1" t="s">
        <v>28</v>
      </c>
    </row>
    <row r="10" spans="3:17" x14ac:dyDescent="0.3">
      <c r="C10" s="35" t="s">
        <v>13</v>
      </c>
      <c r="D10" s="35"/>
      <c r="E10" s="35"/>
      <c r="F10" s="35"/>
      <c r="G10" s="35"/>
      <c r="H10" s="35"/>
      <c r="I10" s="35"/>
      <c r="J10" s="35"/>
      <c r="K10" s="35"/>
      <c r="L10" s="2"/>
    </row>
    <row r="11" spans="3:17" x14ac:dyDescent="0.3">
      <c r="C11" s="36"/>
      <c r="D11" s="36"/>
      <c r="E11" s="36"/>
      <c r="F11" s="36"/>
      <c r="G11" s="36"/>
      <c r="H11" s="36"/>
      <c r="I11" s="36"/>
      <c r="J11" s="36"/>
      <c r="K11" s="36"/>
      <c r="L11" s="2"/>
    </row>
    <row r="12" spans="3:17" x14ac:dyDescent="0.3">
      <c r="G12" s="3" t="s">
        <v>14</v>
      </c>
      <c r="H12" s="3"/>
      <c r="I12" s="3" t="s">
        <v>15</v>
      </c>
      <c r="J12" s="3"/>
      <c r="K12" s="3" t="s">
        <v>16</v>
      </c>
      <c r="M12" s="3" t="s">
        <v>17</v>
      </c>
      <c r="N12" s="3"/>
      <c r="O12" s="3" t="s">
        <v>17</v>
      </c>
      <c r="P12" s="3"/>
      <c r="Q12" s="3" t="s">
        <v>18</v>
      </c>
    </row>
    <row r="13" spans="3:17" x14ac:dyDescent="0.3">
      <c r="C13" s="33" t="s">
        <v>19</v>
      </c>
      <c r="D13" s="33"/>
      <c r="E13" s="33"/>
      <c r="F13" s="33"/>
      <c r="G13" s="5">
        <v>48000</v>
      </c>
      <c r="H13" s="5"/>
      <c r="I13" s="5">
        <f>+G13+I20</f>
        <v>64800</v>
      </c>
      <c r="J13" s="5"/>
      <c r="K13" s="5"/>
      <c r="M13" s="5"/>
      <c r="N13" s="5"/>
      <c r="O13" s="5"/>
      <c r="P13" s="5"/>
      <c r="Q13" s="5"/>
    </row>
    <row r="14" spans="3:17" x14ac:dyDescent="0.3">
      <c r="C14" s="40" t="s">
        <v>20</v>
      </c>
      <c r="D14" s="40"/>
      <c r="E14" s="40"/>
      <c r="F14" s="40"/>
      <c r="G14" s="8">
        <f>35000*0.8</f>
        <v>28000</v>
      </c>
      <c r="H14" s="6"/>
      <c r="I14" s="29">
        <v>35000</v>
      </c>
      <c r="J14" s="7"/>
      <c r="K14" s="6"/>
      <c r="M14" s="6"/>
      <c r="N14" s="6"/>
      <c r="O14" s="6"/>
      <c r="P14" s="7"/>
      <c r="Q14" s="6"/>
    </row>
    <row r="15" spans="3:17" x14ac:dyDescent="0.3">
      <c r="C15" s="33" t="s">
        <v>21</v>
      </c>
      <c r="D15" s="33"/>
      <c r="E15" s="33"/>
      <c r="F15" s="33"/>
      <c r="G15" s="10">
        <f>+G13+G14</f>
        <v>76000</v>
      </c>
      <c r="H15" s="7"/>
      <c r="I15" s="10">
        <f>+I13+I14</f>
        <v>99800</v>
      </c>
      <c r="J15" s="7"/>
      <c r="K15" s="5"/>
      <c r="M15" s="7"/>
      <c r="N15" s="7"/>
      <c r="O15" s="7"/>
      <c r="P15" s="7"/>
      <c r="Q15" s="5"/>
    </row>
    <row r="16" spans="3:17" x14ac:dyDescent="0.3">
      <c r="C16" s="38" t="s">
        <v>22</v>
      </c>
      <c r="D16" s="38"/>
      <c r="E16" s="38"/>
      <c r="F16" s="38"/>
      <c r="G16" s="6">
        <v>42400</v>
      </c>
      <c r="H16" s="9"/>
      <c r="I16" s="8">
        <f>+C34</f>
        <v>48000</v>
      </c>
      <c r="J16" s="9"/>
      <c r="K16" s="6"/>
      <c r="M16" s="8"/>
      <c r="N16" s="9"/>
      <c r="O16" s="8"/>
      <c r="P16" s="9"/>
      <c r="Q16" s="6"/>
    </row>
    <row r="17" spans="2:17" x14ac:dyDescent="0.3">
      <c r="C17" s="37" t="s">
        <v>23</v>
      </c>
      <c r="D17" s="37"/>
      <c r="E17" s="37"/>
      <c r="F17" s="37"/>
      <c r="G17" s="10">
        <f>+G15-G16</f>
        <v>33600</v>
      </c>
      <c r="H17" s="10"/>
      <c r="I17" s="10">
        <f>+I15-I16</f>
        <v>51800</v>
      </c>
      <c r="J17" s="5"/>
      <c r="K17" s="5"/>
      <c r="M17" s="10"/>
      <c r="N17" s="10"/>
      <c r="O17" s="11"/>
      <c r="P17" s="5"/>
      <c r="Q17" s="5"/>
    </row>
    <row r="18" spans="2:17" x14ac:dyDescent="0.3">
      <c r="C18" s="41"/>
      <c r="D18" s="41"/>
      <c r="E18" s="41"/>
      <c r="F18" s="41"/>
      <c r="G18" s="10"/>
      <c r="H18" s="10"/>
      <c r="I18" s="11"/>
      <c r="J18" s="5"/>
      <c r="K18" s="5"/>
      <c r="M18" s="10"/>
      <c r="N18" s="10"/>
      <c r="O18" s="11"/>
      <c r="P18" s="5"/>
      <c r="Q18" s="5"/>
    </row>
    <row r="19" spans="2:17" x14ac:dyDescent="0.3">
      <c r="C19" s="39" t="s">
        <v>24</v>
      </c>
      <c r="D19" s="39"/>
      <c r="E19" s="39"/>
      <c r="F19" s="39"/>
      <c r="G19" s="13"/>
      <c r="H19" s="13"/>
      <c r="I19" s="13"/>
      <c r="J19" s="13"/>
      <c r="K19" s="13"/>
      <c r="M19" s="13"/>
      <c r="N19" s="13"/>
      <c r="O19" s="13"/>
      <c r="P19" s="13"/>
      <c r="Q19" s="13"/>
    </row>
    <row r="20" spans="2:17" ht="15.6" customHeight="1" x14ac:dyDescent="0.3">
      <c r="C20" s="42" t="s">
        <v>25</v>
      </c>
      <c r="D20" s="42"/>
      <c r="E20" s="42"/>
      <c r="F20" s="42"/>
      <c r="G20" s="5"/>
      <c r="H20" s="14"/>
      <c r="I20" s="30">
        <f>+G17*0.5</f>
        <v>16800</v>
      </c>
      <c r="J20" s="5"/>
      <c r="K20" s="30">
        <f>+I17*0.5</f>
        <v>25900</v>
      </c>
      <c r="M20" s="5"/>
      <c r="N20" s="14"/>
      <c r="O20" s="11"/>
      <c r="P20" s="5"/>
      <c r="Q20" s="11"/>
    </row>
    <row r="21" spans="2:17" x14ac:dyDescent="0.3">
      <c r="C21" s="43" t="s">
        <v>26</v>
      </c>
      <c r="D21" s="43"/>
      <c r="E21" s="43"/>
      <c r="F21" s="43"/>
      <c r="G21" s="5"/>
      <c r="H21" s="14"/>
      <c r="I21" s="31">
        <f>+I17*0.5</f>
        <v>25900</v>
      </c>
      <c r="J21" s="5"/>
      <c r="K21" s="11"/>
      <c r="M21" s="5"/>
      <c r="N21" s="14"/>
      <c r="O21" s="11"/>
      <c r="P21" s="5"/>
      <c r="Q21" s="11"/>
    </row>
    <row r="22" spans="2:17" x14ac:dyDescent="0.3">
      <c r="C22" s="37" t="s">
        <v>27</v>
      </c>
      <c r="D22" s="37"/>
      <c r="E22" s="37"/>
      <c r="F22" s="37"/>
      <c r="G22" s="10"/>
      <c r="H22" s="10"/>
      <c r="I22" s="11">
        <f>SUM(I20:I21)</f>
        <v>42700</v>
      </c>
      <c r="J22" s="10"/>
      <c r="K22" s="10"/>
      <c r="L22" s="15"/>
      <c r="M22" s="10"/>
      <c r="N22" s="10"/>
      <c r="O22" s="10"/>
      <c r="P22" s="10"/>
      <c r="Q22" s="10"/>
    </row>
    <row r="24" spans="2:17" x14ac:dyDescent="0.3">
      <c r="C24" s="1" t="s">
        <v>42</v>
      </c>
    </row>
    <row r="25" spans="2:17" x14ac:dyDescent="0.3">
      <c r="C25" s="1" t="s">
        <v>28</v>
      </c>
    </row>
    <row r="26" spans="2:17" x14ac:dyDescent="0.3">
      <c r="B26" s="32" t="s">
        <v>45</v>
      </c>
      <c r="C26" s="32"/>
      <c r="D26" s="32"/>
      <c r="E26" s="32"/>
      <c r="F26" s="32"/>
    </row>
    <row r="28" spans="2:17" x14ac:dyDescent="0.3">
      <c r="B28" s="17" t="s">
        <v>33</v>
      </c>
      <c r="C28" s="17" t="s">
        <v>34</v>
      </c>
      <c r="D28" s="17" t="s">
        <v>36</v>
      </c>
      <c r="E28" s="17" t="s">
        <v>38</v>
      </c>
      <c r="F28" s="17" t="s">
        <v>46</v>
      </c>
    </row>
    <row r="29" spans="2:17" x14ac:dyDescent="0.3">
      <c r="B29" s="14"/>
      <c r="C29" s="14"/>
      <c r="D29" s="14"/>
      <c r="E29" s="14"/>
      <c r="F29" s="14"/>
    </row>
    <row r="30" spans="2:17" x14ac:dyDescent="0.3">
      <c r="B30" s="14">
        <v>20000</v>
      </c>
      <c r="C30" s="14" t="s">
        <v>34</v>
      </c>
      <c r="D30" s="26">
        <v>0.8</v>
      </c>
      <c r="E30" s="14" t="s">
        <v>37</v>
      </c>
      <c r="F30" s="14">
        <v>35000</v>
      </c>
    </row>
    <row r="31" spans="2:17" x14ac:dyDescent="0.3">
      <c r="B31" s="14"/>
      <c r="C31" s="14"/>
      <c r="D31" s="14"/>
      <c r="E31" s="14"/>
      <c r="F31" s="14"/>
    </row>
    <row r="32" spans="2:17" x14ac:dyDescent="0.3">
      <c r="B32" s="14">
        <f>+B30</f>
        <v>20000</v>
      </c>
      <c r="C32" s="14" t="s">
        <v>34</v>
      </c>
      <c r="D32" s="28">
        <f>+D30*F30</f>
        <v>28000</v>
      </c>
      <c r="E32" s="14"/>
      <c r="F32" s="14"/>
    </row>
    <row r="33" spans="2:6" x14ac:dyDescent="0.3">
      <c r="B33" s="14"/>
      <c r="C33" s="14"/>
      <c r="D33" s="14"/>
      <c r="E33" s="14"/>
      <c r="F33" s="14"/>
    </row>
    <row r="34" spans="2:6" x14ac:dyDescent="0.3">
      <c r="B34" s="14"/>
      <c r="C34" s="14">
        <f>+B32+D32</f>
        <v>48000</v>
      </c>
      <c r="D34" s="14"/>
      <c r="E34" s="14"/>
      <c r="F34" s="14"/>
    </row>
    <row r="35" spans="2:6" x14ac:dyDescent="0.3">
      <c r="B35" s="14"/>
      <c r="C35" s="14"/>
      <c r="D35" s="14"/>
      <c r="E35" s="14"/>
      <c r="F35" s="14"/>
    </row>
    <row r="36" spans="2:6" x14ac:dyDescent="0.3">
      <c r="B36" s="14"/>
      <c r="C36" s="14"/>
      <c r="D36" s="14"/>
      <c r="E36" s="14"/>
      <c r="F36" s="14"/>
    </row>
    <row r="37" spans="2:6" x14ac:dyDescent="0.3">
      <c r="B37" s="32" t="s">
        <v>43</v>
      </c>
      <c r="C37" s="32"/>
      <c r="D37" s="32"/>
      <c r="E37" s="32"/>
      <c r="F37" s="32"/>
    </row>
    <row r="39" spans="2:6" x14ac:dyDescent="0.3">
      <c r="B39" s="17" t="s">
        <v>33</v>
      </c>
      <c r="C39" s="17" t="s">
        <v>34</v>
      </c>
      <c r="D39" s="17" t="s">
        <v>36</v>
      </c>
      <c r="E39" s="17" t="s">
        <v>38</v>
      </c>
      <c r="F39" s="17" t="s">
        <v>40</v>
      </c>
    </row>
    <row r="40" spans="2:6" x14ac:dyDescent="0.3">
      <c r="B40" s="14"/>
      <c r="C40" s="14"/>
      <c r="D40" s="14"/>
      <c r="E40" s="14"/>
      <c r="F40" s="14"/>
    </row>
    <row r="41" spans="2:6" x14ac:dyDescent="0.3">
      <c r="B41" s="14">
        <v>20000</v>
      </c>
      <c r="C41" s="14" t="s">
        <v>34</v>
      </c>
      <c r="D41" s="26">
        <v>0.8</v>
      </c>
      <c r="E41" s="14" t="s">
        <v>37</v>
      </c>
      <c r="F41" s="28">
        <f>+G14</f>
        <v>28000</v>
      </c>
    </row>
    <row r="42" spans="2:6" x14ac:dyDescent="0.3">
      <c r="B42" s="14"/>
      <c r="C42" s="14"/>
      <c r="D42" s="14"/>
      <c r="E42" s="14"/>
      <c r="F42" s="14"/>
    </row>
    <row r="43" spans="2:6" x14ac:dyDescent="0.3">
      <c r="B43" s="14">
        <f>+B41</f>
        <v>20000</v>
      </c>
      <c r="C43" s="14" t="s">
        <v>34</v>
      </c>
      <c r="D43" s="14">
        <f>+D41*F41</f>
        <v>22400</v>
      </c>
      <c r="E43" s="14"/>
      <c r="F43" s="14"/>
    </row>
    <row r="44" spans="2:6" x14ac:dyDescent="0.3">
      <c r="B44" s="14"/>
      <c r="C44" s="14"/>
      <c r="D44" s="14"/>
      <c r="E44" s="14"/>
      <c r="F44" s="14"/>
    </row>
    <row r="45" spans="2:6" x14ac:dyDescent="0.3">
      <c r="B45" s="14"/>
      <c r="C45" s="14">
        <f>+B43+D43</f>
        <v>42400</v>
      </c>
      <c r="D45" s="14"/>
      <c r="E45" s="14"/>
      <c r="F45" s="14"/>
    </row>
    <row r="46" spans="2:6" x14ac:dyDescent="0.3">
      <c r="B46" s="14"/>
      <c r="C46" s="14"/>
      <c r="D46" s="14"/>
      <c r="E46" s="14"/>
      <c r="F46" s="14"/>
    </row>
  </sheetData>
  <mergeCells count="16">
    <mergeCell ref="B26:F26"/>
    <mergeCell ref="C7:D7"/>
    <mergeCell ref="B37:F37"/>
    <mergeCell ref="C8:D8"/>
    <mergeCell ref="C3:O3"/>
    <mergeCell ref="C10:K11"/>
    <mergeCell ref="C22:F22"/>
    <mergeCell ref="C16:F16"/>
    <mergeCell ref="C15:F15"/>
    <mergeCell ref="C17:F17"/>
    <mergeCell ref="C19:F19"/>
    <mergeCell ref="C14:F14"/>
    <mergeCell ref="C13:F13"/>
    <mergeCell ref="C18:F18"/>
    <mergeCell ref="C20:F20"/>
    <mergeCell ref="C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DE CAJA</vt:lpstr>
      <vt:lpstr>PRESUPUESTO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ESPINOZA FERNANDA VALENTINA</dc:creator>
  <cp:lastModifiedBy>MORALES ESPINOZA FERNANDA VALENTINA</cp:lastModifiedBy>
  <dcterms:created xsi:type="dcterms:W3CDTF">2025-12-10T15:56:55Z</dcterms:created>
  <dcterms:modified xsi:type="dcterms:W3CDTF">2026-04-15T17:03:04Z</dcterms:modified>
</cp:coreProperties>
</file>