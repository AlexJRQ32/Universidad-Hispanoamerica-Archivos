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ink/ink1.xml" ContentType="application/inkml+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Inspiron\Documents\UHISPANOAMERICANA\FINANZAS 1\FINANZAS IQ 2026\SEMANA 9\"/>
    </mc:Choice>
  </mc:AlternateContent>
  <xr:revisionPtr revIDLastSave="0" documentId="13_ncr:1_{2B0F66B4-26BA-4187-A5ED-67DB79AAE85F}" xr6:coauthVersionLast="47" xr6:coauthVersionMax="47" xr10:uidLastSave="{00000000-0000-0000-0000-000000000000}"/>
  <bookViews>
    <workbookView xWindow="-108" yWindow="-108" windowWidth="23256" windowHeight="12456" firstSheet="2" activeTab="6" xr2:uid="{00000000-000D-0000-FFFF-FFFF00000000}"/>
  </bookViews>
  <sheets>
    <sheet name="ALTERNATIVA 1 ACCIONES ORDINARI" sheetId="1" r:id="rId1"/>
    <sheet name="ALTERNATIVA 2 DEUDA" sheetId="2" r:id="rId2"/>
    <sheet name="ALTERNATIVA 3 ACCIONES PREF-DIV" sheetId="3" r:id="rId3"/>
    <sheet name="grafico" sheetId="4" r:id="rId4"/>
    <sheet name="UAII ALTERNAT 1" sheetId="5" r:id="rId5"/>
    <sheet name="UAII ALTERNAT 2" sheetId="6" r:id="rId6"/>
    <sheet name="UAII ALTERNAT 3"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1" i="7" l="1"/>
  <c r="J61" i="7"/>
  <c r="N56" i="7"/>
  <c r="D50" i="7"/>
  <c r="B53" i="7" s="1"/>
  <c r="D55" i="7" s="1"/>
  <c r="D58" i="7" s="1"/>
  <c r="D61" i="7" s="1"/>
  <c r="B50" i="7"/>
  <c r="F47" i="7"/>
  <c r="D42" i="7"/>
  <c r="D45" i="7" s="1"/>
  <c r="D48" i="7" s="1"/>
  <c r="F44" i="7"/>
  <c r="H44" i="7"/>
  <c r="F41" i="7"/>
  <c r="S31" i="7"/>
  <c r="O31" i="7"/>
  <c r="R29" i="7"/>
  <c r="Q31" i="7" s="1"/>
  <c r="R28" i="7"/>
  <c r="J28" i="7"/>
  <c r="D65" i="6"/>
  <c r="D60" i="6"/>
  <c r="D56" i="6"/>
  <c r="H54" i="6"/>
  <c r="F51" i="6"/>
  <c r="H48" i="6"/>
  <c r="D46" i="6"/>
  <c r="F45" i="6"/>
  <c r="L45" i="6"/>
  <c r="J27" i="6"/>
  <c r="N39" i="6"/>
  <c r="P42" i="6"/>
  <c r="N42" i="6"/>
  <c r="N43" i="6" s="1"/>
  <c r="P32" i="7" l="1"/>
  <c r="D61" i="5"/>
  <c r="D59" i="5"/>
  <c r="D58" i="5"/>
  <c r="D56" i="5"/>
  <c r="D54" i="5"/>
  <c r="B54" i="5"/>
  <c r="F50" i="5"/>
  <c r="F47" i="5"/>
  <c r="H50" i="5" s="1"/>
  <c r="D45" i="5"/>
  <c r="D48" i="5" s="1"/>
  <c r="D50" i="5" s="1"/>
  <c r="L44" i="5"/>
  <c r="B44" i="5"/>
  <c r="B47" i="5" s="1"/>
  <c r="B50" i="5" s="1"/>
  <c r="D52" i="5" s="1"/>
  <c r="D60" i="3" l="1"/>
  <c r="D58" i="3"/>
  <c r="D57" i="3"/>
  <c r="D55" i="3"/>
  <c r="F54" i="3"/>
  <c r="D54" i="3"/>
  <c r="D52" i="3"/>
  <c r="H51" i="3"/>
  <c r="F51" i="3"/>
  <c r="D51" i="3"/>
  <c r="D49" i="3"/>
  <c r="L48" i="3"/>
  <c r="F48" i="3"/>
  <c r="D48" i="3"/>
  <c r="J29" i="3"/>
  <c r="Q47" i="3"/>
  <c r="S46" i="3"/>
  <c r="Q46" i="3"/>
  <c r="O46" i="3"/>
  <c r="R43" i="3"/>
  <c r="R42" i="3"/>
  <c r="J30" i="3"/>
  <c r="D54" i="2"/>
  <c r="D53" i="2"/>
  <c r="D51" i="2"/>
  <c r="F50" i="2"/>
  <c r="D50" i="2"/>
  <c r="D48" i="2"/>
  <c r="F47" i="2"/>
  <c r="D47" i="2"/>
  <c r="D45" i="2"/>
  <c r="F44" i="2"/>
  <c r="D44" i="2"/>
  <c r="L44" i="2"/>
  <c r="H47" i="2" s="1"/>
  <c r="J28" i="2"/>
  <c r="J25" i="2"/>
  <c r="O42" i="2"/>
  <c r="Q41" i="2"/>
  <c r="O41" i="2"/>
  <c r="O38" i="2"/>
  <c r="D54" i="1"/>
  <c r="D52" i="1"/>
  <c r="D51" i="1"/>
  <c r="D49" i="1"/>
  <c r="F48" i="1"/>
  <c r="D48" i="1"/>
  <c r="D46" i="1"/>
  <c r="H45" i="1"/>
  <c r="F45" i="1"/>
  <c r="D45" i="1"/>
  <c r="D43" i="1"/>
  <c r="L42" i="1"/>
  <c r="F42" i="1"/>
  <c r="D42" i="1"/>
  <c r="J28" i="1"/>
  <c r="D56" i="2" l="1"/>
  <c r="D49" i="6" l="1"/>
  <c r="D52" i="6" s="1"/>
  <c r="D54" i="6" s="1"/>
  <c r="H47" i="5"/>
  <c r="J50" i="5" s="1"/>
  <c r="S45" i="3"/>
  <c r="B58" i="6" l="1"/>
  <c r="D67" i="5"/>
  <c r="R32" i="7" l="1"/>
  <c r="Q33" i="7" s="1"/>
  <c r="Q29" i="5"/>
  <c r="P31" i="5" s="1"/>
  <c r="O29" i="5"/>
  <c r="M29" i="5"/>
  <c r="N31" i="5" s="1"/>
  <c r="L41" i="7" l="1"/>
  <c r="J44" i="7" s="1"/>
  <c r="H47" i="7" s="1"/>
  <c r="H50" i="7" s="1"/>
  <c r="J30" i="7"/>
  <c r="O32" i="5"/>
  <c r="F48" i="6" l="1"/>
  <c r="H56" i="6" l="1"/>
  <c r="D58" i="6" s="1"/>
  <c r="D62"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tc={41433A2C-EF4E-4EEB-8F2C-3B51BD1DF9E0}</author>
  </authors>
  <commentList>
    <comment ref="L42" authorId="0" shapeId="0" xr:uid="{41433A2C-EF4E-4EEB-8F2C-3B51BD1DF9E0}">
      <text>
        <t>[Comentario encadenado]
Su versión de Excel le permite leer este comentario encadenado; sin embargo, las ediciones que se apliquen se quitarán si el archivo se abre en una versión más reciente de Excel. Más información: https://go.microsoft.com/fwlink/?linkid=870924
Comentario:
    Queda en cero, porque esto se usa para las accione preferentes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tc={19FB27B4-001C-403D-91A0-5EC9A3719F46}</author>
  </authors>
  <commentList>
    <comment ref="L44" authorId="0" shapeId="0" xr:uid="{19FB27B4-001C-403D-91A0-5EC9A3719F46}">
      <text>
        <t>[Comentario encadenado]
Su versión de Excel le permite leer este comentario encadenado; sin embargo, las ediciones que se apliquen se quitarán si el archivo se abre en una versión más reciente de Excel. Más información: https://go.microsoft.com/fwlink/?linkid=870924
Comentario:
    Queda en cero, porque esto se usa para las accione preferentes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tc={629E365A-C459-4D60-811D-9E4DA848AA21}</author>
  </authors>
  <commentList>
    <comment ref="L48" authorId="0" shapeId="0" xr:uid="{629E365A-C459-4D60-811D-9E4DA848AA21}">
      <text>
        <t>[Comentario encadenado]
Su versión de Excel le permite leer este comentario encadenado; sin embargo, las ediciones que se apliquen se quitarán si el archivo se abre en una versión más reciente de Excel. Más información: https://go.microsoft.com/fwlink/?linkid=870924
Comentario:
    Queda en cero, porque esto se usa para las accione preferentes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tc={BA7B55AA-71C4-4867-98B9-99D440AA5443}</author>
    <author>tc={AA0BE94E-B364-46EF-BEBA-D95505E43501}</author>
  </authors>
  <commentList>
    <comment ref="F44" authorId="0" shapeId="0" xr:uid="{BA7B55AA-71C4-4867-98B9-99D440AA5443}">
      <text>
        <t>[Comentario encadenado]
Su versión de Excel le permite leer este comentario encadenado; sin embargo, las ediciones que se apliquen se quitarán si el archivo se abre en una versión más reciente de Excel. Más información: https://go.microsoft.com/fwlink/?linkid=870924
Comentario:
    En este caso es 0 porque a las acciones, NO se le calcula interéses</t>
      </text>
    </comment>
    <comment ref="L44" authorId="1" shapeId="0" xr:uid="{AA0BE94E-B364-46EF-BEBA-D95505E43501}">
      <text>
        <t>[Comentario encadenado]
Su versión de Excel le permite leer este comentario encadenado; sin embargo, las ediciones que se apliquen se quitarán si el archivo se abre en una versión más reciente de Excel. Más información: https://go.microsoft.com/fwlink/?linkid=870924
Comentario:
    Recuerden que NO se cálculo el pago de dividendo porque eso es para ACCIONES PREFERENTES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tc={C105EAEE-5933-4164-AD85-574BDB1EF399}</author>
  </authors>
  <commentList>
    <comment ref="L45" authorId="0" shapeId="0" xr:uid="{C105EAEE-5933-4164-AD85-574BDB1EF399}">
      <text>
        <t>[Comentario encadenado]
Su versión de Excel le permite leer este comentario encadenado; sin embargo, las ediciones que se apliquen se quitarán si el archivo se abre en una versión más reciente de Excel. Más información: https://go.microsoft.com/fwlink/?linkid=870924
Comentario:
    Recuerden que NO se cálculo el pago de dividendo porque eso es para ACCIONES PREFERENTES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tc={50842634-A0CC-4019-B17F-799B097B33A6}</author>
  </authors>
  <commentList>
    <comment ref="H50" authorId="0" shapeId="0" xr:uid="{50842634-A0CC-4019-B17F-799B097B33A6}">
      <text>
        <t>[Comentario encadenado]
Su versión de Excel le permite leer este comentario encadenado; sin embargo, las ediciones que se apliquen se quitarán si el archivo se abre en una versión más reciente de Excel. Más información: https://go.microsoft.com/fwlink/?linkid=870924
Comentario:
    Cuando se pasa al otro lado, pasa a positivo</t>
      </text>
    </comment>
  </commentList>
</comments>
</file>

<file path=xl/sharedStrings.xml><?xml version="1.0" encoding="utf-8"?>
<sst xmlns="http://schemas.openxmlformats.org/spreadsheetml/2006/main" count="381" uniqueCount="72">
  <si>
    <t>UPA=</t>
  </si>
  <si>
    <t>-</t>
  </si>
  <si>
    <t>X</t>
  </si>
  <si>
    <t>ACCIONES ORINARIAS</t>
  </si>
  <si>
    <t>UAII</t>
  </si>
  <si>
    <t>I</t>
  </si>
  <si>
    <t>PD</t>
  </si>
  <si>
    <t>Cantidad de acciones en ventas</t>
  </si>
  <si>
    <t>Precio de ventas acciones</t>
  </si>
  <si>
    <t>Porcentaje de dividendos acciones preferentes</t>
  </si>
  <si>
    <t>NA</t>
  </si>
  <si>
    <t>ALTERNATIVA 1</t>
  </si>
  <si>
    <t>T</t>
  </si>
  <si>
    <t>ALTERNATIVA 2</t>
  </si>
  <si>
    <t xml:space="preserve">CALCULO DE INTERES </t>
  </si>
  <si>
    <t>Tasa de Interes</t>
  </si>
  <si>
    <t>x</t>
  </si>
  <si>
    <t>DEUDA</t>
  </si>
  <si>
    <t>ALTERNATIVA 3</t>
  </si>
  <si>
    <t>ACCIONES PREFERENTES</t>
  </si>
  <si>
    <t>CALCULO PD,dividendo por pagar</t>
  </si>
  <si>
    <t>?</t>
  </si>
  <si>
    <t>(UAII)(0.60)</t>
  </si>
  <si>
    <t>=</t>
  </si>
  <si>
    <t>MÉTODO UPA: UTILIDADES POR ACCION</t>
  </si>
  <si>
    <t>ALTERNATIVA 1: ACCIONES ORDINARIAS</t>
  </si>
  <si>
    <t>ALTERNATIVA 2: DEUDA</t>
  </si>
  <si>
    <t>ALTERNATIVA 3: ACCIONES PREFERENTES</t>
  </si>
  <si>
    <t>MÉTODO UAII: UTILIDAD ANTES DE INTERESES E IMPUESTOS</t>
  </si>
  <si>
    <t>Importante:</t>
  </si>
  <si>
    <t>Monto completar expansión</t>
  </si>
  <si>
    <t>Acciones en circulación + Acciones ordinarias adicionales</t>
  </si>
  <si>
    <t xml:space="preserve">Respuesta= </t>
  </si>
  <si>
    <t>Para el cálculo de Acciones Ordinarias, no se debe considerar la I (interés anual pagada) y PD, pago de dividenos preferenciales anuales</t>
  </si>
  <si>
    <t>Para el cálculo de Deuda, se debe considerar la I (interés anual pagada), más no el  PD, porque es para pago de dividenos preferenciales anuales. El NA es solo por las acciones en circulación no deben sumir las emitidas</t>
  </si>
  <si>
    <t>Para el cálculo de Acciones Preferentes no se debe considerar la I (interés anual pagada), el número de acciones se va a tomar con las acciones en circulación. Y el  PD, si se considera, ya que es el pago de dividenos preferenciales anuales (Acciones Preferentes)</t>
  </si>
  <si>
    <t>Cantidad de acciones en ventas (emitidas)</t>
  </si>
  <si>
    <t>Este tipo de cálculo corresponde a un valor de UPA de cero</t>
  </si>
  <si>
    <t xml:space="preserve">Nota: </t>
  </si>
  <si>
    <t xml:space="preserve"> UPA</t>
  </si>
  <si>
    <t>UAII=</t>
  </si>
  <si>
    <t>Ordinarias</t>
  </si>
  <si>
    <t>Deudas</t>
  </si>
  <si>
    <t>Preferenciales</t>
  </si>
  <si>
    <t>Estructura de Capital</t>
  </si>
  <si>
    <t>Las Utilidades por Acción UPA es de $5,40, con la estructura de capital de Acciones Ordinarias</t>
  </si>
  <si>
    <t>Las Utilidades por Acción UPA es de $6,30, con la estructura de capital de Deuda</t>
  </si>
  <si>
    <t>Las Utilidades por Acción UPA es de $5,35, con la estructura de capital de Acciones Preferentes</t>
  </si>
  <si>
    <t>0,60UAII</t>
  </si>
  <si>
    <t>+</t>
  </si>
  <si>
    <t>Cuando se realiza el cálculo para el Método UAII, no se considera las acciones en circulación porque se calculará únicamente el monto de Utilidades Antes de Intereses e Impuestos UAII</t>
  </si>
  <si>
    <t xml:space="preserve">x </t>
  </si>
  <si>
    <t>FINANCIAMIENTO</t>
  </si>
  <si>
    <t>Utilidades antes de interés e impuesto UAII</t>
  </si>
  <si>
    <t>Tasa de renta/ impuesto renta/ tasa fiscal</t>
  </si>
  <si>
    <t>Acciones en circulación</t>
  </si>
  <si>
    <t>Precio de venta por acción</t>
  </si>
  <si>
    <t>Acciones ordinarias adicionales</t>
  </si>
  <si>
    <t>Información de las acciones</t>
  </si>
  <si>
    <t>Pago de dividendos preferenciales anuales</t>
  </si>
  <si>
    <t>Tasa de interés</t>
  </si>
  <si>
    <t>t</t>
  </si>
  <si>
    <t>En el caso de Alternativa de Deuda, solo se toma las acciones en circulación, NO las emitidas</t>
  </si>
  <si>
    <t xml:space="preserve"> </t>
  </si>
  <si>
    <t>En el caso de Alternativa de Acción prefernte, solo se toma las acciones en circulación, NO las emitidas</t>
  </si>
  <si>
    <t>En el caso de Alternativa de acciones ordinarias (NA, acciones ordinarias 200,000 más las 100.000 acciones ordinarias adicionales del financiamiento)</t>
  </si>
  <si>
    <r>
      <rPr>
        <b/>
        <sz val="12"/>
        <color theme="1"/>
        <rFont val="Arial Nova"/>
        <family val="2"/>
      </rPr>
      <t xml:space="preserve">Interpretación: </t>
    </r>
    <r>
      <rPr>
        <sz val="12"/>
        <color theme="1"/>
        <rFont val="Arial Nova"/>
        <family val="2"/>
      </rPr>
      <t>Cuando la UPA es igual a 0, la UAII también lo es, con el método de financiamiento de Acciones Ordinarias</t>
    </r>
  </si>
  <si>
    <t>En el caso de Alternativa de Deuda, solo se toma las acciones en circulación 200,000, NO las emitidas</t>
  </si>
  <si>
    <t>Interpretación: debemos tener $600,000 de UAII, para cubrirl los cargos de interéses</t>
  </si>
  <si>
    <t>En el caso de Alternativa de Acciones Preferentes, solo se toma las acciones en circulación 200,000, NO las emitidas</t>
  </si>
  <si>
    <t>Acciones ordinarias adicionales (nuevas emitidas)</t>
  </si>
  <si>
    <r>
      <rPr>
        <b/>
        <sz val="12"/>
        <color theme="1"/>
        <rFont val="Arial Nova"/>
        <family val="2"/>
      </rPr>
      <t>Interpretación:</t>
    </r>
    <r>
      <rPr>
        <sz val="12"/>
        <color theme="1"/>
        <rFont val="Arial Nova"/>
        <family val="2"/>
      </rPr>
      <t xml:space="preserve"> Necesitamos $916,667 en la UAII para cubrir $550,000 en dividendos de acciones preferenciales, suponiendo que la tasa de impuestos es del 40 por ciento. De nuevo, los dividendos preferenciales se deducen después de impuestos, de manera que se necesitan más utilidades antes de impuestos para cubrirlos que para pagar el interés.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</si>
</sst>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540A]#,##0.00"/>
  </numFmts>
  <fonts count="23" x14ac:knownFonts="1">
    <font>
      <sz val="11"/>
      <color theme="1"/>
      <name val="Calibri"/>
      <family val="2"/>
      <scheme val="minor"/>
    </font>
    <font>
      <sz val="11"/>
      <color theme="1"/>
      <name val="Calibri"/>
      <family val="2"/>
      <scheme val="minor"/>
    </font>
    <font>
      <sz val="12"/>
      <color theme="1"/>
      <name val="Calibri"/>
      <family val="2"/>
      <scheme val="minor"/>
    </font>
    <font>
      <sz val="12"/>
      <color rgb="FF000000"/>
      <name val="Times New Roman"/>
      <family val="1"/>
    </font>
    <font>
      <b/>
      <sz val="12"/>
      <color theme="1"/>
      <name val="Calibri"/>
      <family val="2"/>
      <scheme val="minor"/>
    </font>
    <font>
      <sz val="12"/>
      <color theme="1"/>
      <name val="Arial Nova"/>
      <family val="2"/>
    </font>
    <font>
      <b/>
      <sz val="20"/>
      <name val="Arial Nova"/>
      <family val="2"/>
    </font>
    <font>
      <b/>
      <sz val="12"/>
      <color theme="1"/>
      <name val="Arial Nova"/>
      <family val="2"/>
    </font>
    <font>
      <sz val="12"/>
      <color rgb="FF000000"/>
      <name val="Arial Nova"/>
      <family val="2"/>
    </font>
    <font>
      <b/>
      <sz val="12"/>
      <color rgb="FF0000CC"/>
      <name val="Arial Nova"/>
      <family val="2"/>
    </font>
    <font>
      <sz val="12"/>
      <color rgb="FF0000CC"/>
      <name val="Arial Nova"/>
      <family val="2"/>
    </font>
    <font>
      <b/>
      <sz val="18"/>
      <name val="Arial Nova"/>
      <family val="2"/>
    </font>
    <font>
      <b/>
      <sz val="16"/>
      <color rgb="FF0000CC"/>
      <name val="Arial Nova"/>
      <family val="2"/>
    </font>
    <font>
      <b/>
      <sz val="18"/>
      <color rgb="FF0000CC"/>
      <name val="Arial Nova"/>
      <family val="2"/>
    </font>
    <font>
      <b/>
      <sz val="11"/>
      <color theme="1"/>
      <name val="Calibri"/>
      <family val="2"/>
      <scheme val="minor"/>
    </font>
    <font>
      <b/>
      <sz val="14"/>
      <color rgb="FF0000CC"/>
      <name val="Arial Nova"/>
      <family val="2"/>
    </font>
    <font>
      <b/>
      <sz val="12"/>
      <color theme="0"/>
      <name val="Arial Nova"/>
      <family val="2"/>
    </font>
    <font>
      <b/>
      <sz val="12"/>
      <name val="Arial Nova"/>
      <family val="2"/>
    </font>
    <font>
      <sz val="12"/>
      <name val="Arial Nova"/>
      <family val="2"/>
    </font>
    <font>
      <b/>
      <sz val="16"/>
      <color rgb="FFFF0000"/>
      <name val="Arial Nova"/>
      <family val="2"/>
    </font>
    <font>
      <sz val="9"/>
      <color indexed="81"/>
      <name val="Tahoma"/>
      <family val="2"/>
    </font>
    <font>
      <sz val="11"/>
      <color theme="1"/>
      <name val="Arial Nova"/>
      <family val="2"/>
    </font>
    <font>
      <b/>
      <sz val="12"/>
      <color rgb="FFFF0000"/>
      <name val="Arial Nova"/>
      <family val="2"/>
    </font>
  </fonts>
  <fills count="11">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rgb="FFFFCCFF"/>
        <bgColor indexed="64"/>
      </patternFill>
    </fill>
    <fill>
      <patternFill patternType="solid">
        <fgColor rgb="FF99FF99"/>
        <bgColor indexed="64"/>
      </patternFill>
    </fill>
    <fill>
      <patternFill patternType="solid">
        <fgColor rgb="FFFFFF00"/>
        <bgColor indexed="64"/>
      </patternFill>
    </fill>
    <fill>
      <patternFill patternType="solid">
        <fgColor rgb="FFCCCCFF"/>
        <bgColor indexed="64"/>
      </patternFill>
    </fill>
    <fill>
      <patternFill patternType="solid">
        <fgColor rgb="FFFFFFCC"/>
      </patternFill>
    </fill>
    <fill>
      <patternFill patternType="solid">
        <fgColor rgb="FF0000CC"/>
        <bgColor indexed="64"/>
      </patternFill>
    </fill>
    <fill>
      <patternFill patternType="solid">
        <fgColor rgb="FF66FFFF"/>
        <bgColor indexed="64"/>
      </patternFill>
    </fill>
  </fills>
  <borders count="3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rgb="FFB2B2B2"/>
      </right>
      <top style="medium">
        <color indexed="64"/>
      </top>
      <bottom style="thin">
        <color rgb="FFB2B2B2"/>
      </bottom>
      <diagonal/>
    </border>
    <border>
      <left style="thin">
        <color rgb="FFB2B2B2"/>
      </left>
      <right style="thin">
        <color rgb="FFB2B2B2"/>
      </right>
      <top style="medium">
        <color indexed="64"/>
      </top>
      <bottom style="thin">
        <color rgb="FFB2B2B2"/>
      </bottom>
      <diagonal/>
    </border>
    <border>
      <left style="thin">
        <color rgb="FFB2B2B2"/>
      </left>
      <right style="medium">
        <color indexed="64"/>
      </right>
      <top style="medium">
        <color indexed="64"/>
      </top>
      <bottom style="thin">
        <color rgb="FFB2B2B2"/>
      </bottom>
      <diagonal/>
    </border>
    <border>
      <left style="medium">
        <color indexed="64"/>
      </left>
      <right style="thin">
        <color rgb="FFB2B2B2"/>
      </right>
      <top style="thin">
        <color rgb="FFB2B2B2"/>
      </top>
      <bottom style="thin">
        <color rgb="FFB2B2B2"/>
      </bottom>
      <diagonal/>
    </border>
    <border>
      <left style="thin">
        <color rgb="FFB2B2B2"/>
      </left>
      <right style="medium">
        <color indexed="64"/>
      </right>
      <top style="thin">
        <color rgb="FFB2B2B2"/>
      </top>
      <bottom style="thin">
        <color rgb="FFB2B2B2"/>
      </bottom>
      <diagonal/>
    </border>
    <border>
      <left style="medium">
        <color indexed="64"/>
      </left>
      <right style="thin">
        <color rgb="FFB2B2B2"/>
      </right>
      <top style="thin">
        <color rgb="FFB2B2B2"/>
      </top>
      <bottom style="medium">
        <color indexed="64"/>
      </bottom>
      <diagonal/>
    </border>
    <border>
      <left style="thin">
        <color rgb="FFB2B2B2"/>
      </left>
      <right style="thin">
        <color rgb="FFB2B2B2"/>
      </right>
      <top style="thin">
        <color rgb="FFB2B2B2"/>
      </top>
      <bottom style="medium">
        <color indexed="64"/>
      </bottom>
      <diagonal/>
    </border>
    <border>
      <left style="thin">
        <color rgb="FFB2B2B2"/>
      </left>
      <right style="medium">
        <color indexed="64"/>
      </right>
      <top style="thin">
        <color rgb="FFB2B2B2"/>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 fillId="8" borderId="16" applyNumberFormat="0" applyFont="0" applyAlignment="0" applyProtection="0"/>
  </cellStyleXfs>
  <cellXfs count="227">
    <xf numFmtId="0" fontId="0" fillId="0" borderId="0" xfId="0"/>
    <xf numFmtId="2" fontId="2" fillId="0" borderId="0" xfId="0" applyNumberFormat="1" applyFont="1"/>
    <xf numFmtId="2" fontId="2" fillId="0" borderId="0" xfId="1" applyNumberFormat="1" applyFont="1"/>
    <xf numFmtId="2" fontId="4" fillId="0" borderId="0" xfId="0" applyNumberFormat="1" applyFont="1"/>
    <xf numFmtId="2" fontId="3" fillId="0" borderId="0" xfId="0" applyNumberFormat="1" applyFont="1"/>
    <xf numFmtId="2" fontId="2" fillId="0" borderId="5" xfId="0" applyNumberFormat="1" applyFont="1" applyBorder="1"/>
    <xf numFmtId="2" fontId="2" fillId="0" borderId="1" xfId="0" applyNumberFormat="1" applyFont="1" applyBorder="1"/>
    <xf numFmtId="2" fontId="4" fillId="0" borderId="0" xfId="1" applyNumberFormat="1" applyFont="1"/>
    <xf numFmtId="2" fontId="2" fillId="0" borderId="0" xfId="1" applyNumberFormat="1" applyFont="1" applyAlignment="1">
      <alignment horizontal="left" wrapText="1"/>
    </xf>
    <xf numFmtId="2" fontId="2" fillId="0" borderId="10" xfId="1" applyNumberFormat="1" applyFont="1" applyBorder="1"/>
    <xf numFmtId="2" fontId="2" fillId="0" borderId="0" xfId="1" applyNumberFormat="1" applyFont="1" applyBorder="1"/>
    <xf numFmtId="2" fontId="2" fillId="0" borderId="11" xfId="0" applyNumberFormat="1" applyFont="1" applyBorder="1"/>
    <xf numFmtId="9" fontId="2" fillId="0" borderId="0" xfId="2" applyFont="1" applyBorder="1"/>
    <xf numFmtId="2" fontId="2" fillId="0" borderId="13" xfId="1" applyNumberFormat="1" applyFont="1" applyBorder="1"/>
    <xf numFmtId="2" fontId="2" fillId="0" borderId="14" xfId="0" applyNumberFormat="1" applyFont="1" applyBorder="1"/>
    <xf numFmtId="2" fontId="2" fillId="0" borderId="15" xfId="0" applyNumberFormat="1" applyFont="1" applyBorder="1"/>
    <xf numFmtId="164" fontId="2" fillId="0" borderId="0" xfId="1" applyNumberFormat="1" applyFont="1" applyFill="1" applyBorder="1"/>
    <xf numFmtId="164" fontId="2" fillId="0" borderId="2" xfId="1" applyNumberFormat="1" applyFont="1" applyFill="1" applyBorder="1"/>
    <xf numFmtId="164" fontId="2" fillId="6" borderId="14" xfId="1" applyNumberFormat="1" applyFont="1" applyFill="1" applyBorder="1"/>
    <xf numFmtId="2" fontId="5" fillId="0" borderId="0" xfId="0" applyNumberFormat="1" applyFont="1"/>
    <xf numFmtId="2" fontId="5" fillId="0" borderId="0" xfId="1" applyNumberFormat="1" applyFont="1"/>
    <xf numFmtId="0" fontId="6" fillId="0" borderId="0" xfId="0" applyFont="1" applyAlignment="1">
      <alignment horizontal="center" vertical="center" wrapText="1"/>
    </xf>
    <xf numFmtId="2" fontId="7" fillId="0" borderId="0" xfId="0" applyNumberFormat="1" applyFont="1"/>
    <xf numFmtId="2" fontId="8" fillId="0" borderId="0" xfId="0" applyNumberFormat="1" applyFont="1"/>
    <xf numFmtId="2" fontId="7" fillId="0" borderId="0" xfId="1" applyNumberFormat="1" applyFont="1"/>
    <xf numFmtId="2" fontId="5" fillId="0" borderId="0" xfId="1" applyNumberFormat="1" applyFont="1" applyAlignment="1">
      <alignment horizontal="center" wrapText="1"/>
    </xf>
    <xf numFmtId="2" fontId="5" fillId="0" borderId="0" xfId="1" applyNumberFormat="1" applyFont="1" applyAlignment="1">
      <alignment horizontal="left" wrapText="1"/>
    </xf>
    <xf numFmtId="164" fontId="7" fillId="0" borderId="0" xfId="1" applyNumberFormat="1" applyFont="1" applyBorder="1"/>
    <xf numFmtId="2" fontId="9" fillId="0" borderId="0" xfId="0" applyNumberFormat="1" applyFont="1" applyAlignment="1">
      <alignment horizontal="center"/>
    </xf>
    <xf numFmtId="2" fontId="5" fillId="0" borderId="0" xfId="1" applyNumberFormat="1" applyFont="1" applyBorder="1"/>
    <xf numFmtId="2" fontId="10" fillId="0" borderId="8" xfId="0" applyNumberFormat="1" applyFont="1" applyBorder="1"/>
    <xf numFmtId="2" fontId="10" fillId="0" borderId="8" xfId="1" applyNumberFormat="1" applyFont="1" applyBorder="1"/>
    <xf numFmtId="2" fontId="10" fillId="0" borderId="9" xfId="1" applyNumberFormat="1" applyFont="1" applyBorder="1"/>
    <xf numFmtId="2" fontId="10" fillId="0" borderId="10" xfId="0" applyNumberFormat="1" applyFont="1" applyBorder="1"/>
    <xf numFmtId="2" fontId="10" fillId="0" borderId="13" xfId="0" applyNumberFormat="1" applyFont="1" applyBorder="1"/>
    <xf numFmtId="2" fontId="10" fillId="0" borderId="14" xfId="0" applyNumberFormat="1" applyFont="1" applyBorder="1"/>
    <xf numFmtId="2" fontId="10" fillId="0" borderId="14" xfId="1" applyNumberFormat="1" applyFont="1" applyBorder="1"/>
    <xf numFmtId="2" fontId="10" fillId="0" borderId="15" xfId="1" applyNumberFormat="1" applyFont="1" applyBorder="1"/>
    <xf numFmtId="2" fontId="10" fillId="0" borderId="0" xfId="0" applyNumberFormat="1" applyFont="1"/>
    <xf numFmtId="2" fontId="10" fillId="0" borderId="0" xfId="1" applyNumberFormat="1" applyFont="1" applyBorder="1"/>
    <xf numFmtId="2" fontId="2" fillId="0" borderId="6" xfId="0" applyNumberFormat="1" applyFont="1" applyBorder="1" applyAlignment="1">
      <alignment horizontal="center"/>
    </xf>
    <xf numFmtId="0" fontId="14" fillId="0" borderId="0" xfId="0" applyFont="1"/>
    <xf numFmtId="0" fontId="14" fillId="0" borderId="0" xfId="0" applyFont="1" applyAlignment="1">
      <alignment horizontal="center"/>
    </xf>
    <xf numFmtId="1" fontId="2" fillId="2" borderId="0" xfId="1" applyNumberFormat="1" applyFont="1" applyFill="1" applyBorder="1"/>
    <xf numFmtId="2" fontId="0" fillId="0" borderId="0" xfId="0" applyNumberFormat="1"/>
    <xf numFmtId="2" fontId="5" fillId="4" borderId="1" xfId="1" applyNumberFormat="1" applyFont="1" applyFill="1" applyBorder="1" applyAlignment="1">
      <alignment horizontal="center"/>
    </xf>
    <xf numFmtId="2" fontId="5" fillId="0" borderId="0" xfId="0" applyNumberFormat="1" applyFont="1" applyAlignment="1">
      <alignment horizontal="center"/>
    </xf>
    <xf numFmtId="2" fontId="5" fillId="0" borderId="1" xfId="0" applyNumberFormat="1" applyFont="1" applyBorder="1" applyAlignment="1">
      <alignment horizontal="center"/>
    </xf>
    <xf numFmtId="2" fontId="2" fillId="0" borderId="4" xfId="0" applyNumberFormat="1" applyFont="1" applyBorder="1" applyAlignment="1">
      <alignment horizontal="center"/>
    </xf>
    <xf numFmtId="43" fontId="2" fillId="0" borderId="0" xfId="1" applyFont="1" applyBorder="1"/>
    <xf numFmtId="43" fontId="2" fillId="0" borderId="12" xfId="1" applyFont="1" applyBorder="1"/>
    <xf numFmtId="2" fontId="2" fillId="0" borderId="0" xfId="0" applyNumberFormat="1" applyFont="1" applyAlignment="1">
      <alignment horizontal="center"/>
    </xf>
    <xf numFmtId="2" fontId="5" fillId="3" borderId="0" xfId="1" applyNumberFormat="1" applyFont="1" applyFill="1" applyBorder="1" applyAlignment="1">
      <alignment horizontal="center"/>
    </xf>
    <xf numFmtId="2" fontId="5" fillId="0" borderId="0" xfId="1" applyNumberFormat="1" applyFont="1" applyAlignment="1">
      <alignment horizontal="center"/>
    </xf>
    <xf numFmtId="2" fontId="5" fillId="8" borderId="17" xfId="4" applyNumberFormat="1" applyFont="1" applyBorder="1"/>
    <xf numFmtId="2" fontId="5" fillId="8" borderId="18" xfId="4" applyNumberFormat="1" applyFont="1" applyBorder="1"/>
    <xf numFmtId="43" fontId="5" fillId="8" borderId="19" xfId="4" applyNumberFormat="1" applyFont="1" applyBorder="1"/>
    <xf numFmtId="2" fontId="7" fillId="8" borderId="20" xfId="4" applyNumberFormat="1" applyFont="1" applyBorder="1"/>
    <xf numFmtId="2" fontId="7" fillId="8" borderId="16" xfId="4" applyNumberFormat="1" applyFont="1"/>
    <xf numFmtId="164" fontId="7" fillId="8" borderId="21" xfId="4" applyNumberFormat="1" applyFont="1" applyBorder="1"/>
    <xf numFmtId="2" fontId="5" fillId="8" borderId="22" xfId="4" applyNumberFormat="1" applyFont="1" applyBorder="1"/>
    <xf numFmtId="2" fontId="5" fillId="8" borderId="23" xfId="4" applyNumberFormat="1" applyFont="1" applyBorder="1"/>
    <xf numFmtId="43" fontId="5" fillId="8" borderId="24" xfId="4" applyNumberFormat="1" applyFont="1" applyBorder="1"/>
    <xf numFmtId="2" fontId="7" fillId="0" borderId="9" xfId="0" applyNumberFormat="1" applyFont="1" applyBorder="1"/>
    <xf numFmtId="2" fontId="7" fillId="4" borderId="11" xfId="0" applyNumberFormat="1" applyFont="1" applyFill="1" applyBorder="1"/>
    <xf numFmtId="2" fontId="7" fillId="0" borderId="11" xfId="0" applyNumberFormat="1" applyFont="1" applyBorder="1"/>
    <xf numFmtId="2" fontId="7" fillId="6" borderId="11" xfId="0" applyNumberFormat="1" applyFont="1" applyFill="1" applyBorder="1"/>
    <xf numFmtId="2" fontId="7" fillId="0" borderId="15" xfId="1" applyNumberFormat="1" applyFont="1" applyBorder="1"/>
    <xf numFmtId="2" fontId="7" fillId="0" borderId="7" xfId="1" applyNumberFormat="1" applyFont="1" applyBorder="1"/>
    <xf numFmtId="2" fontId="7" fillId="0" borderId="8" xfId="1" applyNumberFormat="1" applyFont="1" applyBorder="1"/>
    <xf numFmtId="164" fontId="7" fillId="0" borderId="9" xfId="3" applyNumberFormat="1" applyFont="1" applyBorder="1"/>
    <xf numFmtId="2" fontId="7" fillId="0" borderId="10" xfId="0" applyNumberFormat="1" applyFont="1" applyBorder="1"/>
    <xf numFmtId="2" fontId="7" fillId="4" borderId="10" xfId="0" applyNumberFormat="1" applyFont="1" applyFill="1" applyBorder="1"/>
    <xf numFmtId="2" fontId="5" fillId="4" borderId="0" xfId="0" applyNumberFormat="1" applyFont="1" applyFill="1"/>
    <xf numFmtId="164" fontId="5" fillId="4" borderId="11" xfId="2" applyNumberFormat="1" applyFont="1" applyFill="1" applyBorder="1"/>
    <xf numFmtId="9" fontId="5" fillId="3" borderId="11" xfId="2" applyFont="1" applyFill="1" applyBorder="1"/>
    <xf numFmtId="2" fontId="7" fillId="6" borderId="10" xfId="0" applyNumberFormat="1" applyFont="1" applyFill="1" applyBorder="1"/>
    <xf numFmtId="2" fontId="5" fillId="6" borderId="0" xfId="0" applyNumberFormat="1" applyFont="1" applyFill="1"/>
    <xf numFmtId="2" fontId="5" fillId="6" borderId="11" xfId="1" applyNumberFormat="1" applyFont="1" applyFill="1" applyBorder="1"/>
    <xf numFmtId="2" fontId="17" fillId="5" borderId="10" xfId="1" applyNumberFormat="1" applyFont="1" applyFill="1" applyBorder="1"/>
    <xf numFmtId="2" fontId="18" fillId="5" borderId="0" xfId="1" applyNumberFormat="1" applyFont="1" applyFill="1" applyBorder="1"/>
    <xf numFmtId="43" fontId="17" fillId="5" borderId="11" xfId="1" applyFont="1" applyFill="1" applyBorder="1"/>
    <xf numFmtId="2" fontId="7" fillId="0" borderId="0" xfId="1" applyNumberFormat="1" applyFont="1" applyAlignment="1">
      <alignment horizontal="center"/>
    </xf>
    <xf numFmtId="2" fontId="5" fillId="0" borderId="1" xfId="1" applyNumberFormat="1" applyFont="1" applyBorder="1" applyAlignment="1">
      <alignment horizontal="center"/>
    </xf>
    <xf numFmtId="2" fontId="5" fillId="6" borderId="1" xfId="1" applyNumberFormat="1" applyFont="1" applyFill="1" applyBorder="1" applyAlignment="1">
      <alignment horizontal="center"/>
    </xf>
    <xf numFmtId="164" fontId="5" fillId="10" borderId="1" xfId="1" applyNumberFormat="1" applyFont="1" applyFill="1" applyBorder="1" applyAlignment="1">
      <alignment horizontal="center"/>
    </xf>
    <xf numFmtId="164" fontId="5" fillId="10" borderId="0" xfId="1" applyNumberFormat="1" applyFont="1" applyFill="1" applyBorder="1" applyAlignment="1">
      <alignment horizontal="center"/>
    </xf>
    <xf numFmtId="2" fontId="5" fillId="0" borderId="0" xfId="1" applyNumberFormat="1" applyFont="1" applyBorder="1" applyAlignment="1">
      <alignment horizontal="center"/>
    </xf>
    <xf numFmtId="2" fontId="5" fillId="4" borderId="0" xfId="1" applyNumberFormat="1" applyFont="1" applyFill="1" applyBorder="1" applyAlignment="1">
      <alignment horizontal="center"/>
    </xf>
    <xf numFmtId="2" fontId="5" fillId="6" borderId="0" xfId="1" applyNumberFormat="1" applyFont="1" applyFill="1" applyBorder="1" applyAlignment="1">
      <alignment horizontal="center"/>
    </xf>
    <xf numFmtId="164" fontId="5" fillId="0" borderId="0" xfId="1" applyNumberFormat="1" applyFont="1" applyBorder="1" applyAlignment="1">
      <alignment horizontal="center"/>
    </xf>
    <xf numFmtId="164" fontId="5" fillId="0" borderId="1" xfId="1" applyNumberFormat="1" applyFont="1" applyBorder="1" applyAlignment="1">
      <alignment horizontal="center"/>
    </xf>
    <xf numFmtId="2" fontId="7" fillId="0" borderId="1" xfId="1" applyNumberFormat="1" applyFont="1" applyBorder="1" applyAlignment="1">
      <alignment horizontal="center"/>
    </xf>
    <xf numFmtId="2" fontId="7" fillId="3" borderId="1" xfId="1" applyNumberFormat="1" applyFont="1" applyFill="1" applyBorder="1" applyAlignment="1">
      <alignment horizontal="center"/>
    </xf>
    <xf numFmtId="2" fontId="19" fillId="0" borderId="1" xfId="0" applyNumberFormat="1" applyFont="1" applyBorder="1" applyAlignment="1">
      <alignment horizontal="center"/>
    </xf>
    <xf numFmtId="2" fontId="19" fillId="0" borderId="0" xfId="0" applyNumberFormat="1" applyFont="1" applyAlignment="1">
      <alignment horizontal="center"/>
    </xf>
    <xf numFmtId="2" fontId="5" fillId="6" borderId="1" xfId="0" applyNumberFormat="1" applyFont="1" applyFill="1" applyBorder="1" applyAlignment="1">
      <alignment horizontal="center"/>
    </xf>
    <xf numFmtId="164" fontId="7" fillId="10" borderId="11" xfId="1" applyNumberFormat="1" applyFont="1" applyFill="1" applyBorder="1"/>
    <xf numFmtId="9" fontId="5" fillId="4" borderId="0" xfId="2" applyFont="1" applyFill="1" applyBorder="1"/>
    <xf numFmtId="2" fontId="2" fillId="0" borderId="27" xfId="0" applyNumberFormat="1" applyFont="1" applyBorder="1"/>
    <xf numFmtId="2" fontId="2" fillId="0" borderId="28" xfId="0" applyNumberFormat="1" applyFont="1" applyBorder="1"/>
    <xf numFmtId="164" fontId="2" fillId="0" borderId="3" xfId="1" applyNumberFormat="1" applyFont="1" applyFill="1" applyBorder="1"/>
    <xf numFmtId="164" fontId="2" fillId="4" borderId="29" xfId="1" applyNumberFormat="1" applyFont="1" applyFill="1" applyBorder="1"/>
    <xf numFmtId="2" fontId="2" fillId="0" borderId="30" xfId="0" applyNumberFormat="1" applyFont="1" applyBorder="1"/>
    <xf numFmtId="9" fontId="2" fillId="0" borderId="11" xfId="2" applyFont="1" applyBorder="1"/>
    <xf numFmtId="2" fontId="5" fillId="5" borderId="6" xfId="0" applyNumberFormat="1" applyFont="1" applyFill="1" applyBorder="1" applyAlignment="1">
      <alignment horizontal="center"/>
    </xf>
    <xf numFmtId="2" fontId="4" fillId="6" borderId="7" xfId="1" applyNumberFormat="1" applyFont="1" applyFill="1" applyBorder="1" applyAlignment="1">
      <alignment horizontal="center"/>
    </xf>
    <xf numFmtId="2" fontId="4" fillId="6" borderId="8" xfId="1" applyNumberFormat="1" applyFont="1" applyFill="1" applyBorder="1" applyAlignment="1">
      <alignment horizontal="center"/>
    </xf>
    <xf numFmtId="2" fontId="4" fillId="6" borderId="9" xfId="1" applyNumberFormat="1" applyFont="1" applyFill="1" applyBorder="1" applyAlignment="1">
      <alignment horizontal="center"/>
    </xf>
    <xf numFmtId="2" fontId="5" fillId="5" borderId="0" xfId="1" applyNumberFormat="1" applyFont="1" applyFill="1" applyBorder="1" applyAlignment="1">
      <alignment horizontal="center"/>
    </xf>
    <xf numFmtId="2" fontId="9" fillId="6" borderId="7" xfId="0" applyNumberFormat="1" applyFont="1" applyFill="1" applyBorder="1" applyAlignment="1">
      <alignment horizontal="center"/>
    </xf>
    <xf numFmtId="2" fontId="9" fillId="6" borderId="8" xfId="0" applyNumberFormat="1" applyFont="1" applyFill="1" applyBorder="1" applyAlignment="1">
      <alignment horizontal="center"/>
    </xf>
    <xf numFmtId="2" fontId="10" fillId="0" borderId="0" xfId="0" applyNumberFormat="1" applyFont="1" applyAlignment="1">
      <alignment horizontal="center" vertical="center" wrapText="1"/>
    </xf>
    <xf numFmtId="2" fontId="10" fillId="0" borderId="11" xfId="0" applyNumberFormat="1" applyFont="1" applyBorder="1" applyAlignment="1">
      <alignment horizontal="center" vertical="center" wrapText="1"/>
    </xf>
    <xf numFmtId="0" fontId="6" fillId="0" borderId="0" xfId="0" applyFont="1" applyAlignment="1">
      <alignment horizontal="center" vertical="center" wrapText="1"/>
    </xf>
    <xf numFmtId="2" fontId="5" fillId="5" borderId="6" xfId="1" applyNumberFormat="1" applyFont="1" applyFill="1" applyBorder="1" applyAlignment="1">
      <alignment horizontal="center"/>
    </xf>
    <xf numFmtId="2" fontId="12" fillId="0" borderId="0" xfId="0" applyNumberFormat="1" applyFont="1" applyAlignment="1">
      <alignment horizontal="center"/>
    </xf>
    <xf numFmtId="2" fontId="7" fillId="0" borderId="7" xfId="1" applyNumberFormat="1" applyFont="1" applyBorder="1" applyAlignment="1">
      <alignment horizontal="left"/>
    </xf>
    <xf numFmtId="2" fontId="7" fillId="0" borderId="8" xfId="1" applyNumberFormat="1" applyFont="1" applyBorder="1" applyAlignment="1">
      <alignment horizontal="left"/>
    </xf>
    <xf numFmtId="2" fontId="5" fillId="0" borderId="7" xfId="1" applyNumberFormat="1" applyFont="1" applyBorder="1" applyAlignment="1">
      <alignment horizontal="left"/>
    </xf>
    <xf numFmtId="2" fontId="5" fillId="0" borderId="8" xfId="1" applyNumberFormat="1" applyFont="1" applyBorder="1" applyAlignment="1">
      <alignment horizontal="left"/>
    </xf>
    <xf numFmtId="2" fontId="5" fillId="0" borderId="10" xfId="1" applyNumberFormat="1" applyFont="1" applyBorder="1" applyAlignment="1">
      <alignment horizontal="left"/>
    </xf>
    <xf numFmtId="2" fontId="5" fillId="0" borderId="0" xfId="1" applyNumberFormat="1" applyFont="1" applyBorder="1" applyAlignment="1">
      <alignment horizontal="left"/>
    </xf>
    <xf numFmtId="2" fontId="5" fillId="0" borderId="13" xfId="1" applyNumberFormat="1" applyFont="1" applyBorder="1" applyAlignment="1">
      <alignment horizontal="left"/>
    </xf>
    <xf numFmtId="2" fontId="5" fillId="0" borderId="14" xfId="1" applyNumberFormat="1" applyFont="1" applyBorder="1" applyAlignment="1">
      <alignment horizontal="left"/>
    </xf>
    <xf numFmtId="2" fontId="18" fillId="5" borderId="10" xfId="1" applyNumberFormat="1" applyFont="1" applyFill="1" applyBorder="1" applyAlignment="1">
      <alignment horizontal="center" vertical="center" wrapText="1"/>
    </xf>
    <xf numFmtId="2" fontId="18" fillId="5" borderId="0" xfId="1" applyNumberFormat="1" applyFont="1" applyFill="1" applyBorder="1" applyAlignment="1">
      <alignment horizontal="center" vertical="center" wrapText="1"/>
    </xf>
    <xf numFmtId="2" fontId="18" fillId="5" borderId="11" xfId="1" applyNumberFormat="1" applyFont="1" applyFill="1" applyBorder="1" applyAlignment="1">
      <alignment horizontal="center" vertical="center" wrapText="1"/>
    </xf>
    <xf numFmtId="2" fontId="18" fillId="5" borderId="13" xfId="1" applyNumberFormat="1" applyFont="1" applyFill="1" applyBorder="1" applyAlignment="1">
      <alignment horizontal="center" vertical="center" wrapText="1"/>
    </xf>
    <xf numFmtId="2" fontId="18" fillId="5" borderId="14" xfId="1" applyNumberFormat="1" applyFont="1" applyFill="1" applyBorder="1" applyAlignment="1">
      <alignment horizontal="center" vertical="center" wrapText="1"/>
    </xf>
    <xf numFmtId="2" fontId="18" fillId="5" borderId="15" xfId="1" applyNumberFormat="1" applyFont="1" applyFill="1" applyBorder="1" applyAlignment="1">
      <alignment horizontal="center" vertical="center" wrapText="1"/>
    </xf>
    <xf numFmtId="2" fontId="16" fillId="9" borderId="14" xfId="1" applyNumberFormat="1" applyFont="1" applyFill="1" applyBorder="1" applyAlignment="1">
      <alignment horizontal="center"/>
    </xf>
    <xf numFmtId="2" fontId="10" fillId="0" borderId="0" xfId="0" applyNumberFormat="1" applyFont="1" applyAlignment="1">
      <alignment horizontal="center" wrapText="1"/>
    </xf>
    <xf numFmtId="2" fontId="10" fillId="0" borderId="11" xfId="0" applyNumberFormat="1" applyFont="1" applyBorder="1" applyAlignment="1">
      <alignment horizontal="center" wrapText="1"/>
    </xf>
    <xf numFmtId="2" fontId="2" fillId="4" borderId="25" xfId="0" applyNumberFormat="1" applyFont="1" applyFill="1" applyBorder="1" applyAlignment="1">
      <alignment horizontal="center"/>
    </xf>
    <xf numFmtId="2" fontId="2" fillId="4" borderId="6" xfId="0" applyNumberFormat="1" applyFont="1" applyFill="1" applyBorder="1" applyAlignment="1">
      <alignment horizontal="center"/>
    </xf>
    <xf numFmtId="2" fontId="2" fillId="4" borderId="26" xfId="0" applyNumberFormat="1" applyFont="1" applyFill="1" applyBorder="1" applyAlignment="1">
      <alignment horizontal="center"/>
    </xf>
    <xf numFmtId="164" fontId="2" fillId="0" borderId="27" xfId="1" applyNumberFormat="1" applyFont="1" applyFill="1" applyBorder="1" applyAlignment="1">
      <alignment horizontal="center"/>
    </xf>
    <xf numFmtId="164" fontId="2" fillId="0" borderId="0" xfId="1" applyNumberFormat="1" applyFont="1" applyFill="1" applyBorder="1" applyAlignment="1">
      <alignment horizontal="center"/>
    </xf>
    <xf numFmtId="164" fontId="2" fillId="0" borderId="28" xfId="1" applyNumberFormat="1" applyFont="1" applyFill="1" applyBorder="1" applyAlignment="1">
      <alignment horizontal="center"/>
    </xf>
    <xf numFmtId="2" fontId="15" fillId="0" borderId="0" xfId="0" applyNumberFormat="1" applyFont="1" applyAlignment="1">
      <alignment horizontal="center"/>
    </xf>
    <xf numFmtId="0" fontId="11" fillId="0" borderId="0" xfId="0" applyFont="1" applyAlignment="1">
      <alignment horizontal="center" vertical="center" wrapText="1"/>
    </xf>
    <xf numFmtId="2" fontId="13" fillId="0" borderId="0" xfId="0" applyNumberFormat="1" applyFont="1" applyAlignment="1">
      <alignment horizontal="center"/>
    </xf>
    <xf numFmtId="2" fontId="7" fillId="6" borderId="7" xfId="1" applyNumberFormat="1" applyFont="1" applyFill="1" applyBorder="1" applyAlignment="1">
      <alignment horizontal="center"/>
    </xf>
    <xf numFmtId="2" fontId="7" fillId="6" borderId="8" xfId="1" applyNumberFormat="1" applyFont="1" applyFill="1" applyBorder="1" applyAlignment="1">
      <alignment horizontal="center"/>
    </xf>
    <xf numFmtId="2" fontId="7" fillId="6" borderId="9" xfId="1" applyNumberFormat="1" applyFont="1" applyFill="1" applyBorder="1" applyAlignment="1">
      <alignment horizontal="center"/>
    </xf>
    <xf numFmtId="2" fontId="5" fillId="0" borderId="10" xfId="1" applyNumberFormat="1" applyFont="1" applyBorder="1"/>
    <xf numFmtId="2" fontId="5" fillId="0" borderId="11" xfId="0" applyNumberFormat="1" applyFont="1" applyBorder="1"/>
    <xf numFmtId="164" fontId="5" fillId="0" borderId="0" xfId="1" applyNumberFormat="1" applyFont="1" applyFill="1" applyBorder="1"/>
    <xf numFmtId="9" fontId="5" fillId="0" borderId="0" xfId="2" applyFont="1" applyBorder="1"/>
    <xf numFmtId="2" fontId="5" fillId="0" borderId="12" xfId="0" applyNumberFormat="1" applyFont="1" applyBorder="1"/>
    <xf numFmtId="2" fontId="5" fillId="0" borderId="6" xfId="0" applyNumberFormat="1" applyFont="1" applyBorder="1"/>
    <xf numFmtId="164" fontId="5" fillId="0" borderId="2" xfId="1" applyNumberFormat="1" applyFont="1" applyFill="1" applyBorder="1"/>
    <xf numFmtId="2" fontId="5" fillId="0" borderId="4" xfId="0" applyNumberFormat="1" applyFont="1" applyBorder="1"/>
    <xf numFmtId="2" fontId="5" fillId="0" borderId="5" xfId="0" applyNumberFormat="1" applyFont="1" applyBorder="1"/>
    <xf numFmtId="2" fontId="5" fillId="0" borderId="13" xfId="1" applyNumberFormat="1" applyFont="1" applyBorder="1"/>
    <xf numFmtId="2" fontId="5" fillId="0" borderId="14" xfId="0" applyNumberFormat="1" applyFont="1" applyBorder="1"/>
    <xf numFmtId="164" fontId="5" fillId="0" borderId="14" xfId="1" applyNumberFormat="1" applyFont="1" applyFill="1" applyBorder="1"/>
    <xf numFmtId="2" fontId="5" fillId="0" borderId="15" xfId="0" applyNumberFormat="1" applyFont="1" applyBorder="1"/>
    <xf numFmtId="2" fontId="5" fillId="0" borderId="0" xfId="0" applyNumberFormat="1" applyFont="1" applyBorder="1"/>
    <xf numFmtId="2" fontId="5" fillId="0" borderId="4" xfId="0" applyNumberFormat="1" applyFont="1" applyBorder="1" applyAlignment="1">
      <alignment horizontal="center"/>
    </xf>
    <xf numFmtId="2" fontId="5" fillId="0" borderId="10" xfId="0" applyNumberFormat="1" applyFont="1" applyBorder="1"/>
    <xf numFmtId="2" fontId="7" fillId="7" borderId="10" xfId="0" applyNumberFormat="1" applyFont="1" applyFill="1" applyBorder="1"/>
    <xf numFmtId="2" fontId="5" fillId="7" borderId="0" xfId="0" applyNumberFormat="1" applyFont="1" applyFill="1"/>
    <xf numFmtId="2" fontId="5" fillId="7" borderId="11" xfId="1" applyNumberFormat="1" applyFont="1" applyFill="1" applyBorder="1"/>
    <xf numFmtId="164" fontId="7" fillId="10" borderId="11" xfId="1" applyNumberFormat="1" applyFont="1" applyFill="1" applyBorder="1" applyAlignment="1">
      <alignment horizontal="center"/>
    </xf>
    <xf numFmtId="2" fontId="7" fillId="0" borderId="0" xfId="0" applyNumberFormat="1" applyFont="1" applyAlignment="1">
      <alignment horizontal="center"/>
    </xf>
    <xf numFmtId="2" fontId="7" fillId="7" borderId="0" xfId="0" applyNumberFormat="1" applyFont="1" applyFill="1" applyAlignment="1">
      <alignment horizontal="center"/>
    </xf>
    <xf numFmtId="2" fontId="5" fillId="7" borderId="0" xfId="1" applyNumberFormat="1" applyFont="1" applyFill="1" applyAlignment="1">
      <alignment horizontal="center"/>
    </xf>
    <xf numFmtId="164" fontId="7" fillId="0" borderId="0" xfId="1" applyNumberFormat="1" applyFont="1" applyBorder="1" applyAlignment="1">
      <alignment horizontal="center"/>
    </xf>
    <xf numFmtId="2" fontId="5" fillId="0" borderId="0" xfId="0" applyNumberFormat="1" applyFont="1" applyBorder="1" applyAlignment="1">
      <alignment horizontal="center"/>
    </xf>
    <xf numFmtId="2" fontId="7" fillId="0" borderId="0" xfId="1" applyNumberFormat="1" applyFont="1" applyBorder="1" applyAlignment="1">
      <alignment horizontal="center"/>
    </xf>
    <xf numFmtId="2" fontId="9" fillId="0" borderId="0" xfId="1" applyNumberFormat="1" applyFont="1" applyBorder="1" applyAlignment="1">
      <alignment horizontal="center" vertical="center"/>
    </xf>
    <xf numFmtId="2" fontId="9" fillId="0" borderId="1" xfId="1" applyNumberFormat="1" applyFont="1" applyBorder="1" applyAlignment="1">
      <alignment horizontal="center"/>
    </xf>
    <xf numFmtId="2" fontId="9" fillId="0" borderId="1" xfId="0" applyNumberFormat="1" applyFont="1" applyBorder="1" applyAlignment="1">
      <alignment horizontal="center"/>
    </xf>
    <xf numFmtId="2" fontId="9" fillId="0" borderId="0" xfId="1" applyNumberFormat="1" applyFont="1" applyBorder="1" applyAlignment="1">
      <alignment horizontal="center"/>
    </xf>
    <xf numFmtId="2" fontId="5" fillId="6" borderId="0" xfId="1" applyNumberFormat="1" applyFont="1" applyFill="1" applyAlignment="1">
      <alignment horizontal="center"/>
    </xf>
    <xf numFmtId="2" fontId="5" fillId="5" borderId="0" xfId="0" applyNumberFormat="1" applyFont="1" applyFill="1" applyAlignment="1">
      <alignment horizontal="center"/>
    </xf>
    <xf numFmtId="2" fontId="5" fillId="0" borderId="0" xfId="0" applyNumberFormat="1" applyFont="1" applyAlignment="1">
      <alignment horizontal="center"/>
    </xf>
    <xf numFmtId="2" fontId="5" fillId="8" borderId="17" xfId="4" applyNumberFormat="1" applyFont="1" applyBorder="1" applyAlignment="1">
      <alignment horizontal="left" wrapText="1"/>
    </xf>
    <xf numFmtId="2" fontId="5" fillId="8" borderId="18" xfId="4" applyNumberFormat="1" applyFont="1" applyBorder="1" applyAlignment="1">
      <alignment horizontal="left" wrapText="1"/>
    </xf>
    <xf numFmtId="2" fontId="5" fillId="8" borderId="19" xfId="4" applyNumberFormat="1" applyFont="1" applyBorder="1" applyAlignment="1">
      <alignment horizontal="left" wrapText="1"/>
    </xf>
    <xf numFmtId="2" fontId="5" fillId="8" borderId="22" xfId="4" applyNumberFormat="1" applyFont="1" applyBorder="1" applyAlignment="1">
      <alignment horizontal="left" wrapText="1"/>
    </xf>
    <xf numFmtId="2" fontId="5" fillId="8" borderId="23" xfId="4" applyNumberFormat="1" applyFont="1" applyBorder="1" applyAlignment="1">
      <alignment horizontal="left" wrapText="1"/>
    </xf>
    <xf numFmtId="2" fontId="5" fillId="8" borderId="24" xfId="4" applyNumberFormat="1" applyFont="1" applyBorder="1" applyAlignment="1">
      <alignment horizontal="left" wrapText="1"/>
    </xf>
    <xf numFmtId="9" fontId="5" fillId="4" borderId="0" xfId="2" applyFont="1" applyFill="1"/>
    <xf numFmtId="2" fontId="18" fillId="5" borderId="10" xfId="1" applyNumberFormat="1" applyFont="1" applyFill="1" applyBorder="1" applyAlignment="1">
      <alignment horizontal="left" vertical="center" wrapText="1"/>
    </xf>
    <xf numFmtId="2" fontId="18" fillId="5" borderId="0" xfId="1" applyNumberFormat="1" applyFont="1" applyFill="1" applyBorder="1" applyAlignment="1">
      <alignment horizontal="left" vertical="center" wrapText="1"/>
    </xf>
    <xf numFmtId="2" fontId="18" fillId="5" borderId="11" xfId="1" applyNumberFormat="1" applyFont="1" applyFill="1" applyBorder="1" applyAlignment="1">
      <alignment horizontal="left" vertical="center" wrapText="1"/>
    </xf>
    <xf numFmtId="2" fontId="18" fillId="5" borderId="13" xfId="1" applyNumberFormat="1" applyFont="1" applyFill="1" applyBorder="1" applyAlignment="1">
      <alignment horizontal="left" vertical="center" wrapText="1"/>
    </xf>
    <xf numFmtId="2" fontId="18" fillId="5" borderId="14" xfId="1" applyNumberFormat="1" applyFont="1" applyFill="1" applyBorder="1" applyAlignment="1">
      <alignment horizontal="left" vertical="center" wrapText="1"/>
    </xf>
    <xf numFmtId="2" fontId="18" fillId="5" borderId="15" xfId="1" applyNumberFormat="1" applyFont="1" applyFill="1" applyBorder="1" applyAlignment="1">
      <alignment horizontal="left" vertical="center" wrapText="1"/>
    </xf>
    <xf numFmtId="2" fontId="5" fillId="4" borderId="25" xfId="0" applyNumberFormat="1" applyFont="1" applyFill="1" applyBorder="1" applyAlignment="1">
      <alignment horizontal="center"/>
    </xf>
    <xf numFmtId="2" fontId="5" fillId="4" borderId="6" xfId="0" applyNumberFormat="1" applyFont="1" applyFill="1" applyBorder="1" applyAlignment="1">
      <alignment horizontal="center"/>
    </xf>
    <xf numFmtId="2" fontId="5" fillId="4" borderId="26" xfId="0" applyNumberFormat="1" applyFont="1" applyFill="1" applyBorder="1" applyAlignment="1">
      <alignment horizontal="center"/>
    </xf>
    <xf numFmtId="2" fontId="5" fillId="0" borderId="27" xfId="0" applyNumberFormat="1" applyFont="1" applyBorder="1"/>
    <xf numFmtId="2" fontId="5" fillId="0" borderId="28" xfId="0" applyNumberFormat="1" applyFont="1" applyBorder="1"/>
    <xf numFmtId="164" fontId="5" fillId="0" borderId="27" xfId="1" applyNumberFormat="1" applyFont="1" applyFill="1" applyBorder="1" applyAlignment="1">
      <alignment horizontal="center"/>
    </xf>
    <xf numFmtId="164" fontId="5" fillId="0" borderId="0" xfId="1" applyNumberFormat="1" applyFont="1" applyFill="1" applyBorder="1" applyAlignment="1">
      <alignment horizontal="center"/>
    </xf>
    <xf numFmtId="164" fontId="5" fillId="0" borderId="28" xfId="1" applyNumberFormat="1" applyFont="1" applyFill="1" applyBorder="1" applyAlignment="1">
      <alignment horizontal="center"/>
    </xf>
    <xf numFmtId="164" fontId="5" fillId="0" borderId="3" xfId="1" applyNumberFormat="1" applyFont="1" applyFill="1" applyBorder="1"/>
    <xf numFmtId="164" fontId="5" fillId="4" borderId="3" xfId="1" applyNumberFormat="1" applyFont="1" applyFill="1" applyBorder="1" applyAlignment="1">
      <alignment horizontal="center"/>
    </xf>
    <xf numFmtId="164" fontId="5" fillId="4" borderId="4" xfId="1" applyNumberFormat="1" applyFont="1" applyFill="1" applyBorder="1" applyAlignment="1">
      <alignment horizontal="center"/>
    </xf>
    <xf numFmtId="164" fontId="5" fillId="4" borderId="5" xfId="1" applyNumberFormat="1" applyFont="1" applyFill="1" applyBorder="1" applyAlignment="1">
      <alignment horizontal="center"/>
    </xf>
    <xf numFmtId="0" fontId="21" fillId="0" borderId="0" xfId="0" applyFont="1"/>
    <xf numFmtId="2" fontId="9" fillId="0" borderId="7" xfId="0" applyNumberFormat="1" applyFont="1" applyBorder="1"/>
    <xf numFmtId="2" fontId="10" fillId="0" borderId="8" xfId="0" applyNumberFormat="1" applyFont="1" applyBorder="1" applyAlignment="1">
      <alignment horizontal="center" vertical="top" wrapText="1"/>
    </xf>
    <xf numFmtId="2" fontId="10" fillId="0" borderId="9" xfId="0" applyNumberFormat="1" applyFont="1" applyBorder="1" applyAlignment="1">
      <alignment horizontal="center" vertical="top" wrapText="1"/>
    </xf>
    <xf numFmtId="2" fontId="10" fillId="0" borderId="0" xfId="0" applyNumberFormat="1" applyFont="1" applyAlignment="1">
      <alignment horizontal="center" vertical="top" wrapText="1"/>
    </xf>
    <xf numFmtId="2" fontId="10" fillId="0" borderId="11" xfId="0" applyNumberFormat="1" applyFont="1" applyBorder="1" applyAlignment="1">
      <alignment horizontal="center" vertical="top" wrapText="1"/>
    </xf>
    <xf numFmtId="2" fontId="10" fillId="0" borderId="14" xfId="0" applyNumberFormat="1" applyFont="1" applyBorder="1" applyAlignment="1">
      <alignment horizontal="center" vertical="top" wrapText="1"/>
    </xf>
    <xf numFmtId="2" fontId="10" fillId="0" borderId="15" xfId="0" applyNumberFormat="1" applyFont="1" applyBorder="1" applyAlignment="1">
      <alignment horizontal="center" vertical="top" wrapText="1"/>
    </xf>
    <xf numFmtId="2" fontId="5" fillId="0" borderId="1" xfId="1" applyNumberFormat="1" applyFont="1" applyFill="1" applyBorder="1" applyAlignment="1">
      <alignment horizontal="center"/>
    </xf>
    <xf numFmtId="164" fontId="7" fillId="0" borderId="1" xfId="1" applyNumberFormat="1" applyFont="1" applyFill="1" applyBorder="1" applyAlignment="1">
      <alignment horizontal="center"/>
    </xf>
    <xf numFmtId="164" fontId="5" fillId="0" borderId="1" xfId="2" applyNumberFormat="1" applyFont="1" applyFill="1" applyBorder="1" applyAlignment="1">
      <alignment horizontal="center"/>
    </xf>
    <xf numFmtId="2" fontId="22" fillId="0" borderId="1" xfId="0" applyNumberFormat="1" applyFont="1" applyBorder="1" applyAlignment="1">
      <alignment horizontal="center"/>
    </xf>
    <xf numFmtId="2" fontId="9" fillId="0" borderId="1" xfId="1" applyNumberFormat="1" applyFont="1" applyFill="1" applyBorder="1" applyAlignment="1">
      <alignment horizontal="center"/>
    </xf>
    <xf numFmtId="164" fontId="5" fillId="0" borderId="0" xfId="2" applyNumberFormat="1" applyFont="1" applyFill="1" applyBorder="1" applyAlignment="1">
      <alignment horizontal="center"/>
    </xf>
    <xf numFmtId="2" fontId="5" fillId="8" borderId="16" xfId="4" applyNumberFormat="1" applyFont="1" applyAlignment="1">
      <alignment horizontal="left" vertical="center" wrapText="1"/>
    </xf>
    <xf numFmtId="2" fontId="5" fillId="0" borderId="6" xfId="0" applyNumberFormat="1" applyFont="1" applyBorder="1" applyAlignment="1">
      <alignment horizontal="center"/>
    </xf>
    <xf numFmtId="164" fontId="5" fillId="6" borderId="14" xfId="1" applyNumberFormat="1" applyFont="1" applyFill="1" applyBorder="1"/>
    <xf numFmtId="4" fontId="5" fillId="0" borderId="0" xfId="1" applyNumberFormat="1" applyFont="1" applyBorder="1" applyAlignment="1">
      <alignment horizontal="center"/>
    </xf>
    <xf numFmtId="164" fontId="7" fillId="10" borderId="1" xfId="1" applyNumberFormat="1" applyFont="1" applyFill="1" applyBorder="1" applyAlignment="1">
      <alignment horizontal="center"/>
    </xf>
    <xf numFmtId="2" fontId="5" fillId="5" borderId="0" xfId="0" applyNumberFormat="1" applyFont="1" applyFill="1" applyAlignment="1">
      <alignment horizontal="center"/>
    </xf>
    <xf numFmtId="2" fontId="22" fillId="0" borderId="0" xfId="1" applyNumberFormat="1" applyFont="1" applyBorder="1" applyAlignment="1">
      <alignment horizontal="center"/>
    </xf>
    <xf numFmtId="164" fontId="5" fillId="0" borderId="0" xfId="1" applyNumberFormat="1" applyFont="1" applyAlignment="1">
      <alignment horizontal="center"/>
    </xf>
    <xf numFmtId="2" fontId="9" fillId="0" borderId="0" xfId="1" applyNumberFormat="1" applyFont="1" applyAlignment="1">
      <alignment horizontal="center"/>
    </xf>
  </cellXfs>
  <cellStyles count="5">
    <cellStyle name="Millares" xfId="1" builtinId="3"/>
    <cellStyle name="Moneda" xfId="3" builtinId="4"/>
    <cellStyle name="Normal" xfId="0" builtinId="0"/>
    <cellStyle name="Notas" xfId="4" builtinId="10"/>
    <cellStyle name="Porcentaje" xfId="2" builtinId="5"/>
  </cellStyles>
  <dxfs count="0"/>
  <tableStyles count="0" defaultTableStyle="TableStyleMedium2" defaultPivotStyle="PivotStyleLight16"/>
  <colors>
    <mruColors>
      <color rgb="FF0000CC"/>
      <color rgb="FF99FF99"/>
      <color rgb="FF66FFFF"/>
      <color rgb="FFCC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customXml" Target="../ink/ink1.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23</xdr:row>
      <xdr:rowOff>95250</xdr:rowOff>
    </xdr:from>
    <xdr:to>
      <xdr:col>4</xdr:col>
      <xdr:colOff>619125</xdr:colOff>
      <xdr:row>28</xdr:row>
      <xdr:rowOff>144780</xdr:rowOff>
    </xdr:to>
    <xdr:pic>
      <xdr:nvPicPr>
        <xdr:cNvPr id="2" name="Imagen 1">
          <a:extLst>
            <a:ext uri="{FF2B5EF4-FFF2-40B4-BE49-F238E27FC236}">
              <a16:creationId xmlns:a16="http://schemas.microsoft.com/office/drawing/2014/main" id="{EA76BAF5-D428-78FF-3718-0070DB9BA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3333750"/>
          <a:ext cx="352425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657225</xdr:colOff>
      <xdr:row>7</xdr:row>
      <xdr:rowOff>130712</xdr:rowOff>
    </xdr:from>
    <xdr:to>
      <xdr:col>16</xdr:col>
      <xdr:colOff>542846</xdr:colOff>
      <xdr:row>20</xdr:row>
      <xdr:rowOff>54196</xdr:rowOff>
    </xdr:to>
    <xdr:pic>
      <xdr:nvPicPr>
        <xdr:cNvPr id="3" name="Imagen 2">
          <a:extLst>
            <a:ext uri="{FF2B5EF4-FFF2-40B4-BE49-F238E27FC236}">
              <a16:creationId xmlns:a16="http://schemas.microsoft.com/office/drawing/2014/main" id="{D5452CF6-3A8F-58FD-0AC8-9CA61BB17A20}"/>
            </a:ext>
          </a:extLst>
        </xdr:cNvPr>
        <xdr:cNvPicPr>
          <a:picLocks noChangeAspect="1"/>
        </xdr:cNvPicPr>
      </xdr:nvPicPr>
      <xdr:blipFill>
        <a:blip xmlns:r="http://schemas.openxmlformats.org/officeDocument/2006/relationships" r:embed="rId2"/>
        <a:stretch>
          <a:fillRect/>
        </a:stretch>
      </xdr:blipFill>
      <xdr:spPr>
        <a:xfrm>
          <a:off x="6288405" y="1708052"/>
          <a:ext cx="7879001" cy="2499044"/>
        </a:xfrm>
        <a:prstGeom prst="rect">
          <a:avLst/>
        </a:prstGeom>
      </xdr:spPr>
    </xdr:pic>
    <xdr:clientData/>
  </xdr:twoCellAnchor>
  <xdr:twoCellAnchor editAs="oneCell">
    <xdr:from>
      <xdr:col>0</xdr:col>
      <xdr:colOff>0</xdr:colOff>
      <xdr:row>5</xdr:row>
      <xdr:rowOff>190500</xdr:rowOff>
    </xdr:from>
    <xdr:to>
      <xdr:col>6</xdr:col>
      <xdr:colOff>332650</xdr:colOff>
      <xdr:row>21</xdr:row>
      <xdr:rowOff>66290</xdr:rowOff>
    </xdr:to>
    <xdr:pic>
      <xdr:nvPicPr>
        <xdr:cNvPr id="4" name="Imagen 3">
          <a:extLst>
            <a:ext uri="{FF2B5EF4-FFF2-40B4-BE49-F238E27FC236}">
              <a16:creationId xmlns:a16="http://schemas.microsoft.com/office/drawing/2014/main" id="{ACDB433C-CEE2-C403-E4FD-5A96FAF6E535}"/>
            </a:ext>
          </a:extLst>
        </xdr:cNvPr>
        <xdr:cNvPicPr>
          <a:picLocks noChangeAspect="1"/>
        </xdr:cNvPicPr>
      </xdr:nvPicPr>
      <xdr:blipFill>
        <a:blip xmlns:r="http://schemas.openxmlformats.org/officeDocument/2006/relationships" r:embed="rId3"/>
        <a:stretch>
          <a:fillRect/>
        </a:stretch>
      </xdr:blipFill>
      <xdr:spPr>
        <a:xfrm>
          <a:off x="0" y="1381125"/>
          <a:ext cx="5800000" cy="3076190"/>
        </a:xfrm>
        <a:prstGeom prst="rect">
          <a:avLst/>
        </a:prstGeom>
      </xdr:spPr>
    </xdr:pic>
    <xdr:clientData/>
  </xdr:twoCellAnchor>
  <xdr:twoCellAnchor editAs="oneCell">
    <xdr:from>
      <xdr:col>1</xdr:col>
      <xdr:colOff>815340</xdr:colOff>
      <xdr:row>58</xdr:row>
      <xdr:rowOff>60960</xdr:rowOff>
    </xdr:from>
    <xdr:to>
      <xdr:col>10</xdr:col>
      <xdr:colOff>380921</xdr:colOff>
      <xdr:row>70</xdr:row>
      <xdr:rowOff>182564</xdr:rowOff>
    </xdr:to>
    <xdr:pic>
      <xdr:nvPicPr>
        <xdr:cNvPr id="8" name="Imagen 7">
          <a:extLst>
            <a:ext uri="{FF2B5EF4-FFF2-40B4-BE49-F238E27FC236}">
              <a16:creationId xmlns:a16="http://schemas.microsoft.com/office/drawing/2014/main" id="{339B22B3-1A6B-4218-9D83-6DEF55D58F52}"/>
            </a:ext>
          </a:extLst>
        </xdr:cNvPr>
        <xdr:cNvPicPr>
          <a:picLocks noChangeAspect="1"/>
        </xdr:cNvPicPr>
      </xdr:nvPicPr>
      <xdr:blipFill>
        <a:blip xmlns:r="http://schemas.openxmlformats.org/officeDocument/2006/relationships" r:embed="rId2"/>
        <a:stretch>
          <a:fillRect/>
        </a:stretch>
      </xdr:blipFill>
      <xdr:spPr>
        <a:xfrm>
          <a:off x="1600200" y="11757660"/>
          <a:ext cx="7879001" cy="2499044"/>
        </a:xfrm>
        <a:prstGeom prst="rect">
          <a:avLst/>
        </a:prstGeom>
      </xdr:spPr>
    </xdr:pic>
    <xdr:clientData/>
  </xdr:twoCellAnchor>
  <xdr:twoCellAnchor>
    <xdr:from>
      <xdr:col>3</xdr:col>
      <xdr:colOff>30480</xdr:colOff>
      <xdr:row>37</xdr:row>
      <xdr:rowOff>129540</xdr:rowOff>
    </xdr:from>
    <xdr:to>
      <xdr:col>5</xdr:col>
      <xdr:colOff>891540</xdr:colOff>
      <xdr:row>38</xdr:row>
      <xdr:rowOff>175260</xdr:rowOff>
    </xdr:to>
    <xdr:sp macro="" textlink="">
      <xdr:nvSpPr>
        <xdr:cNvPr id="9" name="Corchetes 8">
          <a:extLst>
            <a:ext uri="{FF2B5EF4-FFF2-40B4-BE49-F238E27FC236}">
              <a16:creationId xmlns:a16="http://schemas.microsoft.com/office/drawing/2014/main" id="{6C780EDA-DE6E-5BA8-42C8-96CB3DC9C66E}"/>
            </a:ext>
          </a:extLst>
        </xdr:cNvPr>
        <xdr:cNvSpPr/>
      </xdr:nvSpPr>
      <xdr:spPr>
        <a:xfrm>
          <a:off x="2834640" y="7764780"/>
          <a:ext cx="27660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6</xdr:col>
      <xdr:colOff>708660</xdr:colOff>
      <xdr:row>37</xdr:row>
      <xdr:rowOff>144780</xdr:rowOff>
    </xdr:from>
    <xdr:to>
      <xdr:col>10</xdr:col>
      <xdr:colOff>7620</xdr:colOff>
      <xdr:row>38</xdr:row>
      <xdr:rowOff>190500</xdr:rowOff>
    </xdr:to>
    <xdr:sp macro="" textlink="">
      <xdr:nvSpPr>
        <xdr:cNvPr id="10" name="Corchetes 9">
          <a:extLst>
            <a:ext uri="{FF2B5EF4-FFF2-40B4-BE49-F238E27FC236}">
              <a16:creationId xmlns:a16="http://schemas.microsoft.com/office/drawing/2014/main" id="{7C4B2BC1-CDA7-4BAD-879E-F3C8A3AB6D8D}"/>
            </a:ext>
          </a:extLst>
        </xdr:cNvPr>
        <xdr:cNvSpPr/>
      </xdr:nvSpPr>
      <xdr:spPr>
        <a:xfrm>
          <a:off x="6339840" y="7780020"/>
          <a:ext cx="27660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3</xdr:col>
      <xdr:colOff>15240</xdr:colOff>
      <xdr:row>40</xdr:row>
      <xdr:rowOff>144780</xdr:rowOff>
    </xdr:from>
    <xdr:to>
      <xdr:col>5</xdr:col>
      <xdr:colOff>868680</xdr:colOff>
      <xdr:row>41</xdr:row>
      <xdr:rowOff>228600</xdr:rowOff>
    </xdr:to>
    <xdr:sp macro="" textlink="">
      <xdr:nvSpPr>
        <xdr:cNvPr id="11" name="Corchetes 10">
          <a:extLst>
            <a:ext uri="{FF2B5EF4-FFF2-40B4-BE49-F238E27FC236}">
              <a16:creationId xmlns:a16="http://schemas.microsoft.com/office/drawing/2014/main" id="{A6A7583C-504E-45C1-A0C2-994F7E3F6065}"/>
            </a:ext>
          </a:extLst>
        </xdr:cNvPr>
        <xdr:cNvSpPr/>
      </xdr:nvSpPr>
      <xdr:spPr>
        <a:xfrm>
          <a:off x="2819400" y="8435340"/>
          <a:ext cx="2758440" cy="2819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6</xdr:col>
      <xdr:colOff>708660</xdr:colOff>
      <xdr:row>40</xdr:row>
      <xdr:rowOff>167640</xdr:rowOff>
    </xdr:from>
    <xdr:to>
      <xdr:col>10</xdr:col>
      <xdr:colOff>7620</xdr:colOff>
      <xdr:row>42</xdr:row>
      <xdr:rowOff>15240</xdr:rowOff>
    </xdr:to>
    <xdr:sp macro="" textlink="">
      <xdr:nvSpPr>
        <xdr:cNvPr id="12" name="Corchetes 11">
          <a:extLst>
            <a:ext uri="{FF2B5EF4-FFF2-40B4-BE49-F238E27FC236}">
              <a16:creationId xmlns:a16="http://schemas.microsoft.com/office/drawing/2014/main" id="{29D03B3A-527D-40A6-8FE0-DCE6650FC99F}"/>
            </a:ext>
          </a:extLst>
        </xdr:cNvPr>
        <xdr:cNvSpPr/>
      </xdr:nvSpPr>
      <xdr:spPr>
        <a:xfrm>
          <a:off x="6339840" y="8397240"/>
          <a:ext cx="27660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906780</xdr:colOff>
      <xdr:row>43</xdr:row>
      <xdr:rowOff>106680</xdr:rowOff>
    </xdr:from>
    <xdr:to>
      <xdr:col>5</xdr:col>
      <xdr:colOff>891540</xdr:colOff>
      <xdr:row>45</xdr:row>
      <xdr:rowOff>7620</xdr:rowOff>
    </xdr:to>
    <xdr:sp macro="" textlink="">
      <xdr:nvSpPr>
        <xdr:cNvPr id="13" name="Corchetes 12">
          <a:extLst>
            <a:ext uri="{FF2B5EF4-FFF2-40B4-BE49-F238E27FC236}">
              <a16:creationId xmlns:a16="http://schemas.microsoft.com/office/drawing/2014/main" id="{BA926195-8782-4436-878B-A2B642C742D9}"/>
            </a:ext>
          </a:extLst>
        </xdr:cNvPr>
        <xdr:cNvSpPr/>
      </xdr:nvSpPr>
      <xdr:spPr>
        <a:xfrm>
          <a:off x="2727960" y="9052560"/>
          <a:ext cx="2872740" cy="29718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5</xdr:col>
      <xdr:colOff>567369</xdr:colOff>
      <xdr:row>41</xdr:row>
      <xdr:rowOff>190500</xdr:rowOff>
    </xdr:from>
    <xdr:to>
      <xdr:col>8</xdr:col>
      <xdr:colOff>99060</xdr:colOff>
      <xdr:row>44</xdr:row>
      <xdr:rowOff>89270</xdr:rowOff>
    </xdr:to>
    <xdr:cxnSp macro="">
      <xdr:nvCxnSpPr>
        <xdr:cNvPr id="20" name="Conector recto 19">
          <a:extLst>
            <a:ext uri="{FF2B5EF4-FFF2-40B4-BE49-F238E27FC236}">
              <a16:creationId xmlns:a16="http://schemas.microsoft.com/office/drawing/2014/main" id="{D368AE45-8CEC-B934-1159-138A0F904D4E}"/>
            </a:ext>
          </a:extLst>
        </xdr:cNvPr>
        <xdr:cNvCxnSpPr/>
      </xdr:nvCxnSpPr>
      <xdr:spPr>
        <a:xfrm flipH="1">
          <a:off x="5276529" y="8679180"/>
          <a:ext cx="2031051" cy="55409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594360</xdr:colOff>
      <xdr:row>43</xdr:row>
      <xdr:rowOff>45720</xdr:rowOff>
    </xdr:from>
    <xdr:to>
      <xdr:col>4</xdr:col>
      <xdr:colOff>194220</xdr:colOff>
      <xdr:row>43</xdr:row>
      <xdr:rowOff>45720</xdr:rowOff>
    </xdr:to>
    <xdr:cxnSp macro="">
      <xdr:nvCxnSpPr>
        <xdr:cNvPr id="21" name="Conector recto 20">
          <a:extLst>
            <a:ext uri="{FF2B5EF4-FFF2-40B4-BE49-F238E27FC236}">
              <a16:creationId xmlns:a16="http://schemas.microsoft.com/office/drawing/2014/main" id="{5E7DE060-5045-48FC-98CE-3D4FC13F96FE}"/>
            </a:ext>
          </a:extLst>
        </xdr:cNvPr>
        <xdr:cNvCxnSpPr/>
      </xdr:nvCxnSpPr>
      <xdr:spPr>
        <a:xfrm rot="8529540">
          <a:off x="3398520" y="8991600"/>
          <a:ext cx="720000" cy="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142875</xdr:colOff>
      <xdr:row>21</xdr:row>
      <xdr:rowOff>95250</xdr:rowOff>
    </xdr:from>
    <xdr:to>
      <xdr:col>5</xdr:col>
      <xdr:colOff>885825</xdr:colOff>
      <xdr:row>26</xdr:row>
      <xdr:rowOff>196561</xdr:rowOff>
    </xdr:to>
    <xdr:pic>
      <xdr:nvPicPr>
        <xdr:cNvPr id="2" name="Imagen 1">
          <a:extLst>
            <a:ext uri="{FF2B5EF4-FFF2-40B4-BE49-F238E27FC236}">
              <a16:creationId xmlns:a16="http://schemas.microsoft.com/office/drawing/2014/main" id="{F1B966DF-C4B4-44C0-9AD0-AB203B8C27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3505200"/>
          <a:ext cx="352425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657225</xdr:colOff>
      <xdr:row>4</xdr:row>
      <xdr:rowOff>152400</xdr:rowOff>
    </xdr:from>
    <xdr:to>
      <xdr:col>19</xdr:col>
      <xdr:colOff>207726</xdr:colOff>
      <xdr:row>18</xdr:row>
      <xdr:rowOff>9209</xdr:rowOff>
    </xdr:to>
    <xdr:pic>
      <xdr:nvPicPr>
        <xdr:cNvPr id="3" name="Imagen 2">
          <a:extLst>
            <a:ext uri="{FF2B5EF4-FFF2-40B4-BE49-F238E27FC236}">
              <a16:creationId xmlns:a16="http://schemas.microsoft.com/office/drawing/2014/main" id="{1BC7154C-79A9-4E71-824A-CAFFEFD2EB1D}"/>
            </a:ext>
          </a:extLst>
        </xdr:cNvPr>
        <xdr:cNvPicPr>
          <a:picLocks noChangeAspect="1"/>
        </xdr:cNvPicPr>
      </xdr:nvPicPr>
      <xdr:blipFill>
        <a:blip xmlns:r="http://schemas.openxmlformats.org/officeDocument/2006/relationships" r:embed="rId2"/>
        <a:stretch>
          <a:fillRect/>
        </a:stretch>
      </xdr:blipFill>
      <xdr:spPr>
        <a:xfrm>
          <a:off x="6581775" y="152400"/>
          <a:ext cx="7666667" cy="2523809"/>
        </a:xfrm>
        <a:prstGeom prst="rect">
          <a:avLst/>
        </a:prstGeom>
      </xdr:spPr>
    </xdr:pic>
    <xdr:clientData/>
  </xdr:twoCellAnchor>
  <xdr:twoCellAnchor editAs="oneCell">
    <xdr:from>
      <xdr:col>0</xdr:col>
      <xdr:colOff>28575</xdr:colOff>
      <xdr:row>4</xdr:row>
      <xdr:rowOff>171450</xdr:rowOff>
    </xdr:from>
    <xdr:to>
      <xdr:col>7</xdr:col>
      <xdr:colOff>934457</xdr:colOff>
      <xdr:row>20</xdr:row>
      <xdr:rowOff>199641</xdr:rowOff>
    </xdr:to>
    <xdr:pic>
      <xdr:nvPicPr>
        <xdr:cNvPr id="4" name="Imagen 3">
          <a:extLst>
            <a:ext uri="{FF2B5EF4-FFF2-40B4-BE49-F238E27FC236}">
              <a16:creationId xmlns:a16="http://schemas.microsoft.com/office/drawing/2014/main" id="{BFA8564F-62F7-49F2-AE85-1BFF17DC1524}"/>
            </a:ext>
          </a:extLst>
        </xdr:cNvPr>
        <xdr:cNvPicPr>
          <a:picLocks noChangeAspect="1"/>
        </xdr:cNvPicPr>
      </xdr:nvPicPr>
      <xdr:blipFill>
        <a:blip xmlns:r="http://schemas.openxmlformats.org/officeDocument/2006/relationships" r:embed="rId3"/>
        <a:stretch>
          <a:fillRect/>
        </a:stretch>
      </xdr:blipFill>
      <xdr:spPr>
        <a:xfrm>
          <a:off x="28575" y="1162050"/>
          <a:ext cx="5800000" cy="3228590"/>
        </a:xfrm>
        <a:prstGeom prst="rect">
          <a:avLst/>
        </a:prstGeom>
      </xdr:spPr>
    </xdr:pic>
    <xdr:clientData/>
  </xdr:twoCellAnchor>
  <xdr:twoCellAnchor editAs="oneCell">
    <xdr:from>
      <xdr:col>1</xdr:col>
      <xdr:colOff>0</xdr:colOff>
      <xdr:row>60</xdr:row>
      <xdr:rowOff>0</xdr:rowOff>
    </xdr:from>
    <xdr:to>
      <xdr:col>11</xdr:col>
      <xdr:colOff>672719</xdr:colOff>
      <xdr:row>73</xdr:row>
      <xdr:rowOff>57700</xdr:rowOff>
    </xdr:to>
    <xdr:pic>
      <xdr:nvPicPr>
        <xdr:cNvPr id="14" name="Imagen 13">
          <a:extLst>
            <a:ext uri="{FF2B5EF4-FFF2-40B4-BE49-F238E27FC236}">
              <a16:creationId xmlns:a16="http://schemas.microsoft.com/office/drawing/2014/main" id="{3D4A72C4-4CA5-4F5B-82F9-DF92F2455949}"/>
            </a:ext>
          </a:extLst>
        </xdr:cNvPr>
        <xdr:cNvPicPr>
          <a:picLocks noChangeAspect="1"/>
        </xdr:cNvPicPr>
      </xdr:nvPicPr>
      <xdr:blipFill>
        <a:blip xmlns:r="http://schemas.openxmlformats.org/officeDocument/2006/relationships" r:embed="rId2"/>
        <a:stretch>
          <a:fillRect/>
        </a:stretch>
      </xdr:blipFill>
      <xdr:spPr>
        <a:xfrm>
          <a:off x="782782" y="12268200"/>
          <a:ext cx="7890937" cy="2669282"/>
        </a:xfrm>
        <a:prstGeom prst="rect">
          <a:avLst/>
        </a:prstGeom>
      </xdr:spPr>
    </xdr:pic>
    <xdr:clientData/>
  </xdr:twoCellAnchor>
  <xdr:twoCellAnchor>
    <xdr:from>
      <xdr:col>9</xdr:col>
      <xdr:colOff>797139</xdr:colOff>
      <xdr:row>30</xdr:row>
      <xdr:rowOff>81665</xdr:rowOff>
    </xdr:from>
    <xdr:to>
      <xdr:col>14</xdr:col>
      <xdr:colOff>448485</xdr:colOff>
      <xdr:row>30</xdr:row>
      <xdr:rowOff>81665</xdr:rowOff>
    </xdr:to>
    <xdr:cxnSp macro="">
      <xdr:nvCxnSpPr>
        <xdr:cNvPr id="10" name="Conector recto 9">
          <a:extLst>
            <a:ext uri="{FF2B5EF4-FFF2-40B4-BE49-F238E27FC236}">
              <a16:creationId xmlns:a16="http://schemas.microsoft.com/office/drawing/2014/main" id="{188C5054-1329-120F-6D72-805589178E20}"/>
            </a:ext>
          </a:extLst>
        </xdr:cNvPr>
        <xdr:cNvCxnSpPr/>
      </xdr:nvCxnSpPr>
      <xdr:spPr>
        <a:xfrm rot="2258316">
          <a:off x="7287994" y="6343920"/>
          <a:ext cx="3780000" cy="0"/>
        </a:xfrm>
        <a:prstGeom prst="line">
          <a:avLst/>
        </a:prstGeom>
        <a:solidFill>
          <a:srgbClr val="CC0066">
            <a:alpha val="5000"/>
          </a:srgbClr>
        </a:solidFill>
        <a:ln w="36000">
          <a:solidFill>
            <a:srgbClr val="CC0066"/>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1143996</xdr:colOff>
      <xdr:row>28</xdr:row>
      <xdr:rowOff>6173</xdr:rowOff>
    </xdr:from>
    <xdr:to>
      <xdr:col>13</xdr:col>
      <xdr:colOff>955963</xdr:colOff>
      <xdr:row>30</xdr:row>
      <xdr:rowOff>138545</xdr:rowOff>
    </xdr:to>
    <xdr:cxnSp macro="">
      <xdr:nvCxnSpPr>
        <xdr:cNvPr id="18" name="Conector recto 17">
          <a:extLst>
            <a:ext uri="{FF2B5EF4-FFF2-40B4-BE49-F238E27FC236}">
              <a16:creationId xmlns:a16="http://schemas.microsoft.com/office/drawing/2014/main" id="{BF68E7F6-0CC7-8604-5517-699933426734}"/>
            </a:ext>
          </a:extLst>
        </xdr:cNvPr>
        <xdr:cNvCxnSpPr/>
      </xdr:nvCxnSpPr>
      <xdr:spPr>
        <a:xfrm>
          <a:off x="7634851" y="5859718"/>
          <a:ext cx="2887676" cy="541082"/>
        </a:xfrm>
        <a:prstGeom prst="line">
          <a:avLst/>
        </a:prstGeom>
        <a:gradFill>
          <a:gsLst>
            <a:gs pos="1000">
              <a:srgbClr val="489CD1">
                <a:alpha val="5000"/>
              </a:srgbClr>
            </a:gs>
            <a:gs pos="25000">
              <a:srgbClr val="A9D7B2">
                <a:alpha val="5000"/>
              </a:srgbClr>
            </a:gs>
            <a:gs pos="50000">
              <a:srgbClr val="B92B65">
                <a:alpha val="5000"/>
              </a:srgbClr>
            </a:gs>
            <a:gs pos="76000">
              <a:srgbClr val="9B2486">
                <a:alpha val="5000"/>
              </a:srgbClr>
            </a:gs>
            <a:gs pos="100000">
              <a:srgbClr val="244F85">
                <a:alpha val="5000"/>
              </a:srgbClr>
            </a:gs>
          </a:gsLst>
        </a:gradFill>
        <a:ln w="36000">
          <a:gradFill>
            <a:gsLst>
              <a:gs pos="1000">
                <a:srgbClr val="489CD1"/>
              </a:gs>
              <a:gs pos="25000">
                <a:srgbClr val="A9D7B2"/>
              </a:gs>
              <a:gs pos="50000">
                <a:srgbClr val="B92B65"/>
              </a:gs>
              <a:gs pos="76000">
                <a:srgbClr val="9B2486"/>
              </a:gs>
              <a:gs pos="100000">
                <a:srgbClr val="244F85"/>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30480</xdr:colOff>
      <xdr:row>39</xdr:row>
      <xdr:rowOff>129540</xdr:rowOff>
    </xdr:from>
    <xdr:to>
      <xdr:col>5</xdr:col>
      <xdr:colOff>891540</xdr:colOff>
      <xdr:row>40</xdr:row>
      <xdr:rowOff>175260</xdr:rowOff>
    </xdr:to>
    <xdr:sp macro="" textlink="">
      <xdr:nvSpPr>
        <xdr:cNvPr id="20" name="Corchetes 19">
          <a:extLst>
            <a:ext uri="{FF2B5EF4-FFF2-40B4-BE49-F238E27FC236}">
              <a16:creationId xmlns:a16="http://schemas.microsoft.com/office/drawing/2014/main" id="{55E96DC1-582C-4A82-877C-CF02284BF2ED}"/>
            </a:ext>
          </a:extLst>
        </xdr:cNvPr>
        <xdr:cNvSpPr/>
      </xdr:nvSpPr>
      <xdr:spPr>
        <a:xfrm>
          <a:off x="2834640" y="7764780"/>
          <a:ext cx="27660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6</xdr:col>
      <xdr:colOff>708660</xdr:colOff>
      <xdr:row>39</xdr:row>
      <xdr:rowOff>144780</xdr:rowOff>
    </xdr:from>
    <xdr:to>
      <xdr:col>10</xdr:col>
      <xdr:colOff>7620</xdr:colOff>
      <xdr:row>40</xdr:row>
      <xdr:rowOff>190500</xdr:rowOff>
    </xdr:to>
    <xdr:sp macro="" textlink="">
      <xdr:nvSpPr>
        <xdr:cNvPr id="21" name="Corchetes 20">
          <a:extLst>
            <a:ext uri="{FF2B5EF4-FFF2-40B4-BE49-F238E27FC236}">
              <a16:creationId xmlns:a16="http://schemas.microsoft.com/office/drawing/2014/main" id="{1C2F98EC-DE5F-47E8-9A20-F1E42C4F5D9A}"/>
            </a:ext>
          </a:extLst>
        </xdr:cNvPr>
        <xdr:cNvSpPr/>
      </xdr:nvSpPr>
      <xdr:spPr>
        <a:xfrm>
          <a:off x="6339840" y="7780020"/>
          <a:ext cx="27660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3</xdr:col>
      <xdr:colOff>15240</xdr:colOff>
      <xdr:row>42</xdr:row>
      <xdr:rowOff>144780</xdr:rowOff>
    </xdr:from>
    <xdr:to>
      <xdr:col>5</xdr:col>
      <xdr:colOff>868680</xdr:colOff>
      <xdr:row>43</xdr:row>
      <xdr:rowOff>228600</xdr:rowOff>
    </xdr:to>
    <xdr:sp macro="" textlink="">
      <xdr:nvSpPr>
        <xdr:cNvPr id="22" name="Corchetes 21">
          <a:extLst>
            <a:ext uri="{FF2B5EF4-FFF2-40B4-BE49-F238E27FC236}">
              <a16:creationId xmlns:a16="http://schemas.microsoft.com/office/drawing/2014/main" id="{8FC74901-9DB5-44E5-987A-720E4C06CDA6}"/>
            </a:ext>
          </a:extLst>
        </xdr:cNvPr>
        <xdr:cNvSpPr/>
      </xdr:nvSpPr>
      <xdr:spPr>
        <a:xfrm>
          <a:off x="2819400" y="8435340"/>
          <a:ext cx="2758440" cy="2819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7</xdr:col>
      <xdr:colOff>101138</xdr:colOff>
      <xdr:row>42</xdr:row>
      <xdr:rowOff>126077</xdr:rowOff>
    </xdr:from>
    <xdr:to>
      <xdr:col>10</xdr:col>
      <xdr:colOff>111529</xdr:colOff>
      <xdr:row>43</xdr:row>
      <xdr:rowOff>229986</xdr:rowOff>
    </xdr:to>
    <xdr:sp macro="" textlink="">
      <xdr:nvSpPr>
        <xdr:cNvPr id="23" name="Corchetes 22">
          <a:extLst>
            <a:ext uri="{FF2B5EF4-FFF2-40B4-BE49-F238E27FC236}">
              <a16:creationId xmlns:a16="http://schemas.microsoft.com/office/drawing/2014/main" id="{F372A764-DAB8-4103-AF34-5B32795F4036}"/>
            </a:ext>
          </a:extLst>
        </xdr:cNvPr>
        <xdr:cNvSpPr/>
      </xdr:nvSpPr>
      <xdr:spPr>
        <a:xfrm>
          <a:off x="5158047" y="8875222"/>
          <a:ext cx="2642755" cy="30480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906780</xdr:colOff>
      <xdr:row>45</xdr:row>
      <xdr:rowOff>106680</xdr:rowOff>
    </xdr:from>
    <xdr:to>
      <xdr:col>5</xdr:col>
      <xdr:colOff>891540</xdr:colOff>
      <xdr:row>47</xdr:row>
      <xdr:rowOff>7620</xdr:rowOff>
    </xdr:to>
    <xdr:sp macro="" textlink="">
      <xdr:nvSpPr>
        <xdr:cNvPr id="24" name="Corchetes 23">
          <a:extLst>
            <a:ext uri="{FF2B5EF4-FFF2-40B4-BE49-F238E27FC236}">
              <a16:creationId xmlns:a16="http://schemas.microsoft.com/office/drawing/2014/main" id="{AB8FA11E-4C76-4E33-BF5B-4F031E1D1704}"/>
            </a:ext>
          </a:extLst>
        </xdr:cNvPr>
        <xdr:cNvSpPr/>
      </xdr:nvSpPr>
      <xdr:spPr>
        <a:xfrm>
          <a:off x="2727960" y="9052560"/>
          <a:ext cx="2872740" cy="3581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5</xdr:col>
      <xdr:colOff>567369</xdr:colOff>
      <xdr:row>43</xdr:row>
      <xdr:rowOff>190500</xdr:rowOff>
    </xdr:from>
    <xdr:to>
      <xdr:col>8</xdr:col>
      <xdr:colOff>99060</xdr:colOff>
      <xdr:row>46</xdr:row>
      <xdr:rowOff>89270</xdr:rowOff>
    </xdr:to>
    <xdr:cxnSp macro="">
      <xdr:nvCxnSpPr>
        <xdr:cNvPr id="25" name="Conector recto 24">
          <a:extLst>
            <a:ext uri="{FF2B5EF4-FFF2-40B4-BE49-F238E27FC236}">
              <a16:creationId xmlns:a16="http://schemas.microsoft.com/office/drawing/2014/main" id="{38DFC06B-A0CB-4965-9B2F-89869CFC8056}"/>
            </a:ext>
          </a:extLst>
        </xdr:cNvPr>
        <xdr:cNvCxnSpPr/>
      </xdr:nvCxnSpPr>
      <xdr:spPr>
        <a:xfrm flipH="1">
          <a:off x="5276529" y="8679180"/>
          <a:ext cx="2031051" cy="55409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594360</xdr:colOff>
      <xdr:row>45</xdr:row>
      <xdr:rowOff>45720</xdr:rowOff>
    </xdr:from>
    <xdr:to>
      <xdr:col>4</xdr:col>
      <xdr:colOff>194220</xdr:colOff>
      <xdr:row>45</xdr:row>
      <xdr:rowOff>45720</xdr:rowOff>
    </xdr:to>
    <xdr:cxnSp macro="">
      <xdr:nvCxnSpPr>
        <xdr:cNvPr id="26" name="Conector recto 25">
          <a:extLst>
            <a:ext uri="{FF2B5EF4-FFF2-40B4-BE49-F238E27FC236}">
              <a16:creationId xmlns:a16="http://schemas.microsoft.com/office/drawing/2014/main" id="{2BE6A49C-59E3-4749-AA0A-4EC5F1CFE24C}"/>
            </a:ext>
          </a:extLst>
        </xdr:cNvPr>
        <xdr:cNvCxnSpPr/>
      </xdr:nvCxnSpPr>
      <xdr:spPr>
        <a:xfrm rot="8529540">
          <a:off x="3398520" y="8991600"/>
          <a:ext cx="720000" cy="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142875</xdr:colOff>
      <xdr:row>24</xdr:row>
      <xdr:rowOff>95250</xdr:rowOff>
    </xdr:from>
    <xdr:to>
      <xdr:col>5</xdr:col>
      <xdr:colOff>647700</xdr:colOff>
      <xdr:row>30</xdr:row>
      <xdr:rowOff>57150</xdr:rowOff>
    </xdr:to>
    <xdr:pic>
      <xdr:nvPicPr>
        <xdr:cNvPr id="2" name="Imagen 1">
          <a:extLst>
            <a:ext uri="{FF2B5EF4-FFF2-40B4-BE49-F238E27FC236}">
              <a16:creationId xmlns:a16="http://schemas.microsoft.com/office/drawing/2014/main" id="{3C6B39F3-095A-4AAD-B3F2-FF3BA032BD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3505200"/>
          <a:ext cx="3524250"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152400</xdr:colOff>
      <xdr:row>7</xdr:row>
      <xdr:rowOff>161925</xdr:rowOff>
    </xdr:from>
    <xdr:to>
      <xdr:col>19</xdr:col>
      <xdr:colOff>731440</xdr:colOff>
      <xdr:row>21</xdr:row>
      <xdr:rowOff>152084</xdr:rowOff>
    </xdr:to>
    <xdr:pic>
      <xdr:nvPicPr>
        <xdr:cNvPr id="3" name="Imagen 2">
          <a:extLst>
            <a:ext uri="{FF2B5EF4-FFF2-40B4-BE49-F238E27FC236}">
              <a16:creationId xmlns:a16="http://schemas.microsoft.com/office/drawing/2014/main" id="{ECF5C375-1FF0-4B06-945E-C3EB46327A14}"/>
            </a:ext>
          </a:extLst>
        </xdr:cNvPr>
        <xdr:cNvPicPr>
          <a:picLocks noChangeAspect="1"/>
        </xdr:cNvPicPr>
      </xdr:nvPicPr>
      <xdr:blipFill>
        <a:blip xmlns:r="http://schemas.openxmlformats.org/officeDocument/2006/relationships" r:embed="rId2"/>
        <a:stretch>
          <a:fillRect/>
        </a:stretch>
      </xdr:blipFill>
      <xdr:spPr>
        <a:xfrm>
          <a:off x="7324725" y="1752600"/>
          <a:ext cx="7666667" cy="2790509"/>
        </a:xfrm>
        <a:prstGeom prst="rect">
          <a:avLst/>
        </a:prstGeom>
      </xdr:spPr>
    </xdr:pic>
    <xdr:clientData/>
  </xdr:twoCellAnchor>
  <xdr:twoCellAnchor editAs="oneCell">
    <xdr:from>
      <xdr:col>0</xdr:col>
      <xdr:colOff>480060</xdr:colOff>
      <xdr:row>6</xdr:row>
      <xdr:rowOff>45720</xdr:rowOff>
    </xdr:from>
    <xdr:to>
      <xdr:col>8</xdr:col>
      <xdr:colOff>22135</xdr:colOff>
      <xdr:row>23</xdr:row>
      <xdr:rowOff>28190</xdr:rowOff>
    </xdr:to>
    <xdr:pic>
      <xdr:nvPicPr>
        <xdr:cNvPr id="4" name="Imagen 3">
          <a:extLst>
            <a:ext uri="{FF2B5EF4-FFF2-40B4-BE49-F238E27FC236}">
              <a16:creationId xmlns:a16="http://schemas.microsoft.com/office/drawing/2014/main" id="{4716EF7D-2245-4410-81EA-3166620BDE61}"/>
            </a:ext>
          </a:extLst>
        </xdr:cNvPr>
        <xdr:cNvPicPr>
          <a:picLocks noChangeAspect="1"/>
        </xdr:cNvPicPr>
      </xdr:nvPicPr>
      <xdr:blipFill>
        <a:blip xmlns:r="http://schemas.openxmlformats.org/officeDocument/2006/relationships" r:embed="rId3"/>
        <a:stretch>
          <a:fillRect/>
        </a:stretch>
      </xdr:blipFill>
      <xdr:spPr>
        <a:xfrm>
          <a:off x="480060" y="1424940"/>
          <a:ext cx="5950495" cy="3350510"/>
        </a:xfrm>
        <a:prstGeom prst="rect">
          <a:avLst/>
        </a:prstGeom>
      </xdr:spPr>
    </xdr:pic>
    <xdr:clientData/>
  </xdr:twoCellAnchor>
  <xdr:twoCellAnchor editAs="oneCell">
    <xdr:from>
      <xdr:col>13</xdr:col>
      <xdr:colOff>436560</xdr:colOff>
      <xdr:row>26</xdr:row>
      <xdr:rowOff>152340</xdr:rowOff>
    </xdr:from>
    <xdr:to>
      <xdr:col>13</xdr:col>
      <xdr:colOff>509640</xdr:colOff>
      <xdr:row>27</xdr:row>
      <xdr:rowOff>140700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7" name="Entrada de lápiz 6">
              <a:extLst>
                <a:ext uri="{FF2B5EF4-FFF2-40B4-BE49-F238E27FC236}">
                  <a16:creationId xmlns:a16="http://schemas.microsoft.com/office/drawing/2014/main" id="{965F3E02-4CC7-446C-E66B-23B68FF60B4C}"/>
                </a:ext>
              </a:extLst>
            </xdr14:cNvPr>
            <xdr14:cNvContentPartPr/>
          </xdr14:nvContentPartPr>
          <xdr14:nvPr macro=""/>
          <xdr14:xfrm>
            <a:off x="9824400" y="5501580"/>
            <a:ext cx="73080" cy="186480"/>
          </xdr14:xfrm>
        </xdr:contentPart>
      </mc:Choice>
      <mc:Fallback xmlns="">
        <xdr:pic>
          <xdr:nvPicPr>
            <xdr:cNvPr id="7" name="Entrada de lápiz 6">
              <a:extLst>
                <a:ext uri="{FF2B5EF4-FFF2-40B4-BE49-F238E27FC236}">
                  <a16:creationId xmlns:a16="http://schemas.microsoft.com/office/drawing/2014/main" id="{965F3E02-4CC7-446C-E66B-23B68FF60B4C}"/>
                </a:ext>
              </a:extLst>
            </xdr:cNvPr>
            <xdr:cNvPicPr/>
          </xdr:nvPicPr>
          <xdr:blipFill>
            <a:blip xmlns:r="http://schemas.openxmlformats.org/officeDocument/2006/relationships" r:embed="rId7"/>
            <a:stretch>
              <a:fillRect/>
            </a:stretch>
          </xdr:blipFill>
          <xdr:spPr>
            <a:xfrm>
              <a:off x="9806760" y="5483580"/>
              <a:ext cx="108720" cy="222120"/>
            </a:xfrm>
            <a:prstGeom prst="rect">
              <a:avLst/>
            </a:prstGeom>
          </xdr:spPr>
        </xdr:pic>
      </mc:Fallback>
    </mc:AlternateContent>
    <xdr:clientData/>
  </xdr:twoCellAnchor>
  <xdr:twoCellAnchor editAs="oneCell">
    <xdr:from>
      <xdr:col>2</xdr:col>
      <xdr:colOff>12700</xdr:colOff>
      <xdr:row>65</xdr:row>
      <xdr:rowOff>63500</xdr:rowOff>
    </xdr:from>
    <xdr:to>
      <xdr:col>12</xdr:col>
      <xdr:colOff>337740</xdr:colOff>
      <xdr:row>79</xdr:row>
      <xdr:rowOff>54929</xdr:rowOff>
    </xdr:to>
    <xdr:pic>
      <xdr:nvPicPr>
        <xdr:cNvPr id="11" name="Imagen 10">
          <a:extLst>
            <a:ext uri="{FF2B5EF4-FFF2-40B4-BE49-F238E27FC236}">
              <a16:creationId xmlns:a16="http://schemas.microsoft.com/office/drawing/2014/main" id="{ECE9216D-E6A0-455C-A9FC-5F64EF212876}"/>
            </a:ext>
          </a:extLst>
        </xdr:cNvPr>
        <xdr:cNvPicPr>
          <a:picLocks noChangeAspect="1"/>
        </xdr:cNvPicPr>
      </xdr:nvPicPr>
      <xdr:blipFill>
        <a:blip xmlns:r="http://schemas.openxmlformats.org/officeDocument/2006/relationships" r:embed="rId2"/>
        <a:stretch>
          <a:fillRect/>
        </a:stretch>
      </xdr:blipFill>
      <xdr:spPr>
        <a:xfrm>
          <a:off x="1587500" y="13404850"/>
          <a:ext cx="7887890" cy="2747329"/>
        </a:xfrm>
        <a:prstGeom prst="rect">
          <a:avLst/>
        </a:prstGeom>
      </xdr:spPr>
    </xdr:pic>
    <xdr:clientData/>
  </xdr:twoCellAnchor>
  <xdr:twoCellAnchor>
    <xdr:from>
      <xdr:col>9</xdr:col>
      <xdr:colOff>1143996</xdr:colOff>
      <xdr:row>30</xdr:row>
      <xdr:rowOff>6173</xdr:rowOff>
    </xdr:from>
    <xdr:to>
      <xdr:col>13</xdr:col>
      <xdr:colOff>955963</xdr:colOff>
      <xdr:row>32</xdr:row>
      <xdr:rowOff>138545</xdr:rowOff>
    </xdr:to>
    <xdr:cxnSp macro="">
      <xdr:nvCxnSpPr>
        <xdr:cNvPr id="5" name="Conector recto 4">
          <a:extLst>
            <a:ext uri="{FF2B5EF4-FFF2-40B4-BE49-F238E27FC236}">
              <a16:creationId xmlns:a16="http://schemas.microsoft.com/office/drawing/2014/main" id="{38FC8FB4-638A-44E3-B240-E91CAF1F5048}"/>
            </a:ext>
          </a:extLst>
        </xdr:cNvPr>
        <xdr:cNvCxnSpPr/>
      </xdr:nvCxnSpPr>
      <xdr:spPr>
        <a:xfrm>
          <a:off x="7636236" y="5789753"/>
          <a:ext cx="2890447" cy="536232"/>
        </a:xfrm>
        <a:prstGeom prst="line">
          <a:avLst/>
        </a:prstGeom>
        <a:gradFill>
          <a:gsLst>
            <a:gs pos="1000">
              <a:srgbClr val="489CD1">
                <a:alpha val="5000"/>
              </a:srgbClr>
            </a:gs>
            <a:gs pos="25000">
              <a:srgbClr val="A9D7B2">
                <a:alpha val="5000"/>
              </a:srgbClr>
            </a:gs>
            <a:gs pos="50000">
              <a:srgbClr val="B92B65">
                <a:alpha val="5000"/>
              </a:srgbClr>
            </a:gs>
            <a:gs pos="76000">
              <a:srgbClr val="9B2486">
                <a:alpha val="5000"/>
              </a:srgbClr>
            </a:gs>
            <a:gs pos="100000">
              <a:srgbClr val="244F85">
                <a:alpha val="5000"/>
              </a:srgbClr>
            </a:gs>
          </a:gsLst>
        </a:gradFill>
        <a:ln w="36000">
          <a:gradFill>
            <a:gsLst>
              <a:gs pos="1000">
                <a:srgbClr val="489CD1"/>
              </a:gs>
              <a:gs pos="25000">
                <a:srgbClr val="A9D7B2"/>
              </a:gs>
              <a:gs pos="50000">
                <a:srgbClr val="B92B65"/>
              </a:gs>
              <a:gs pos="76000">
                <a:srgbClr val="9B2486"/>
              </a:gs>
              <a:gs pos="100000">
                <a:srgbClr val="244F85"/>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210600</xdr:colOff>
      <xdr:row>28</xdr:row>
      <xdr:rowOff>111900</xdr:rowOff>
    </xdr:from>
    <xdr:to>
      <xdr:col>13</xdr:col>
      <xdr:colOff>762600</xdr:colOff>
      <xdr:row>40</xdr:row>
      <xdr:rowOff>51600</xdr:rowOff>
    </xdr:to>
    <xdr:cxnSp macro="">
      <xdr:nvCxnSpPr>
        <xdr:cNvPr id="15" name="Conector: curvado 14">
          <a:extLst>
            <a:ext uri="{FF2B5EF4-FFF2-40B4-BE49-F238E27FC236}">
              <a16:creationId xmlns:a16="http://schemas.microsoft.com/office/drawing/2014/main" id="{BC9BB101-5892-0482-AE2C-54BD58B3CECD}"/>
            </a:ext>
          </a:extLst>
        </xdr:cNvPr>
        <xdr:cNvCxnSpPr/>
      </xdr:nvCxnSpPr>
      <xdr:spPr>
        <a:xfrm rot="5400000" flipV="1">
          <a:off x="7713840" y="5295960"/>
          <a:ext cx="2340000" cy="3600000"/>
        </a:xfrm>
        <a:prstGeom prst="curvedConnector2">
          <a:avLst/>
        </a:prstGeom>
        <a:gradFill>
          <a:gsLst>
            <a:gs pos="1000">
              <a:srgbClr val="489CD1">
                <a:alpha val="5000"/>
              </a:srgbClr>
            </a:gs>
            <a:gs pos="25000">
              <a:srgbClr val="A9D7B2">
                <a:alpha val="5000"/>
              </a:srgbClr>
            </a:gs>
            <a:gs pos="50000">
              <a:srgbClr val="B92B65">
                <a:alpha val="5000"/>
              </a:srgbClr>
            </a:gs>
            <a:gs pos="76000">
              <a:srgbClr val="9B2486">
                <a:alpha val="5000"/>
              </a:srgbClr>
            </a:gs>
            <a:gs pos="100000">
              <a:srgbClr val="244F85">
                <a:alpha val="5000"/>
              </a:srgbClr>
            </a:gs>
          </a:gsLst>
        </a:gradFill>
        <a:ln w="36000">
          <a:gradFill>
            <a:gsLst>
              <a:gs pos="1000">
                <a:srgbClr val="489CD1"/>
              </a:gs>
              <a:gs pos="25000">
                <a:srgbClr val="A9D7B2"/>
              </a:gs>
              <a:gs pos="50000">
                <a:srgbClr val="B92B65"/>
              </a:gs>
              <a:gs pos="76000">
                <a:srgbClr val="9B2486"/>
              </a:gs>
              <a:gs pos="100000">
                <a:srgbClr val="244F85"/>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30480</xdr:colOff>
      <xdr:row>43</xdr:row>
      <xdr:rowOff>129540</xdr:rowOff>
    </xdr:from>
    <xdr:to>
      <xdr:col>5</xdr:col>
      <xdr:colOff>891540</xdr:colOff>
      <xdr:row>44</xdr:row>
      <xdr:rowOff>175260</xdr:rowOff>
    </xdr:to>
    <xdr:sp macro="" textlink="">
      <xdr:nvSpPr>
        <xdr:cNvPr id="18" name="Corchetes 17">
          <a:extLst>
            <a:ext uri="{FF2B5EF4-FFF2-40B4-BE49-F238E27FC236}">
              <a16:creationId xmlns:a16="http://schemas.microsoft.com/office/drawing/2014/main" id="{7C3224E0-AE83-42A9-9F56-8231054B02BA}"/>
            </a:ext>
          </a:extLst>
        </xdr:cNvPr>
        <xdr:cNvSpPr/>
      </xdr:nvSpPr>
      <xdr:spPr>
        <a:xfrm>
          <a:off x="2385060" y="8122920"/>
          <a:ext cx="21564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6</xdr:col>
      <xdr:colOff>708660</xdr:colOff>
      <xdr:row>43</xdr:row>
      <xdr:rowOff>144780</xdr:rowOff>
    </xdr:from>
    <xdr:to>
      <xdr:col>10</xdr:col>
      <xdr:colOff>7620</xdr:colOff>
      <xdr:row>44</xdr:row>
      <xdr:rowOff>190500</xdr:rowOff>
    </xdr:to>
    <xdr:sp macro="" textlink="">
      <xdr:nvSpPr>
        <xdr:cNvPr id="19" name="Corchetes 18">
          <a:extLst>
            <a:ext uri="{FF2B5EF4-FFF2-40B4-BE49-F238E27FC236}">
              <a16:creationId xmlns:a16="http://schemas.microsoft.com/office/drawing/2014/main" id="{6121CD3E-73E4-439A-A08E-82268544653C}"/>
            </a:ext>
          </a:extLst>
        </xdr:cNvPr>
        <xdr:cNvSpPr/>
      </xdr:nvSpPr>
      <xdr:spPr>
        <a:xfrm>
          <a:off x="5059680" y="8138160"/>
          <a:ext cx="263652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3</xdr:col>
      <xdr:colOff>15240</xdr:colOff>
      <xdr:row>46</xdr:row>
      <xdr:rowOff>144780</xdr:rowOff>
    </xdr:from>
    <xdr:to>
      <xdr:col>5</xdr:col>
      <xdr:colOff>868680</xdr:colOff>
      <xdr:row>47</xdr:row>
      <xdr:rowOff>228600</xdr:rowOff>
    </xdr:to>
    <xdr:sp macro="" textlink="">
      <xdr:nvSpPr>
        <xdr:cNvPr id="20" name="Corchetes 19">
          <a:extLst>
            <a:ext uri="{FF2B5EF4-FFF2-40B4-BE49-F238E27FC236}">
              <a16:creationId xmlns:a16="http://schemas.microsoft.com/office/drawing/2014/main" id="{E6221863-95EC-436A-8BE9-CA0D8C734B2B}"/>
            </a:ext>
          </a:extLst>
        </xdr:cNvPr>
        <xdr:cNvSpPr/>
      </xdr:nvSpPr>
      <xdr:spPr>
        <a:xfrm>
          <a:off x="2369820" y="8793480"/>
          <a:ext cx="2148840" cy="2819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7</xdr:col>
      <xdr:colOff>101138</xdr:colOff>
      <xdr:row>46</xdr:row>
      <xdr:rowOff>126077</xdr:rowOff>
    </xdr:from>
    <xdr:to>
      <xdr:col>10</xdr:col>
      <xdr:colOff>111529</xdr:colOff>
      <xdr:row>47</xdr:row>
      <xdr:rowOff>229986</xdr:rowOff>
    </xdr:to>
    <xdr:sp macro="" textlink="">
      <xdr:nvSpPr>
        <xdr:cNvPr id="21" name="Corchetes 20">
          <a:extLst>
            <a:ext uri="{FF2B5EF4-FFF2-40B4-BE49-F238E27FC236}">
              <a16:creationId xmlns:a16="http://schemas.microsoft.com/office/drawing/2014/main" id="{4D11625A-7306-4EF4-91CA-2F315EB4AA5A}"/>
            </a:ext>
          </a:extLst>
        </xdr:cNvPr>
        <xdr:cNvSpPr/>
      </xdr:nvSpPr>
      <xdr:spPr>
        <a:xfrm>
          <a:off x="5160818" y="8774777"/>
          <a:ext cx="2639291" cy="302029"/>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906780</xdr:colOff>
      <xdr:row>49</xdr:row>
      <xdr:rowOff>106680</xdr:rowOff>
    </xdr:from>
    <xdr:to>
      <xdr:col>5</xdr:col>
      <xdr:colOff>891540</xdr:colOff>
      <xdr:row>51</xdr:row>
      <xdr:rowOff>7620</xdr:rowOff>
    </xdr:to>
    <xdr:sp macro="" textlink="">
      <xdr:nvSpPr>
        <xdr:cNvPr id="22" name="Corchetes 21">
          <a:extLst>
            <a:ext uri="{FF2B5EF4-FFF2-40B4-BE49-F238E27FC236}">
              <a16:creationId xmlns:a16="http://schemas.microsoft.com/office/drawing/2014/main" id="{5E99A3A8-81B8-484A-BC77-FDC98D6D9E7A}"/>
            </a:ext>
          </a:extLst>
        </xdr:cNvPr>
        <xdr:cNvSpPr/>
      </xdr:nvSpPr>
      <xdr:spPr>
        <a:xfrm>
          <a:off x="2354580" y="9410700"/>
          <a:ext cx="2186940" cy="3581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5</xdr:col>
      <xdr:colOff>567369</xdr:colOff>
      <xdr:row>47</xdr:row>
      <xdr:rowOff>190500</xdr:rowOff>
    </xdr:from>
    <xdr:to>
      <xdr:col>8</xdr:col>
      <xdr:colOff>99060</xdr:colOff>
      <xdr:row>50</xdr:row>
      <xdr:rowOff>89270</xdr:rowOff>
    </xdr:to>
    <xdr:cxnSp macro="">
      <xdr:nvCxnSpPr>
        <xdr:cNvPr id="23" name="Conector recto 22">
          <a:extLst>
            <a:ext uri="{FF2B5EF4-FFF2-40B4-BE49-F238E27FC236}">
              <a16:creationId xmlns:a16="http://schemas.microsoft.com/office/drawing/2014/main" id="{FB747880-D8D3-4510-A43C-802572D065B8}"/>
            </a:ext>
          </a:extLst>
        </xdr:cNvPr>
        <xdr:cNvCxnSpPr/>
      </xdr:nvCxnSpPr>
      <xdr:spPr>
        <a:xfrm flipH="1">
          <a:off x="4217349" y="9037320"/>
          <a:ext cx="1939611" cy="55409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594360</xdr:colOff>
      <xdr:row>49</xdr:row>
      <xdr:rowOff>45720</xdr:rowOff>
    </xdr:from>
    <xdr:to>
      <xdr:col>4</xdr:col>
      <xdr:colOff>194220</xdr:colOff>
      <xdr:row>49</xdr:row>
      <xdr:rowOff>45720</xdr:rowOff>
    </xdr:to>
    <xdr:cxnSp macro="">
      <xdr:nvCxnSpPr>
        <xdr:cNvPr id="24" name="Conector recto 23">
          <a:extLst>
            <a:ext uri="{FF2B5EF4-FFF2-40B4-BE49-F238E27FC236}">
              <a16:creationId xmlns:a16="http://schemas.microsoft.com/office/drawing/2014/main" id="{7386728F-E932-496D-AF65-1678FC041B99}"/>
            </a:ext>
          </a:extLst>
        </xdr:cNvPr>
        <xdr:cNvCxnSpPr/>
      </xdr:nvCxnSpPr>
      <xdr:spPr>
        <a:xfrm rot="8529540">
          <a:off x="2948940" y="9349740"/>
          <a:ext cx="659040" cy="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142875</xdr:colOff>
      <xdr:row>24</xdr:row>
      <xdr:rowOff>95250</xdr:rowOff>
    </xdr:from>
    <xdr:to>
      <xdr:col>5</xdr:col>
      <xdr:colOff>885825</xdr:colOff>
      <xdr:row>30</xdr:row>
      <xdr:rowOff>9525</xdr:rowOff>
    </xdr:to>
    <xdr:pic>
      <xdr:nvPicPr>
        <xdr:cNvPr id="2" name="Imagen 1">
          <a:extLst>
            <a:ext uri="{FF2B5EF4-FFF2-40B4-BE49-F238E27FC236}">
              <a16:creationId xmlns:a16="http://schemas.microsoft.com/office/drawing/2014/main" id="{61A10CD7-D24C-431B-B2B9-29C5AB55A8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3505200"/>
          <a:ext cx="352425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657225</xdr:colOff>
      <xdr:row>7</xdr:row>
      <xdr:rowOff>152400</xdr:rowOff>
    </xdr:from>
    <xdr:to>
      <xdr:col>19</xdr:col>
      <xdr:colOff>376232</xdr:colOff>
      <xdr:row>20</xdr:row>
      <xdr:rowOff>75884</xdr:rowOff>
    </xdr:to>
    <xdr:pic>
      <xdr:nvPicPr>
        <xdr:cNvPr id="3" name="Imagen 2">
          <a:extLst>
            <a:ext uri="{FF2B5EF4-FFF2-40B4-BE49-F238E27FC236}">
              <a16:creationId xmlns:a16="http://schemas.microsoft.com/office/drawing/2014/main" id="{D925C21E-B9E8-45E0-8269-D1DD67FB55FE}"/>
            </a:ext>
          </a:extLst>
        </xdr:cNvPr>
        <xdr:cNvPicPr>
          <a:picLocks noChangeAspect="1"/>
        </xdr:cNvPicPr>
      </xdr:nvPicPr>
      <xdr:blipFill>
        <a:blip xmlns:r="http://schemas.openxmlformats.org/officeDocument/2006/relationships" r:embed="rId2"/>
        <a:stretch>
          <a:fillRect/>
        </a:stretch>
      </xdr:blipFill>
      <xdr:spPr>
        <a:xfrm>
          <a:off x="6581775" y="152400"/>
          <a:ext cx="7666667" cy="2523809"/>
        </a:xfrm>
        <a:prstGeom prst="rect">
          <a:avLst/>
        </a:prstGeom>
      </xdr:spPr>
    </xdr:pic>
    <xdr:clientData/>
  </xdr:twoCellAnchor>
  <xdr:twoCellAnchor editAs="oneCell">
    <xdr:from>
      <xdr:col>0</xdr:col>
      <xdr:colOff>0</xdr:colOff>
      <xdr:row>7</xdr:row>
      <xdr:rowOff>0</xdr:rowOff>
    </xdr:from>
    <xdr:to>
      <xdr:col>8</xdr:col>
      <xdr:colOff>115480</xdr:colOff>
      <xdr:row>22</xdr:row>
      <xdr:rowOff>75815</xdr:rowOff>
    </xdr:to>
    <xdr:pic>
      <xdr:nvPicPr>
        <xdr:cNvPr id="4" name="Imagen 3">
          <a:extLst>
            <a:ext uri="{FF2B5EF4-FFF2-40B4-BE49-F238E27FC236}">
              <a16:creationId xmlns:a16="http://schemas.microsoft.com/office/drawing/2014/main" id="{EB9FBA4C-E186-4F67-8E7C-A8258D5E9562}"/>
            </a:ext>
          </a:extLst>
        </xdr:cNvPr>
        <xdr:cNvPicPr>
          <a:picLocks noChangeAspect="1"/>
        </xdr:cNvPicPr>
      </xdr:nvPicPr>
      <xdr:blipFill>
        <a:blip xmlns:r="http://schemas.openxmlformats.org/officeDocument/2006/relationships" r:embed="rId3"/>
        <a:stretch>
          <a:fillRect/>
        </a:stretch>
      </xdr:blipFill>
      <xdr:spPr>
        <a:xfrm>
          <a:off x="0" y="0"/>
          <a:ext cx="5800000" cy="3076190"/>
        </a:xfrm>
        <a:prstGeom prst="rect">
          <a:avLst/>
        </a:prstGeom>
      </xdr:spPr>
    </xdr:pic>
    <xdr:clientData/>
  </xdr:twoCellAnchor>
  <xdr:twoCellAnchor editAs="oneCell">
    <xdr:from>
      <xdr:col>13</xdr:col>
      <xdr:colOff>0</xdr:colOff>
      <xdr:row>36</xdr:row>
      <xdr:rowOff>0</xdr:rowOff>
    </xdr:from>
    <xdr:to>
      <xdr:col>20</xdr:col>
      <xdr:colOff>570704</xdr:colOff>
      <xdr:row>58</xdr:row>
      <xdr:rowOff>174680</xdr:rowOff>
    </xdr:to>
    <xdr:pic>
      <xdr:nvPicPr>
        <xdr:cNvPr id="5" name="Imagen 4">
          <a:extLst>
            <a:ext uri="{FF2B5EF4-FFF2-40B4-BE49-F238E27FC236}">
              <a16:creationId xmlns:a16="http://schemas.microsoft.com/office/drawing/2014/main" id="{318BCD13-27C6-3A06-6767-934297BC8324}"/>
            </a:ext>
          </a:extLst>
        </xdr:cNvPr>
        <xdr:cNvPicPr>
          <a:picLocks noChangeAspect="1"/>
        </xdr:cNvPicPr>
      </xdr:nvPicPr>
      <xdr:blipFill>
        <a:blip xmlns:r="http://schemas.openxmlformats.org/officeDocument/2006/relationships" r:embed="rId4"/>
        <a:stretch>
          <a:fillRect/>
        </a:stretch>
      </xdr:blipFill>
      <xdr:spPr>
        <a:xfrm>
          <a:off x="8696325" y="5219700"/>
          <a:ext cx="6371429" cy="4638095"/>
        </a:xfrm>
        <a:prstGeom prst="rect">
          <a:avLst/>
        </a:prstGeom>
      </xdr:spPr>
    </xdr:pic>
    <xdr:clientData/>
  </xdr:twoCellAnchor>
  <xdr:twoCellAnchor>
    <xdr:from>
      <xdr:col>3</xdr:col>
      <xdr:colOff>433346</xdr:colOff>
      <xdr:row>43</xdr:row>
      <xdr:rowOff>167640</xdr:rowOff>
    </xdr:from>
    <xdr:to>
      <xdr:col>5</xdr:col>
      <xdr:colOff>327329</xdr:colOff>
      <xdr:row>46</xdr:row>
      <xdr:rowOff>41744</xdr:rowOff>
    </xdr:to>
    <xdr:cxnSp macro="">
      <xdr:nvCxnSpPr>
        <xdr:cNvPr id="10" name="Conector recto de flecha 9">
          <a:extLst>
            <a:ext uri="{FF2B5EF4-FFF2-40B4-BE49-F238E27FC236}">
              <a16:creationId xmlns:a16="http://schemas.microsoft.com/office/drawing/2014/main" id="{1D2A4B2F-E56A-4E6E-B018-9321DACB5797}"/>
            </a:ext>
          </a:extLst>
        </xdr:cNvPr>
        <xdr:cNvCxnSpPr/>
      </xdr:nvCxnSpPr>
      <xdr:spPr>
        <a:xfrm flipH="1">
          <a:off x="2787926" y="8534400"/>
          <a:ext cx="1189383" cy="468464"/>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993913</xdr:colOff>
      <xdr:row>43</xdr:row>
      <xdr:rowOff>152400</xdr:rowOff>
    </xdr:from>
    <xdr:to>
      <xdr:col>8</xdr:col>
      <xdr:colOff>212034</xdr:colOff>
      <xdr:row>46</xdr:row>
      <xdr:rowOff>53009</xdr:rowOff>
    </xdr:to>
    <xdr:cxnSp macro="">
      <xdr:nvCxnSpPr>
        <xdr:cNvPr id="11" name="Conector recto de flecha 10">
          <a:extLst>
            <a:ext uri="{FF2B5EF4-FFF2-40B4-BE49-F238E27FC236}">
              <a16:creationId xmlns:a16="http://schemas.microsoft.com/office/drawing/2014/main" id="{BDB19B45-F087-4A16-B37A-87FEEF8C4D8B}"/>
            </a:ext>
          </a:extLst>
        </xdr:cNvPr>
        <xdr:cNvCxnSpPr/>
      </xdr:nvCxnSpPr>
      <xdr:spPr>
        <a:xfrm flipH="1">
          <a:off x="4643893" y="8321040"/>
          <a:ext cx="1565081" cy="494969"/>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19878</xdr:colOff>
      <xdr:row>43</xdr:row>
      <xdr:rowOff>139148</xdr:rowOff>
    </xdr:from>
    <xdr:to>
      <xdr:col>11</xdr:col>
      <xdr:colOff>331304</xdr:colOff>
      <xdr:row>46</xdr:row>
      <xdr:rowOff>19878</xdr:rowOff>
    </xdr:to>
    <xdr:cxnSp macro="">
      <xdr:nvCxnSpPr>
        <xdr:cNvPr id="12" name="Conector recto de flecha 11">
          <a:extLst>
            <a:ext uri="{FF2B5EF4-FFF2-40B4-BE49-F238E27FC236}">
              <a16:creationId xmlns:a16="http://schemas.microsoft.com/office/drawing/2014/main" id="{234919BB-671E-4F69-B02A-55451E9E1B93}"/>
            </a:ext>
          </a:extLst>
        </xdr:cNvPr>
        <xdr:cNvCxnSpPr/>
      </xdr:nvCxnSpPr>
      <xdr:spPr>
        <a:xfrm flipH="1">
          <a:off x="6016818" y="8307788"/>
          <a:ext cx="1843046" cy="47509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105023</xdr:colOff>
      <xdr:row>52</xdr:row>
      <xdr:rowOff>25842</xdr:rowOff>
    </xdr:from>
    <xdr:to>
      <xdr:col>11</xdr:col>
      <xdr:colOff>252454</xdr:colOff>
      <xdr:row>52</xdr:row>
      <xdr:rowOff>78851</xdr:rowOff>
    </xdr:to>
    <xdr:cxnSp macro="">
      <xdr:nvCxnSpPr>
        <xdr:cNvPr id="13" name="Conector recto de flecha 12">
          <a:extLst>
            <a:ext uri="{FF2B5EF4-FFF2-40B4-BE49-F238E27FC236}">
              <a16:creationId xmlns:a16="http://schemas.microsoft.com/office/drawing/2014/main" id="{996E8876-4F42-4D8A-892A-2A2486CFA58D}"/>
            </a:ext>
          </a:extLst>
        </xdr:cNvPr>
        <xdr:cNvCxnSpPr/>
      </xdr:nvCxnSpPr>
      <xdr:spPr>
        <a:xfrm flipH="1">
          <a:off x="5164703" y="10853862"/>
          <a:ext cx="3142091" cy="530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38</xdr:row>
      <xdr:rowOff>167640</xdr:rowOff>
    </xdr:from>
    <xdr:to>
      <xdr:col>5</xdr:col>
      <xdr:colOff>975360</xdr:colOff>
      <xdr:row>39</xdr:row>
      <xdr:rowOff>213360</xdr:rowOff>
    </xdr:to>
    <xdr:sp macro="" textlink="">
      <xdr:nvSpPr>
        <xdr:cNvPr id="14" name="Corchetes 13">
          <a:extLst>
            <a:ext uri="{FF2B5EF4-FFF2-40B4-BE49-F238E27FC236}">
              <a16:creationId xmlns:a16="http://schemas.microsoft.com/office/drawing/2014/main" id="{6B44DEEB-E88B-46DA-B477-799B4D98B6E5}"/>
            </a:ext>
          </a:extLst>
        </xdr:cNvPr>
        <xdr:cNvSpPr/>
      </xdr:nvSpPr>
      <xdr:spPr>
        <a:xfrm>
          <a:off x="2468880" y="8161020"/>
          <a:ext cx="21564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7</xdr:col>
      <xdr:colOff>0</xdr:colOff>
      <xdr:row>39</xdr:row>
      <xdr:rowOff>30480</xdr:rowOff>
    </xdr:from>
    <xdr:to>
      <xdr:col>10</xdr:col>
      <xdr:colOff>7620</xdr:colOff>
      <xdr:row>40</xdr:row>
      <xdr:rowOff>15240</xdr:rowOff>
    </xdr:to>
    <xdr:sp macro="" textlink="">
      <xdr:nvSpPr>
        <xdr:cNvPr id="15" name="Corchetes 14">
          <a:extLst>
            <a:ext uri="{FF2B5EF4-FFF2-40B4-BE49-F238E27FC236}">
              <a16:creationId xmlns:a16="http://schemas.microsoft.com/office/drawing/2014/main" id="{556D8EF3-F961-42B0-908B-4160857E6588}"/>
            </a:ext>
          </a:extLst>
        </xdr:cNvPr>
        <xdr:cNvSpPr/>
      </xdr:nvSpPr>
      <xdr:spPr>
        <a:xfrm>
          <a:off x="5059680" y="8221980"/>
          <a:ext cx="26898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708660</xdr:colOff>
      <xdr:row>42</xdr:row>
      <xdr:rowOff>152400</xdr:rowOff>
    </xdr:from>
    <xdr:to>
      <xdr:col>6</xdr:col>
      <xdr:colOff>22860</xdr:colOff>
      <xdr:row>44</xdr:row>
      <xdr:rowOff>30480</xdr:rowOff>
    </xdr:to>
    <xdr:sp macro="" textlink="">
      <xdr:nvSpPr>
        <xdr:cNvPr id="16" name="Corchetes 15">
          <a:extLst>
            <a:ext uri="{FF2B5EF4-FFF2-40B4-BE49-F238E27FC236}">
              <a16:creationId xmlns:a16="http://schemas.microsoft.com/office/drawing/2014/main" id="{19ADB114-B791-41D7-B994-3DED2E246AD2}"/>
            </a:ext>
          </a:extLst>
        </xdr:cNvPr>
        <xdr:cNvSpPr/>
      </xdr:nvSpPr>
      <xdr:spPr>
        <a:xfrm>
          <a:off x="2278380" y="8999220"/>
          <a:ext cx="2453640" cy="27432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6</xdr:col>
      <xdr:colOff>327660</xdr:colOff>
      <xdr:row>42</xdr:row>
      <xdr:rowOff>182880</xdr:rowOff>
    </xdr:from>
    <xdr:to>
      <xdr:col>9</xdr:col>
      <xdr:colOff>1089660</xdr:colOff>
      <xdr:row>44</xdr:row>
      <xdr:rowOff>30480</xdr:rowOff>
    </xdr:to>
    <xdr:sp macro="" textlink="">
      <xdr:nvSpPr>
        <xdr:cNvPr id="17" name="Corchetes 16">
          <a:extLst>
            <a:ext uri="{FF2B5EF4-FFF2-40B4-BE49-F238E27FC236}">
              <a16:creationId xmlns:a16="http://schemas.microsoft.com/office/drawing/2014/main" id="{BC9FE445-BFBB-4DAE-B518-401ED012E824}"/>
            </a:ext>
          </a:extLst>
        </xdr:cNvPr>
        <xdr:cNvSpPr/>
      </xdr:nvSpPr>
      <xdr:spPr>
        <a:xfrm>
          <a:off x="5036820" y="9029700"/>
          <a:ext cx="26898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3</xdr:col>
      <xdr:colOff>0</xdr:colOff>
      <xdr:row>45</xdr:row>
      <xdr:rowOff>144780</xdr:rowOff>
    </xdr:from>
    <xdr:to>
      <xdr:col>5</xdr:col>
      <xdr:colOff>883920</xdr:colOff>
      <xdr:row>47</xdr:row>
      <xdr:rowOff>22860</xdr:rowOff>
    </xdr:to>
    <xdr:sp macro="" textlink="">
      <xdr:nvSpPr>
        <xdr:cNvPr id="18" name="Corchetes 17">
          <a:extLst>
            <a:ext uri="{FF2B5EF4-FFF2-40B4-BE49-F238E27FC236}">
              <a16:creationId xmlns:a16="http://schemas.microsoft.com/office/drawing/2014/main" id="{4AD8BCE1-9340-44A3-802B-F807A57EA6F9}"/>
            </a:ext>
          </a:extLst>
        </xdr:cNvPr>
        <xdr:cNvSpPr/>
      </xdr:nvSpPr>
      <xdr:spPr>
        <a:xfrm>
          <a:off x="2354580" y="9585960"/>
          <a:ext cx="2179320" cy="27432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1</xdr:col>
      <xdr:colOff>533400</xdr:colOff>
      <xdr:row>47</xdr:row>
      <xdr:rowOff>68580</xdr:rowOff>
    </xdr:from>
    <xdr:to>
      <xdr:col>3</xdr:col>
      <xdr:colOff>188355</xdr:colOff>
      <xdr:row>49</xdr:row>
      <xdr:rowOff>37721</xdr:rowOff>
    </xdr:to>
    <xdr:sp macro="" textlink="">
      <xdr:nvSpPr>
        <xdr:cNvPr id="19" name="Flecha: curvada hacia arriba 18">
          <a:extLst>
            <a:ext uri="{FF2B5EF4-FFF2-40B4-BE49-F238E27FC236}">
              <a16:creationId xmlns:a16="http://schemas.microsoft.com/office/drawing/2014/main" id="{CE26F4D8-C074-49F9-9F59-2A46AD271123}"/>
            </a:ext>
          </a:extLst>
        </xdr:cNvPr>
        <xdr:cNvSpPr/>
      </xdr:nvSpPr>
      <xdr:spPr>
        <a:xfrm rot="10527329">
          <a:off x="1318260" y="9906000"/>
          <a:ext cx="1224675" cy="365381"/>
        </a:xfrm>
        <a:prstGeom prst="curvedUpArrow">
          <a:avLst>
            <a:gd name="adj1" fmla="val 41103"/>
            <a:gd name="adj2" fmla="val 61531"/>
            <a:gd name="adj3" fmla="val 4937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R" sz="1100">
            <a:solidFill>
              <a:schemeClr val="tx1"/>
            </a:solidFill>
          </a:endParaRPr>
        </a:p>
      </xdr:txBody>
    </xdr:sp>
    <xdr:clientData/>
  </xdr:twoCellAnchor>
  <xdr:twoCellAnchor>
    <xdr:from>
      <xdr:col>5</xdr:col>
      <xdr:colOff>0</xdr:colOff>
      <xdr:row>49</xdr:row>
      <xdr:rowOff>0</xdr:rowOff>
    </xdr:from>
    <xdr:to>
      <xdr:col>7</xdr:col>
      <xdr:colOff>754380</xdr:colOff>
      <xdr:row>50</xdr:row>
      <xdr:rowOff>76200</xdr:rowOff>
    </xdr:to>
    <xdr:sp macro="" textlink="">
      <xdr:nvSpPr>
        <xdr:cNvPr id="20" name="Corchetes 19">
          <a:extLst>
            <a:ext uri="{FF2B5EF4-FFF2-40B4-BE49-F238E27FC236}">
              <a16:creationId xmlns:a16="http://schemas.microsoft.com/office/drawing/2014/main" id="{94690458-276A-48BA-89A6-5D4D5A144146}"/>
            </a:ext>
          </a:extLst>
        </xdr:cNvPr>
        <xdr:cNvSpPr/>
      </xdr:nvSpPr>
      <xdr:spPr>
        <a:xfrm>
          <a:off x="3649980" y="10233660"/>
          <a:ext cx="2164080" cy="27432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5</xdr:col>
      <xdr:colOff>38100</xdr:colOff>
      <xdr:row>50</xdr:row>
      <xdr:rowOff>167640</xdr:rowOff>
    </xdr:from>
    <xdr:to>
      <xdr:col>8</xdr:col>
      <xdr:colOff>0</xdr:colOff>
      <xdr:row>52</xdr:row>
      <xdr:rowOff>45720</xdr:rowOff>
    </xdr:to>
    <xdr:sp macro="" textlink="">
      <xdr:nvSpPr>
        <xdr:cNvPr id="23" name="Corchetes 22">
          <a:extLst>
            <a:ext uri="{FF2B5EF4-FFF2-40B4-BE49-F238E27FC236}">
              <a16:creationId xmlns:a16="http://schemas.microsoft.com/office/drawing/2014/main" id="{83060331-BED3-48F0-9600-75914A456C5D}"/>
            </a:ext>
          </a:extLst>
        </xdr:cNvPr>
        <xdr:cNvSpPr/>
      </xdr:nvSpPr>
      <xdr:spPr>
        <a:xfrm>
          <a:off x="3688080" y="10599420"/>
          <a:ext cx="2164080" cy="27432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1</xdr:col>
      <xdr:colOff>740991</xdr:colOff>
      <xdr:row>52</xdr:row>
      <xdr:rowOff>113100</xdr:rowOff>
    </xdr:from>
    <xdr:to>
      <xdr:col>3</xdr:col>
      <xdr:colOff>71271</xdr:colOff>
      <xdr:row>52</xdr:row>
      <xdr:rowOff>113100</xdr:rowOff>
    </xdr:to>
    <xdr:cxnSp macro="">
      <xdr:nvCxnSpPr>
        <xdr:cNvPr id="27" name="Conector recto 26">
          <a:extLst>
            <a:ext uri="{FF2B5EF4-FFF2-40B4-BE49-F238E27FC236}">
              <a16:creationId xmlns:a16="http://schemas.microsoft.com/office/drawing/2014/main" id="{19C8B11D-E7A7-5582-FAC0-1B641DA1CA66}"/>
            </a:ext>
          </a:extLst>
        </xdr:cNvPr>
        <xdr:cNvCxnSpPr/>
      </xdr:nvCxnSpPr>
      <xdr:spPr>
        <a:xfrm rot="9894159">
          <a:off x="1525851" y="10941120"/>
          <a:ext cx="900000" cy="0"/>
        </a:xfrm>
        <a:prstGeom prst="line">
          <a:avLst/>
        </a:prstGeom>
        <a:gradFill>
          <a:gsLst>
            <a:gs pos="1000">
              <a:srgbClr val="489CD1">
                <a:alpha val="5000"/>
              </a:srgbClr>
            </a:gs>
            <a:gs pos="25000">
              <a:srgbClr val="A9D7B2">
                <a:alpha val="5000"/>
              </a:srgbClr>
            </a:gs>
            <a:gs pos="50000">
              <a:srgbClr val="B92B65">
                <a:alpha val="5000"/>
              </a:srgbClr>
            </a:gs>
            <a:gs pos="76000">
              <a:srgbClr val="9B2486">
                <a:alpha val="5000"/>
              </a:srgbClr>
            </a:gs>
            <a:gs pos="100000">
              <a:srgbClr val="244F85">
                <a:alpha val="5000"/>
              </a:srgbClr>
            </a:gs>
          </a:gsLst>
        </a:gradFill>
        <a:ln w="36000">
          <a:gradFill>
            <a:gsLst>
              <a:gs pos="1000">
                <a:srgbClr val="489CD1"/>
              </a:gs>
              <a:gs pos="25000">
                <a:srgbClr val="A9D7B2"/>
              </a:gs>
              <a:gs pos="50000">
                <a:srgbClr val="B92B65"/>
              </a:gs>
              <a:gs pos="76000">
                <a:srgbClr val="9B2486"/>
              </a:gs>
              <a:gs pos="100000">
                <a:srgbClr val="244F85"/>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38100</xdr:colOff>
      <xdr:row>52</xdr:row>
      <xdr:rowOff>167640</xdr:rowOff>
    </xdr:from>
    <xdr:to>
      <xdr:col>8</xdr:col>
      <xdr:colOff>0</xdr:colOff>
      <xdr:row>54</xdr:row>
      <xdr:rowOff>45720</xdr:rowOff>
    </xdr:to>
    <xdr:sp macro="" textlink="">
      <xdr:nvSpPr>
        <xdr:cNvPr id="28" name="Corchetes 27">
          <a:extLst>
            <a:ext uri="{FF2B5EF4-FFF2-40B4-BE49-F238E27FC236}">
              <a16:creationId xmlns:a16="http://schemas.microsoft.com/office/drawing/2014/main" id="{D97C3290-625F-41FE-85F4-7BC15703923D}"/>
            </a:ext>
          </a:extLst>
        </xdr:cNvPr>
        <xdr:cNvSpPr/>
      </xdr:nvSpPr>
      <xdr:spPr>
        <a:xfrm>
          <a:off x="3688080" y="10599420"/>
          <a:ext cx="2164080" cy="27432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5</xdr:col>
      <xdr:colOff>38100</xdr:colOff>
      <xdr:row>54</xdr:row>
      <xdr:rowOff>167640</xdr:rowOff>
    </xdr:from>
    <xdr:to>
      <xdr:col>8</xdr:col>
      <xdr:colOff>0</xdr:colOff>
      <xdr:row>56</xdr:row>
      <xdr:rowOff>45720</xdr:rowOff>
    </xdr:to>
    <xdr:sp macro="" textlink="">
      <xdr:nvSpPr>
        <xdr:cNvPr id="29" name="Corchetes 28">
          <a:extLst>
            <a:ext uri="{FF2B5EF4-FFF2-40B4-BE49-F238E27FC236}">
              <a16:creationId xmlns:a16="http://schemas.microsoft.com/office/drawing/2014/main" id="{23741CB0-6242-4E74-8313-2C953543114D}"/>
            </a:ext>
          </a:extLst>
        </xdr:cNvPr>
        <xdr:cNvSpPr/>
      </xdr:nvSpPr>
      <xdr:spPr>
        <a:xfrm>
          <a:off x="3688080" y="10995660"/>
          <a:ext cx="2164080" cy="27432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3</xdr:col>
      <xdr:colOff>693420</xdr:colOff>
      <xdr:row>59</xdr:row>
      <xdr:rowOff>7620</xdr:rowOff>
    </xdr:from>
    <xdr:to>
      <xdr:col>6</xdr:col>
      <xdr:colOff>320040</xdr:colOff>
      <xdr:row>60</xdr:row>
      <xdr:rowOff>91440</xdr:rowOff>
    </xdr:to>
    <xdr:sp macro="" textlink="">
      <xdr:nvSpPr>
        <xdr:cNvPr id="30" name="Flecha: curvada hacia arriba 29">
          <a:extLst>
            <a:ext uri="{FF2B5EF4-FFF2-40B4-BE49-F238E27FC236}">
              <a16:creationId xmlns:a16="http://schemas.microsoft.com/office/drawing/2014/main" id="{E2337B77-C825-9473-7556-B58D8A47280C}"/>
            </a:ext>
          </a:extLst>
        </xdr:cNvPr>
        <xdr:cNvSpPr/>
      </xdr:nvSpPr>
      <xdr:spPr>
        <a:xfrm>
          <a:off x="3048000" y="12222480"/>
          <a:ext cx="1981200" cy="281940"/>
        </a:xfrm>
        <a:prstGeom prst="curved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R"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142875</xdr:colOff>
      <xdr:row>24</xdr:row>
      <xdr:rowOff>95250</xdr:rowOff>
    </xdr:from>
    <xdr:to>
      <xdr:col>5</xdr:col>
      <xdr:colOff>885825</xdr:colOff>
      <xdr:row>30</xdr:row>
      <xdr:rowOff>59055</xdr:rowOff>
    </xdr:to>
    <xdr:pic>
      <xdr:nvPicPr>
        <xdr:cNvPr id="2" name="Imagen 1">
          <a:extLst>
            <a:ext uri="{FF2B5EF4-FFF2-40B4-BE49-F238E27FC236}">
              <a16:creationId xmlns:a16="http://schemas.microsoft.com/office/drawing/2014/main" id="{4C5BE1B3-898D-403F-87A3-37EAF092A0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3505200"/>
          <a:ext cx="3524250"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657225</xdr:colOff>
      <xdr:row>7</xdr:row>
      <xdr:rowOff>152400</xdr:rowOff>
    </xdr:from>
    <xdr:to>
      <xdr:col>18</xdr:col>
      <xdr:colOff>757232</xdr:colOff>
      <xdr:row>21</xdr:row>
      <xdr:rowOff>9209</xdr:rowOff>
    </xdr:to>
    <xdr:pic>
      <xdr:nvPicPr>
        <xdr:cNvPr id="3" name="Imagen 2">
          <a:extLst>
            <a:ext uri="{FF2B5EF4-FFF2-40B4-BE49-F238E27FC236}">
              <a16:creationId xmlns:a16="http://schemas.microsoft.com/office/drawing/2014/main" id="{D559ABD0-D214-4283-B1F2-1814BAE20EE3}"/>
            </a:ext>
          </a:extLst>
        </xdr:cNvPr>
        <xdr:cNvPicPr>
          <a:picLocks noChangeAspect="1"/>
        </xdr:cNvPicPr>
      </xdr:nvPicPr>
      <xdr:blipFill>
        <a:blip xmlns:r="http://schemas.openxmlformats.org/officeDocument/2006/relationships" r:embed="rId2"/>
        <a:stretch>
          <a:fillRect/>
        </a:stretch>
      </xdr:blipFill>
      <xdr:spPr>
        <a:xfrm>
          <a:off x="6581775" y="152400"/>
          <a:ext cx="7666667" cy="2657159"/>
        </a:xfrm>
        <a:prstGeom prst="rect">
          <a:avLst/>
        </a:prstGeom>
      </xdr:spPr>
    </xdr:pic>
    <xdr:clientData/>
  </xdr:twoCellAnchor>
  <xdr:twoCellAnchor editAs="oneCell">
    <xdr:from>
      <xdr:col>0</xdr:col>
      <xdr:colOff>0</xdr:colOff>
      <xdr:row>7</xdr:row>
      <xdr:rowOff>0</xdr:rowOff>
    </xdr:from>
    <xdr:to>
      <xdr:col>7</xdr:col>
      <xdr:colOff>907960</xdr:colOff>
      <xdr:row>23</xdr:row>
      <xdr:rowOff>28190</xdr:rowOff>
    </xdr:to>
    <xdr:pic>
      <xdr:nvPicPr>
        <xdr:cNvPr id="4" name="Imagen 3">
          <a:extLst>
            <a:ext uri="{FF2B5EF4-FFF2-40B4-BE49-F238E27FC236}">
              <a16:creationId xmlns:a16="http://schemas.microsoft.com/office/drawing/2014/main" id="{8CBB062B-D93A-4DC6-A62D-A01BA026652D}"/>
            </a:ext>
          </a:extLst>
        </xdr:cNvPr>
        <xdr:cNvPicPr>
          <a:picLocks noChangeAspect="1"/>
        </xdr:cNvPicPr>
      </xdr:nvPicPr>
      <xdr:blipFill>
        <a:blip xmlns:r="http://schemas.openxmlformats.org/officeDocument/2006/relationships" r:embed="rId3"/>
        <a:stretch>
          <a:fillRect/>
        </a:stretch>
      </xdr:blipFill>
      <xdr:spPr>
        <a:xfrm>
          <a:off x="0" y="0"/>
          <a:ext cx="5800000" cy="3228590"/>
        </a:xfrm>
        <a:prstGeom prst="rect">
          <a:avLst/>
        </a:prstGeom>
      </xdr:spPr>
    </xdr:pic>
    <xdr:clientData/>
  </xdr:twoCellAnchor>
  <xdr:twoCellAnchor editAs="oneCell">
    <xdr:from>
      <xdr:col>13</xdr:col>
      <xdr:colOff>0</xdr:colOff>
      <xdr:row>44</xdr:row>
      <xdr:rowOff>0</xdr:rowOff>
    </xdr:from>
    <xdr:to>
      <xdr:col>20</xdr:col>
      <xdr:colOff>258284</xdr:colOff>
      <xdr:row>66</xdr:row>
      <xdr:rowOff>113720</xdr:rowOff>
    </xdr:to>
    <xdr:pic>
      <xdr:nvPicPr>
        <xdr:cNvPr id="5" name="Imagen 4">
          <a:extLst>
            <a:ext uri="{FF2B5EF4-FFF2-40B4-BE49-F238E27FC236}">
              <a16:creationId xmlns:a16="http://schemas.microsoft.com/office/drawing/2014/main" id="{8A77CE91-C19E-49F3-A1E9-379860D43386}"/>
            </a:ext>
          </a:extLst>
        </xdr:cNvPr>
        <xdr:cNvPicPr>
          <a:picLocks noChangeAspect="1"/>
        </xdr:cNvPicPr>
      </xdr:nvPicPr>
      <xdr:blipFill>
        <a:blip xmlns:r="http://schemas.openxmlformats.org/officeDocument/2006/relationships" r:embed="rId4"/>
        <a:stretch>
          <a:fillRect/>
        </a:stretch>
      </xdr:blipFill>
      <xdr:spPr>
        <a:xfrm>
          <a:off x="8696325" y="5619750"/>
          <a:ext cx="6371429" cy="4638095"/>
        </a:xfrm>
        <a:prstGeom prst="rect">
          <a:avLst/>
        </a:prstGeom>
      </xdr:spPr>
    </xdr:pic>
    <xdr:clientData/>
  </xdr:twoCellAnchor>
  <xdr:twoCellAnchor>
    <xdr:from>
      <xdr:col>3</xdr:col>
      <xdr:colOff>167640</xdr:colOff>
      <xdr:row>46</xdr:row>
      <xdr:rowOff>15240</xdr:rowOff>
    </xdr:from>
    <xdr:to>
      <xdr:col>7</xdr:col>
      <xdr:colOff>266700</xdr:colOff>
      <xdr:row>46</xdr:row>
      <xdr:rowOff>160020</xdr:rowOff>
    </xdr:to>
    <xdr:sp macro="" textlink="">
      <xdr:nvSpPr>
        <xdr:cNvPr id="12" name="Flecha: en U 11">
          <a:extLst>
            <a:ext uri="{FF2B5EF4-FFF2-40B4-BE49-F238E27FC236}">
              <a16:creationId xmlns:a16="http://schemas.microsoft.com/office/drawing/2014/main" id="{121AB0BC-2040-4620-A96B-190C88DEC174}"/>
            </a:ext>
          </a:extLst>
        </xdr:cNvPr>
        <xdr:cNvSpPr/>
      </xdr:nvSpPr>
      <xdr:spPr>
        <a:xfrm>
          <a:off x="2522220" y="9585960"/>
          <a:ext cx="2804160" cy="144780"/>
        </a:xfrm>
        <a:prstGeom prst="uturnArrow">
          <a:avLst/>
        </a:prstGeom>
        <a:ln w="6350"/>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s-CR" sz="1100">
            <a:solidFill>
              <a:schemeClr val="tx1"/>
            </a:solidFill>
          </a:endParaRPr>
        </a:p>
      </xdr:txBody>
    </xdr:sp>
    <xdr:clientData/>
  </xdr:twoCellAnchor>
  <xdr:twoCellAnchor>
    <xdr:from>
      <xdr:col>5</xdr:col>
      <xdr:colOff>914400</xdr:colOff>
      <xdr:row>48</xdr:row>
      <xdr:rowOff>38100</xdr:rowOff>
    </xdr:from>
    <xdr:to>
      <xdr:col>7</xdr:col>
      <xdr:colOff>472440</xdr:colOff>
      <xdr:row>48</xdr:row>
      <xdr:rowOff>190500</xdr:rowOff>
    </xdr:to>
    <xdr:sp macro="" textlink="">
      <xdr:nvSpPr>
        <xdr:cNvPr id="13" name="Flecha: curvada hacia arriba 12">
          <a:extLst>
            <a:ext uri="{FF2B5EF4-FFF2-40B4-BE49-F238E27FC236}">
              <a16:creationId xmlns:a16="http://schemas.microsoft.com/office/drawing/2014/main" id="{9DCCF278-7DF8-4819-B953-85EA6AB06E9C}"/>
            </a:ext>
          </a:extLst>
        </xdr:cNvPr>
        <xdr:cNvSpPr/>
      </xdr:nvSpPr>
      <xdr:spPr>
        <a:xfrm>
          <a:off x="4564380" y="10203180"/>
          <a:ext cx="967740" cy="152400"/>
        </a:xfrm>
        <a:prstGeom prst="curvedUp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s-CR" sz="1100">
            <a:solidFill>
              <a:schemeClr val="tx1"/>
            </a:solidFill>
          </a:endParaRPr>
        </a:p>
      </xdr:txBody>
    </xdr:sp>
    <xdr:clientData/>
  </xdr:twoCellAnchor>
  <xdr:twoCellAnchor>
    <xdr:from>
      <xdr:col>2</xdr:col>
      <xdr:colOff>769620</xdr:colOff>
      <xdr:row>46</xdr:row>
      <xdr:rowOff>182880</xdr:rowOff>
    </xdr:from>
    <xdr:to>
      <xdr:col>6</xdr:col>
      <xdr:colOff>15240</xdr:colOff>
      <xdr:row>48</xdr:row>
      <xdr:rowOff>30480</xdr:rowOff>
    </xdr:to>
    <xdr:sp macro="" textlink="">
      <xdr:nvSpPr>
        <xdr:cNvPr id="18" name="Corchetes 17">
          <a:extLst>
            <a:ext uri="{FF2B5EF4-FFF2-40B4-BE49-F238E27FC236}">
              <a16:creationId xmlns:a16="http://schemas.microsoft.com/office/drawing/2014/main" id="{BF04790E-EFBF-BC5C-7613-A02EF00C9451}"/>
            </a:ext>
          </a:extLst>
        </xdr:cNvPr>
        <xdr:cNvSpPr/>
      </xdr:nvSpPr>
      <xdr:spPr>
        <a:xfrm>
          <a:off x="2339340" y="9357360"/>
          <a:ext cx="2385060" cy="243840"/>
        </a:xfrm>
        <a:prstGeom prst="bracketPair">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83820</xdr:colOff>
      <xdr:row>51</xdr:row>
      <xdr:rowOff>114300</xdr:rowOff>
    </xdr:from>
    <xdr:to>
      <xdr:col>3</xdr:col>
      <xdr:colOff>998220</xdr:colOff>
      <xdr:row>51</xdr:row>
      <xdr:rowOff>137160</xdr:rowOff>
    </xdr:to>
    <xdr:cxnSp macro="">
      <xdr:nvCxnSpPr>
        <xdr:cNvPr id="21" name="Conector recto de flecha 20">
          <a:extLst>
            <a:ext uri="{FF2B5EF4-FFF2-40B4-BE49-F238E27FC236}">
              <a16:creationId xmlns:a16="http://schemas.microsoft.com/office/drawing/2014/main" id="{369A2CC7-C4E5-3BF1-7D1F-4A9455CFF68D}"/>
            </a:ext>
          </a:extLst>
        </xdr:cNvPr>
        <xdr:cNvCxnSpPr/>
      </xdr:nvCxnSpPr>
      <xdr:spPr>
        <a:xfrm flipH="1" flipV="1">
          <a:off x="1653540" y="10279380"/>
          <a:ext cx="1699260" cy="228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563880</xdr:colOff>
      <xdr:row>26</xdr:row>
      <xdr:rowOff>144780</xdr:rowOff>
    </xdr:from>
    <xdr:to>
      <xdr:col>12</xdr:col>
      <xdr:colOff>769620</xdr:colOff>
      <xdr:row>37</xdr:row>
      <xdr:rowOff>190500</xdr:rowOff>
    </xdr:to>
    <xdr:cxnSp macro="">
      <xdr:nvCxnSpPr>
        <xdr:cNvPr id="23" name="Conector: curvado 22">
          <a:extLst>
            <a:ext uri="{FF2B5EF4-FFF2-40B4-BE49-F238E27FC236}">
              <a16:creationId xmlns:a16="http://schemas.microsoft.com/office/drawing/2014/main" id="{D859E7EC-EEBB-1E4E-EE73-D94D557A190E}"/>
            </a:ext>
          </a:extLst>
        </xdr:cNvPr>
        <xdr:cNvCxnSpPr/>
      </xdr:nvCxnSpPr>
      <xdr:spPr>
        <a:xfrm>
          <a:off x="7056120" y="5730240"/>
          <a:ext cx="2499360" cy="2255520"/>
        </a:xfrm>
        <a:prstGeom prst="curvedConnector3">
          <a:avLst>
            <a:gd name="adj1" fmla="val 50000"/>
          </a:avLst>
        </a:prstGeom>
        <a:gradFill>
          <a:gsLst>
            <a:gs pos="1000">
              <a:srgbClr val="489CD1">
                <a:alpha val="5000"/>
              </a:srgbClr>
            </a:gs>
            <a:gs pos="25000">
              <a:srgbClr val="A9D7B2">
                <a:alpha val="5000"/>
              </a:srgbClr>
            </a:gs>
            <a:gs pos="50000">
              <a:srgbClr val="B92B65">
                <a:alpha val="5000"/>
              </a:srgbClr>
            </a:gs>
            <a:gs pos="76000">
              <a:srgbClr val="9B2486">
                <a:alpha val="5000"/>
              </a:srgbClr>
            </a:gs>
            <a:gs pos="100000">
              <a:srgbClr val="244F85">
                <a:alpha val="5000"/>
              </a:srgbClr>
            </a:gs>
          </a:gsLst>
        </a:gradFill>
        <a:ln w="36000">
          <a:gradFill>
            <a:gsLst>
              <a:gs pos="1000">
                <a:srgbClr val="489CD1"/>
              </a:gs>
              <a:gs pos="25000">
                <a:srgbClr val="A9D7B2"/>
              </a:gs>
              <a:gs pos="50000">
                <a:srgbClr val="B92B65"/>
              </a:gs>
              <a:gs pos="76000">
                <a:srgbClr val="9B2486"/>
              </a:gs>
              <a:gs pos="100000">
                <a:srgbClr val="244F85"/>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40</xdr:row>
      <xdr:rowOff>167640</xdr:rowOff>
    </xdr:from>
    <xdr:to>
      <xdr:col>5</xdr:col>
      <xdr:colOff>975360</xdr:colOff>
      <xdr:row>41</xdr:row>
      <xdr:rowOff>213360</xdr:rowOff>
    </xdr:to>
    <xdr:sp macro="" textlink="">
      <xdr:nvSpPr>
        <xdr:cNvPr id="26" name="Corchetes 25">
          <a:extLst>
            <a:ext uri="{FF2B5EF4-FFF2-40B4-BE49-F238E27FC236}">
              <a16:creationId xmlns:a16="http://schemas.microsoft.com/office/drawing/2014/main" id="{758E09EA-91F9-4727-A75F-2699268CFE76}"/>
            </a:ext>
          </a:extLst>
        </xdr:cNvPr>
        <xdr:cNvSpPr/>
      </xdr:nvSpPr>
      <xdr:spPr>
        <a:xfrm>
          <a:off x="2468880" y="8161020"/>
          <a:ext cx="21564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7</xdr:col>
      <xdr:colOff>0</xdr:colOff>
      <xdr:row>41</xdr:row>
      <xdr:rowOff>30480</xdr:rowOff>
    </xdr:from>
    <xdr:to>
      <xdr:col>10</xdr:col>
      <xdr:colOff>7620</xdr:colOff>
      <xdr:row>42</xdr:row>
      <xdr:rowOff>15240</xdr:rowOff>
    </xdr:to>
    <xdr:sp macro="" textlink="">
      <xdr:nvSpPr>
        <xdr:cNvPr id="27" name="Corchetes 26">
          <a:extLst>
            <a:ext uri="{FF2B5EF4-FFF2-40B4-BE49-F238E27FC236}">
              <a16:creationId xmlns:a16="http://schemas.microsoft.com/office/drawing/2014/main" id="{09B735BD-EC90-4AC2-A724-6889C06B67DE}"/>
            </a:ext>
          </a:extLst>
        </xdr:cNvPr>
        <xdr:cNvSpPr/>
      </xdr:nvSpPr>
      <xdr:spPr>
        <a:xfrm>
          <a:off x="5059680" y="8221980"/>
          <a:ext cx="26898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708660</xdr:colOff>
      <xdr:row>43</xdr:row>
      <xdr:rowOff>152400</xdr:rowOff>
    </xdr:from>
    <xdr:to>
      <xdr:col>6</xdr:col>
      <xdr:colOff>22860</xdr:colOff>
      <xdr:row>45</xdr:row>
      <xdr:rowOff>30480</xdr:rowOff>
    </xdr:to>
    <xdr:sp macro="" textlink="">
      <xdr:nvSpPr>
        <xdr:cNvPr id="28" name="Corchetes 27">
          <a:extLst>
            <a:ext uri="{FF2B5EF4-FFF2-40B4-BE49-F238E27FC236}">
              <a16:creationId xmlns:a16="http://schemas.microsoft.com/office/drawing/2014/main" id="{3250DBFA-7E85-4B80-95BF-6C500536E5EA}"/>
            </a:ext>
          </a:extLst>
        </xdr:cNvPr>
        <xdr:cNvSpPr/>
      </xdr:nvSpPr>
      <xdr:spPr>
        <a:xfrm>
          <a:off x="2278380" y="8999220"/>
          <a:ext cx="2453640" cy="27432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6</xdr:col>
      <xdr:colOff>327660</xdr:colOff>
      <xdr:row>43</xdr:row>
      <xdr:rowOff>182880</xdr:rowOff>
    </xdr:from>
    <xdr:to>
      <xdr:col>9</xdr:col>
      <xdr:colOff>1089660</xdr:colOff>
      <xdr:row>45</xdr:row>
      <xdr:rowOff>30480</xdr:rowOff>
    </xdr:to>
    <xdr:sp macro="" textlink="">
      <xdr:nvSpPr>
        <xdr:cNvPr id="29" name="Corchetes 28">
          <a:extLst>
            <a:ext uri="{FF2B5EF4-FFF2-40B4-BE49-F238E27FC236}">
              <a16:creationId xmlns:a16="http://schemas.microsoft.com/office/drawing/2014/main" id="{1B6FE87B-C774-482C-AF8D-6ED01A34DF20}"/>
            </a:ext>
          </a:extLst>
        </xdr:cNvPr>
        <xdr:cNvSpPr/>
      </xdr:nvSpPr>
      <xdr:spPr>
        <a:xfrm>
          <a:off x="5036820" y="9029700"/>
          <a:ext cx="26898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7</xdr:col>
      <xdr:colOff>0</xdr:colOff>
      <xdr:row>47</xdr:row>
      <xdr:rowOff>0</xdr:rowOff>
    </xdr:from>
    <xdr:to>
      <xdr:col>7</xdr:col>
      <xdr:colOff>861060</xdr:colOff>
      <xdr:row>47</xdr:row>
      <xdr:rowOff>198120</xdr:rowOff>
    </xdr:to>
    <xdr:sp macro="" textlink="">
      <xdr:nvSpPr>
        <xdr:cNvPr id="30" name="Corchetes 29">
          <a:extLst>
            <a:ext uri="{FF2B5EF4-FFF2-40B4-BE49-F238E27FC236}">
              <a16:creationId xmlns:a16="http://schemas.microsoft.com/office/drawing/2014/main" id="{09D34665-5E0E-4B64-90AF-59885391695B}"/>
            </a:ext>
          </a:extLst>
        </xdr:cNvPr>
        <xdr:cNvSpPr/>
      </xdr:nvSpPr>
      <xdr:spPr>
        <a:xfrm>
          <a:off x="5059680" y="9906000"/>
          <a:ext cx="861060" cy="19812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5</xdr:col>
      <xdr:colOff>30480</xdr:colOff>
      <xdr:row>50</xdr:row>
      <xdr:rowOff>0</xdr:rowOff>
    </xdr:from>
    <xdr:to>
      <xdr:col>7</xdr:col>
      <xdr:colOff>861060</xdr:colOff>
      <xdr:row>51</xdr:row>
      <xdr:rowOff>45720</xdr:rowOff>
    </xdr:to>
    <xdr:sp macro="" textlink="">
      <xdr:nvSpPr>
        <xdr:cNvPr id="31" name="Corchetes 30">
          <a:extLst>
            <a:ext uri="{FF2B5EF4-FFF2-40B4-BE49-F238E27FC236}">
              <a16:creationId xmlns:a16="http://schemas.microsoft.com/office/drawing/2014/main" id="{BD668F2F-33BB-4B9D-BD4C-5C8822CD0B84}"/>
            </a:ext>
          </a:extLst>
        </xdr:cNvPr>
        <xdr:cNvSpPr/>
      </xdr:nvSpPr>
      <xdr:spPr>
        <a:xfrm>
          <a:off x="3680460" y="10561320"/>
          <a:ext cx="224028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142875</xdr:colOff>
      <xdr:row>25</xdr:row>
      <xdr:rowOff>95250</xdr:rowOff>
    </xdr:from>
    <xdr:to>
      <xdr:col>5</xdr:col>
      <xdr:colOff>885825</xdr:colOff>
      <xdr:row>31</xdr:row>
      <xdr:rowOff>123825</xdr:rowOff>
    </xdr:to>
    <xdr:pic>
      <xdr:nvPicPr>
        <xdr:cNvPr id="2" name="Imagen 1">
          <a:extLst>
            <a:ext uri="{FF2B5EF4-FFF2-40B4-BE49-F238E27FC236}">
              <a16:creationId xmlns:a16="http://schemas.microsoft.com/office/drawing/2014/main" id="{B614C4A6-3690-4E4F-8562-0D8F0EDB5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3495675"/>
          <a:ext cx="352425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638175</xdr:colOff>
      <xdr:row>8</xdr:row>
      <xdr:rowOff>57150</xdr:rowOff>
    </xdr:from>
    <xdr:to>
      <xdr:col>17</xdr:col>
      <xdr:colOff>627692</xdr:colOff>
      <xdr:row>22</xdr:row>
      <xdr:rowOff>47309</xdr:rowOff>
    </xdr:to>
    <xdr:pic>
      <xdr:nvPicPr>
        <xdr:cNvPr id="3" name="Imagen 2">
          <a:extLst>
            <a:ext uri="{FF2B5EF4-FFF2-40B4-BE49-F238E27FC236}">
              <a16:creationId xmlns:a16="http://schemas.microsoft.com/office/drawing/2014/main" id="{B79D861D-468F-4353-8C50-33C3527E0663}"/>
            </a:ext>
          </a:extLst>
        </xdr:cNvPr>
        <xdr:cNvPicPr>
          <a:picLocks noChangeAspect="1"/>
        </xdr:cNvPicPr>
      </xdr:nvPicPr>
      <xdr:blipFill>
        <a:blip xmlns:r="http://schemas.openxmlformats.org/officeDocument/2006/relationships" r:embed="rId2"/>
        <a:stretch>
          <a:fillRect/>
        </a:stretch>
      </xdr:blipFill>
      <xdr:spPr>
        <a:xfrm>
          <a:off x="6562725" y="1381125"/>
          <a:ext cx="7666667" cy="2790509"/>
        </a:xfrm>
        <a:prstGeom prst="rect">
          <a:avLst/>
        </a:prstGeom>
      </xdr:spPr>
    </xdr:pic>
    <xdr:clientData/>
  </xdr:twoCellAnchor>
  <xdr:twoCellAnchor editAs="oneCell">
    <xdr:from>
      <xdr:col>0</xdr:col>
      <xdr:colOff>47625</xdr:colOff>
      <xdr:row>8</xdr:row>
      <xdr:rowOff>0</xdr:rowOff>
    </xdr:from>
    <xdr:to>
      <xdr:col>7</xdr:col>
      <xdr:colOff>955585</xdr:colOff>
      <xdr:row>24</xdr:row>
      <xdr:rowOff>180590</xdr:rowOff>
    </xdr:to>
    <xdr:pic>
      <xdr:nvPicPr>
        <xdr:cNvPr id="4" name="Imagen 3">
          <a:extLst>
            <a:ext uri="{FF2B5EF4-FFF2-40B4-BE49-F238E27FC236}">
              <a16:creationId xmlns:a16="http://schemas.microsoft.com/office/drawing/2014/main" id="{ED3C57B5-31A1-44FB-9832-2FCFA3F9216D}"/>
            </a:ext>
          </a:extLst>
        </xdr:cNvPr>
        <xdr:cNvPicPr>
          <a:picLocks noChangeAspect="1"/>
        </xdr:cNvPicPr>
      </xdr:nvPicPr>
      <xdr:blipFill>
        <a:blip xmlns:r="http://schemas.openxmlformats.org/officeDocument/2006/relationships" r:embed="rId3"/>
        <a:stretch>
          <a:fillRect/>
        </a:stretch>
      </xdr:blipFill>
      <xdr:spPr>
        <a:xfrm>
          <a:off x="47625" y="1123950"/>
          <a:ext cx="5800000" cy="3380990"/>
        </a:xfrm>
        <a:prstGeom prst="rect">
          <a:avLst/>
        </a:prstGeom>
      </xdr:spPr>
    </xdr:pic>
    <xdr:clientData/>
  </xdr:twoCellAnchor>
  <xdr:twoCellAnchor editAs="oneCell">
    <xdr:from>
      <xdr:col>15</xdr:col>
      <xdr:colOff>670560</xdr:colOff>
      <xdr:row>40</xdr:row>
      <xdr:rowOff>161925</xdr:rowOff>
    </xdr:from>
    <xdr:to>
      <xdr:col>23</xdr:col>
      <xdr:colOff>138269</xdr:colOff>
      <xdr:row>63</xdr:row>
      <xdr:rowOff>16565</xdr:rowOff>
    </xdr:to>
    <xdr:pic>
      <xdr:nvPicPr>
        <xdr:cNvPr id="5" name="Imagen 4">
          <a:extLst>
            <a:ext uri="{FF2B5EF4-FFF2-40B4-BE49-F238E27FC236}">
              <a16:creationId xmlns:a16="http://schemas.microsoft.com/office/drawing/2014/main" id="{C1B6444D-3C23-4D6D-9190-230C7704F433}"/>
            </a:ext>
          </a:extLst>
        </xdr:cNvPr>
        <xdr:cNvPicPr>
          <a:picLocks noChangeAspect="1"/>
        </xdr:cNvPicPr>
      </xdr:nvPicPr>
      <xdr:blipFill>
        <a:blip xmlns:r="http://schemas.openxmlformats.org/officeDocument/2006/relationships" r:embed="rId4"/>
        <a:stretch>
          <a:fillRect/>
        </a:stretch>
      </xdr:blipFill>
      <xdr:spPr>
        <a:xfrm>
          <a:off x="12679680" y="8886825"/>
          <a:ext cx="6569549" cy="4594280"/>
        </a:xfrm>
        <a:prstGeom prst="rect">
          <a:avLst/>
        </a:prstGeom>
      </xdr:spPr>
    </xdr:pic>
    <xdr:clientData/>
  </xdr:twoCellAnchor>
  <xdr:twoCellAnchor>
    <xdr:from>
      <xdr:col>3</xdr:col>
      <xdr:colOff>220980</xdr:colOff>
      <xdr:row>42</xdr:row>
      <xdr:rowOff>15240</xdr:rowOff>
    </xdr:from>
    <xdr:to>
      <xdr:col>7</xdr:col>
      <xdr:colOff>487680</xdr:colOff>
      <xdr:row>43</xdr:row>
      <xdr:rowOff>60960</xdr:rowOff>
    </xdr:to>
    <xdr:sp macro="" textlink="">
      <xdr:nvSpPr>
        <xdr:cNvPr id="13" name="Flecha: en U 12">
          <a:extLst>
            <a:ext uri="{FF2B5EF4-FFF2-40B4-BE49-F238E27FC236}">
              <a16:creationId xmlns:a16="http://schemas.microsoft.com/office/drawing/2014/main" id="{8104F4F5-F101-476E-BD36-9DB873D96BC6}"/>
            </a:ext>
          </a:extLst>
        </xdr:cNvPr>
        <xdr:cNvSpPr/>
      </xdr:nvSpPr>
      <xdr:spPr>
        <a:xfrm>
          <a:off x="2575560" y="9326880"/>
          <a:ext cx="2971800" cy="243840"/>
        </a:xfrm>
        <a:prstGeom prst="uturn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s-CR" sz="1100">
            <a:solidFill>
              <a:schemeClr val="tx1"/>
            </a:solidFill>
          </a:endParaRPr>
        </a:p>
      </xdr:txBody>
    </xdr:sp>
    <xdr:clientData/>
  </xdr:twoCellAnchor>
  <xdr:twoCellAnchor>
    <xdr:from>
      <xdr:col>5</xdr:col>
      <xdr:colOff>944880</xdr:colOff>
      <xdr:row>44</xdr:row>
      <xdr:rowOff>0</xdr:rowOff>
    </xdr:from>
    <xdr:to>
      <xdr:col>7</xdr:col>
      <xdr:colOff>487680</xdr:colOff>
      <xdr:row>45</xdr:row>
      <xdr:rowOff>45720</xdr:rowOff>
    </xdr:to>
    <xdr:sp macro="" textlink="">
      <xdr:nvSpPr>
        <xdr:cNvPr id="14" name="Flecha: curvada hacia arriba 13">
          <a:extLst>
            <a:ext uri="{FF2B5EF4-FFF2-40B4-BE49-F238E27FC236}">
              <a16:creationId xmlns:a16="http://schemas.microsoft.com/office/drawing/2014/main" id="{808BB067-035A-461A-9EB1-1C84C0D781D7}"/>
            </a:ext>
          </a:extLst>
        </xdr:cNvPr>
        <xdr:cNvSpPr/>
      </xdr:nvSpPr>
      <xdr:spPr>
        <a:xfrm>
          <a:off x="4594860" y="9639300"/>
          <a:ext cx="952500" cy="304800"/>
        </a:xfrm>
        <a:prstGeom prst="curvedUp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s-CR" sz="1100">
            <a:solidFill>
              <a:schemeClr val="tx1"/>
            </a:solidFill>
          </a:endParaRPr>
        </a:p>
      </xdr:txBody>
    </xdr:sp>
    <xdr:clientData/>
  </xdr:twoCellAnchor>
  <xdr:twoCellAnchor>
    <xdr:from>
      <xdr:col>9</xdr:col>
      <xdr:colOff>1143000</xdr:colOff>
      <xdr:row>29</xdr:row>
      <xdr:rowOff>83820</xdr:rowOff>
    </xdr:from>
    <xdr:to>
      <xdr:col>13</xdr:col>
      <xdr:colOff>757140</xdr:colOff>
      <xdr:row>29</xdr:row>
      <xdr:rowOff>148980</xdr:rowOff>
    </xdr:to>
    <xdr:cxnSp macro="">
      <xdr:nvCxnSpPr>
        <xdr:cNvPr id="18" name="Conector recto 17">
          <a:extLst>
            <a:ext uri="{FF2B5EF4-FFF2-40B4-BE49-F238E27FC236}">
              <a16:creationId xmlns:a16="http://schemas.microsoft.com/office/drawing/2014/main" id="{34D6F058-F948-15F9-DE9B-0E963DA59C64}"/>
            </a:ext>
          </a:extLst>
        </xdr:cNvPr>
        <xdr:cNvCxnSpPr/>
      </xdr:nvCxnSpPr>
      <xdr:spPr>
        <a:xfrm>
          <a:off x="7635240" y="6423660"/>
          <a:ext cx="2761200" cy="6516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769620</xdr:colOff>
      <xdr:row>42</xdr:row>
      <xdr:rowOff>182880</xdr:rowOff>
    </xdr:from>
    <xdr:to>
      <xdr:col>6</xdr:col>
      <xdr:colOff>15240</xdr:colOff>
      <xdr:row>44</xdr:row>
      <xdr:rowOff>30480</xdr:rowOff>
    </xdr:to>
    <xdr:sp macro="" textlink="">
      <xdr:nvSpPr>
        <xdr:cNvPr id="25" name="Corchetes 24">
          <a:extLst>
            <a:ext uri="{FF2B5EF4-FFF2-40B4-BE49-F238E27FC236}">
              <a16:creationId xmlns:a16="http://schemas.microsoft.com/office/drawing/2014/main" id="{8057A4B6-CAEE-43E5-8F7C-AB240B12D458}"/>
            </a:ext>
          </a:extLst>
        </xdr:cNvPr>
        <xdr:cNvSpPr/>
      </xdr:nvSpPr>
      <xdr:spPr>
        <a:xfrm>
          <a:off x="2339340" y="9890760"/>
          <a:ext cx="2385060" cy="304800"/>
        </a:xfrm>
        <a:prstGeom prst="bracketPair">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83820</xdr:colOff>
      <xdr:row>47</xdr:row>
      <xdr:rowOff>114300</xdr:rowOff>
    </xdr:from>
    <xdr:to>
      <xdr:col>3</xdr:col>
      <xdr:colOff>998220</xdr:colOff>
      <xdr:row>47</xdr:row>
      <xdr:rowOff>137160</xdr:rowOff>
    </xdr:to>
    <xdr:cxnSp macro="">
      <xdr:nvCxnSpPr>
        <xdr:cNvPr id="26" name="Conector recto de flecha 25">
          <a:extLst>
            <a:ext uri="{FF2B5EF4-FFF2-40B4-BE49-F238E27FC236}">
              <a16:creationId xmlns:a16="http://schemas.microsoft.com/office/drawing/2014/main" id="{0EA036B9-BECD-47D3-B2E0-9A79D2BBE961}"/>
            </a:ext>
          </a:extLst>
        </xdr:cNvPr>
        <xdr:cNvCxnSpPr/>
      </xdr:nvCxnSpPr>
      <xdr:spPr>
        <a:xfrm flipH="1" flipV="1">
          <a:off x="1653540" y="10873740"/>
          <a:ext cx="1699260" cy="228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36</xdr:row>
      <xdr:rowOff>167640</xdr:rowOff>
    </xdr:from>
    <xdr:to>
      <xdr:col>5</xdr:col>
      <xdr:colOff>975360</xdr:colOff>
      <xdr:row>37</xdr:row>
      <xdr:rowOff>213360</xdr:rowOff>
    </xdr:to>
    <xdr:sp macro="" textlink="">
      <xdr:nvSpPr>
        <xdr:cNvPr id="27" name="Corchetes 26">
          <a:extLst>
            <a:ext uri="{FF2B5EF4-FFF2-40B4-BE49-F238E27FC236}">
              <a16:creationId xmlns:a16="http://schemas.microsoft.com/office/drawing/2014/main" id="{45553B15-BCE3-48C1-951D-DBB5A62E50FE}"/>
            </a:ext>
          </a:extLst>
        </xdr:cNvPr>
        <xdr:cNvSpPr/>
      </xdr:nvSpPr>
      <xdr:spPr>
        <a:xfrm>
          <a:off x="2468880" y="8564880"/>
          <a:ext cx="215646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7</xdr:col>
      <xdr:colOff>0</xdr:colOff>
      <xdr:row>37</xdr:row>
      <xdr:rowOff>30480</xdr:rowOff>
    </xdr:from>
    <xdr:to>
      <xdr:col>10</xdr:col>
      <xdr:colOff>7620</xdr:colOff>
      <xdr:row>38</xdr:row>
      <xdr:rowOff>15240</xdr:rowOff>
    </xdr:to>
    <xdr:sp macro="" textlink="">
      <xdr:nvSpPr>
        <xdr:cNvPr id="28" name="Corchetes 27">
          <a:extLst>
            <a:ext uri="{FF2B5EF4-FFF2-40B4-BE49-F238E27FC236}">
              <a16:creationId xmlns:a16="http://schemas.microsoft.com/office/drawing/2014/main" id="{9235874F-06CB-4C67-9493-ED4927E47717}"/>
            </a:ext>
          </a:extLst>
        </xdr:cNvPr>
        <xdr:cNvSpPr/>
      </xdr:nvSpPr>
      <xdr:spPr>
        <a:xfrm>
          <a:off x="5059680" y="8625840"/>
          <a:ext cx="2636520" cy="24384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708660</xdr:colOff>
      <xdr:row>39</xdr:row>
      <xdr:rowOff>152400</xdr:rowOff>
    </xdr:from>
    <xdr:to>
      <xdr:col>6</xdr:col>
      <xdr:colOff>22860</xdr:colOff>
      <xdr:row>41</xdr:row>
      <xdr:rowOff>30480</xdr:rowOff>
    </xdr:to>
    <xdr:sp macro="" textlink="">
      <xdr:nvSpPr>
        <xdr:cNvPr id="29" name="Corchetes 28">
          <a:extLst>
            <a:ext uri="{FF2B5EF4-FFF2-40B4-BE49-F238E27FC236}">
              <a16:creationId xmlns:a16="http://schemas.microsoft.com/office/drawing/2014/main" id="{38246CEC-387E-4EFF-8FAE-77D9CD633DF4}"/>
            </a:ext>
          </a:extLst>
        </xdr:cNvPr>
        <xdr:cNvSpPr/>
      </xdr:nvSpPr>
      <xdr:spPr>
        <a:xfrm>
          <a:off x="2278380" y="9204960"/>
          <a:ext cx="2453640" cy="33528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7</xdr:col>
      <xdr:colOff>38100</xdr:colOff>
      <xdr:row>39</xdr:row>
      <xdr:rowOff>182880</xdr:rowOff>
    </xdr:from>
    <xdr:to>
      <xdr:col>9</xdr:col>
      <xdr:colOff>1089660</xdr:colOff>
      <xdr:row>41</xdr:row>
      <xdr:rowOff>30480</xdr:rowOff>
    </xdr:to>
    <xdr:sp macro="" textlink="">
      <xdr:nvSpPr>
        <xdr:cNvPr id="30" name="Corchetes 29">
          <a:extLst>
            <a:ext uri="{FF2B5EF4-FFF2-40B4-BE49-F238E27FC236}">
              <a16:creationId xmlns:a16="http://schemas.microsoft.com/office/drawing/2014/main" id="{AF1A5C1B-5F92-40C0-BFFC-A11B4D48E01D}"/>
            </a:ext>
          </a:extLst>
        </xdr:cNvPr>
        <xdr:cNvSpPr/>
      </xdr:nvSpPr>
      <xdr:spPr>
        <a:xfrm>
          <a:off x="5097780" y="8709660"/>
          <a:ext cx="2484120" cy="30480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7</xdr:col>
      <xdr:colOff>0</xdr:colOff>
      <xdr:row>43</xdr:row>
      <xdr:rowOff>0</xdr:rowOff>
    </xdr:from>
    <xdr:to>
      <xdr:col>7</xdr:col>
      <xdr:colOff>861060</xdr:colOff>
      <xdr:row>43</xdr:row>
      <xdr:rowOff>198120</xdr:rowOff>
    </xdr:to>
    <xdr:sp macro="" textlink="">
      <xdr:nvSpPr>
        <xdr:cNvPr id="31" name="Corchetes 30">
          <a:extLst>
            <a:ext uri="{FF2B5EF4-FFF2-40B4-BE49-F238E27FC236}">
              <a16:creationId xmlns:a16="http://schemas.microsoft.com/office/drawing/2014/main" id="{5689154A-B56B-4E90-8DA7-2792849079A9}"/>
            </a:ext>
          </a:extLst>
        </xdr:cNvPr>
        <xdr:cNvSpPr/>
      </xdr:nvSpPr>
      <xdr:spPr>
        <a:xfrm>
          <a:off x="5059680" y="9906000"/>
          <a:ext cx="861060" cy="19812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5</xdr:col>
      <xdr:colOff>53340</xdr:colOff>
      <xdr:row>46</xdr:row>
      <xdr:rowOff>22860</xdr:rowOff>
    </xdr:from>
    <xdr:to>
      <xdr:col>8</xdr:col>
      <xdr:colOff>45720</xdr:colOff>
      <xdr:row>47</xdr:row>
      <xdr:rowOff>45720</xdr:rowOff>
    </xdr:to>
    <xdr:sp macro="" textlink="">
      <xdr:nvSpPr>
        <xdr:cNvPr id="32" name="Corchetes 31">
          <a:extLst>
            <a:ext uri="{FF2B5EF4-FFF2-40B4-BE49-F238E27FC236}">
              <a16:creationId xmlns:a16="http://schemas.microsoft.com/office/drawing/2014/main" id="{6E3A6C27-A208-479D-A3E8-1E9BDEB8B2CF}"/>
            </a:ext>
          </a:extLst>
        </xdr:cNvPr>
        <xdr:cNvSpPr/>
      </xdr:nvSpPr>
      <xdr:spPr>
        <a:xfrm>
          <a:off x="3703320" y="10119360"/>
          <a:ext cx="2400300" cy="220980"/>
        </a:xfrm>
        <a:prstGeom prst="bracketPair">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426720</xdr:colOff>
      <xdr:row>49</xdr:row>
      <xdr:rowOff>144780</xdr:rowOff>
    </xdr:from>
    <xdr:to>
      <xdr:col>6</xdr:col>
      <xdr:colOff>45720</xdr:colOff>
      <xdr:row>52</xdr:row>
      <xdr:rowOff>30480</xdr:rowOff>
    </xdr:to>
    <xdr:cxnSp macro="">
      <xdr:nvCxnSpPr>
        <xdr:cNvPr id="42" name="Conector recto 41">
          <a:extLst>
            <a:ext uri="{FF2B5EF4-FFF2-40B4-BE49-F238E27FC236}">
              <a16:creationId xmlns:a16="http://schemas.microsoft.com/office/drawing/2014/main" id="{B2B4973D-C4D1-CF58-52C0-16058F790113}"/>
            </a:ext>
          </a:extLst>
        </xdr:cNvPr>
        <xdr:cNvCxnSpPr/>
      </xdr:nvCxnSpPr>
      <xdr:spPr>
        <a:xfrm flipV="1">
          <a:off x="1996440" y="10835640"/>
          <a:ext cx="2758440" cy="48006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head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716280</xdr:colOff>
      <xdr:row>50</xdr:row>
      <xdr:rowOff>45720</xdr:rowOff>
    </xdr:from>
    <xdr:to>
      <xdr:col>7</xdr:col>
      <xdr:colOff>213360</xdr:colOff>
      <xdr:row>51</xdr:row>
      <xdr:rowOff>182880</xdr:rowOff>
    </xdr:to>
    <xdr:cxnSp macro="">
      <xdr:nvCxnSpPr>
        <xdr:cNvPr id="48" name="Conector recto 47">
          <a:extLst>
            <a:ext uri="{FF2B5EF4-FFF2-40B4-BE49-F238E27FC236}">
              <a16:creationId xmlns:a16="http://schemas.microsoft.com/office/drawing/2014/main" id="{F1123D94-57C8-4E2B-BA8A-FB02216F2879}"/>
            </a:ext>
          </a:extLst>
        </xdr:cNvPr>
        <xdr:cNvCxnSpPr/>
      </xdr:nvCxnSpPr>
      <xdr:spPr>
        <a:xfrm flipV="1">
          <a:off x="3070860" y="10934700"/>
          <a:ext cx="2202180" cy="33528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head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769620</xdr:colOff>
      <xdr:row>54</xdr:row>
      <xdr:rowOff>182880</xdr:rowOff>
    </xdr:from>
    <xdr:to>
      <xdr:col>14</xdr:col>
      <xdr:colOff>15240</xdr:colOff>
      <xdr:row>56</xdr:row>
      <xdr:rowOff>30480</xdr:rowOff>
    </xdr:to>
    <xdr:sp macro="" textlink="">
      <xdr:nvSpPr>
        <xdr:cNvPr id="51" name="Corchetes 50">
          <a:extLst>
            <a:ext uri="{FF2B5EF4-FFF2-40B4-BE49-F238E27FC236}">
              <a16:creationId xmlns:a16="http://schemas.microsoft.com/office/drawing/2014/main" id="{950EC134-099B-4BA8-8ECB-BCE488382904}"/>
            </a:ext>
          </a:extLst>
        </xdr:cNvPr>
        <xdr:cNvSpPr/>
      </xdr:nvSpPr>
      <xdr:spPr>
        <a:xfrm>
          <a:off x="2339340" y="9364980"/>
          <a:ext cx="2385060" cy="304800"/>
        </a:xfrm>
        <a:prstGeom prst="bracketPair">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9</xdr:col>
      <xdr:colOff>670560</xdr:colOff>
      <xdr:row>53</xdr:row>
      <xdr:rowOff>76200</xdr:rowOff>
    </xdr:from>
    <xdr:to>
      <xdr:col>11</xdr:col>
      <xdr:colOff>723900</xdr:colOff>
      <xdr:row>54</xdr:row>
      <xdr:rowOff>144780</xdr:rowOff>
    </xdr:to>
    <xdr:sp macro="" textlink="">
      <xdr:nvSpPr>
        <xdr:cNvPr id="62" name="Flecha: en U 61">
          <a:extLst>
            <a:ext uri="{FF2B5EF4-FFF2-40B4-BE49-F238E27FC236}">
              <a16:creationId xmlns:a16="http://schemas.microsoft.com/office/drawing/2014/main" id="{422C4384-6CEF-4F1B-8B70-F38C47B54F68}"/>
            </a:ext>
          </a:extLst>
        </xdr:cNvPr>
        <xdr:cNvSpPr/>
      </xdr:nvSpPr>
      <xdr:spPr>
        <a:xfrm>
          <a:off x="7162800" y="11559540"/>
          <a:ext cx="1562100" cy="266700"/>
        </a:xfrm>
        <a:prstGeom prst="uturnArrow">
          <a:avLst>
            <a:gd name="adj1" fmla="val 25000"/>
            <a:gd name="adj2" fmla="val 25000"/>
            <a:gd name="adj3" fmla="val 25000"/>
            <a:gd name="adj4" fmla="val 43750"/>
            <a:gd name="adj5" fmla="val 10000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s-CR" sz="1100">
            <a:solidFill>
              <a:schemeClr val="tx1"/>
            </a:solidFill>
          </a:endParaRPr>
        </a:p>
      </xdr:txBody>
    </xdr:sp>
    <xdr:clientData/>
  </xdr:twoCellAnchor>
  <xdr:twoCellAnchor>
    <xdr:from>
      <xdr:col>9</xdr:col>
      <xdr:colOff>708660</xdr:colOff>
      <xdr:row>56</xdr:row>
      <xdr:rowOff>68580</xdr:rowOff>
    </xdr:from>
    <xdr:to>
      <xdr:col>13</xdr:col>
      <xdr:colOff>312420</xdr:colOff>
      <xdr:row>57</xdr:row>
      <xdr:rowOff>182880</xdr:rowOff>
    </xdr:to>
    <xdr:sp macro="" textlink="">
      <xdr:nvSpPr>
        <xdr:cNvPr id="63" name="Flecha: curvada hacia arriba 62">
          <a:extLst>
            <a:ext uri="{FF2B5EF4-FFF2-40B4-BE49-F238E27FC236}">
              <a16:creationId xmlns:a16="http://schemas.microsoft.com/office/drawing/2014/main" id="{0303EA44-40D6-4D12-8CEE-DE5AE40AAACC}"/>
            </a:ext>
          </a:extLst>
        </xdr:cNvPr>
        <xdr:cNvSpPr/>
      </xdr:nvSpPr>
      <xdr:spPr>
        <a:xfrm>
          <a:off x="7200900" y="12146280"/>
          <a:ext cx="2750820" cy="312420"/>
        </a:xfrm>
        <a:prstGeom prst="curvedUp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s-CR" sz="1100">
            <a:solidFill>
              <a:schemeClr val="tx1"/>
            </a:solidFill>
          </a:endParaRPr>
        </a:p>
      </xdr:txBody>
    </xdr:sp>
    <xdr:clientData/>
  </xdr:twoCellAnchor>
  <xdr:twoCellAnchor>
    <xdr:from>
      <xdr:col>11</xdr:col>
      <xdr:colOff>38100</xdr:colOff>
      <xdr:row>57</xdr:row>
      <xdr:rowOff>190500</xdr:rowOff>
    </xdr:from>
    <xdr:to>
      <xdr:col>14</xdr:col>
      <xdr:colOff>53340</xdr:colOff>
      <xdr:row>59</xdr:row>
      <xdr:rowOff>38100</xdr:rowOff>
    </xdr:to>
    <xdr:sp macro="" textlink="">
      <xdr:nvSpPr>
        <xdr:cNvPr id="65" name="Corchetes 64">
          <a:extLst>
            <a:ext uri="{FF2B5EF4-FFF2-40B4-BE49-F238E27FC236}">
              <a16:creationId xmlns:a16="http://schemas.microsoft.com/office/drawing/2014/main" id="{878B3F03-F9E5-4B6F-B51D-4E13DC8FEBA3}"/>
            </a:ext>
          </a:extLst>
        </xdr:cNvPr>
        <xdr:cNvSpPr/>
      </xdr:nvSpPr>
      <xdr:spPr>
        <a:xfrm>
          <a:off x="8039100" y="12466320"/>
          <a:ext cx="2621280" cy="243840"/>
        </a:xfrm>
        <a:prstGeom prst="bracketPair">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9</xdr:col>
      <xdr:colOff>0</xdr:colOff>
      <xdr:row>55</xdr:row>
      <xdr:rowOff>30480</xdr:rowOff>
    </xdr:from>
    <xdr:to>
      <xdr:col>9</xdr:col>
      <xdr:colOff>937260</xdr:colOff>
      <xdr:row>56</xdr:row>
      <xdr:rowOff>45720</xdr:rowOff>
    </xdr:to>
    <xdr:sp macro="" textlink="">
      <xdr:nvSpPr>
        <xdr:cNvPr id="66" name="Corchetes 65">
          <a:extLst>
            <a:ext uri="{FF2B5EF4-FFF2-40B4-BE49-F238E27FC236}">
              <a16:creationId xmlns:a16="http://schemas.microsoft.com/office/drawing/2014/main" id="{F65B15D7-C64A-43FE-A35A-4BF7C6047CD7}"/>
            </a:ext>
          </a:extLst>
        </xdr:cNvPr>
        <xdr:cNvSpPr/>
      </xdr:nvSpPr>
      <xdr:spPr>
        <a:xfrm>
          <a:off x="6492240" y="11910060"/>
          <a:ext cx="937260" cy="213360"/>
        </a:xfrm>
        <a:prstGeom prst="bracketPair">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7</xdr:col>
      <xdr:colOff>840521</xdr:colOff>
      <xdr:row>48</xdr:row>
      <xdr:rowOff>179280</xdr:rowOff>
    </xdr:from>
    <xdr:to>
      <xdr:col>11</xdr:col>
      <xdr:colOff>419201</xdr:colOff>
      <xdr:row>48</xdr:row>
      <xdr:rowOff>179280</xdr:rowOff>
    </xdr:to>
    <xdr:cxnSp macro="">
      <xdr:nvCxnSpPr>
        <xdr:cNvPr id="70" name="Conector recto 69">
          <a:extLst>
            <a:ext uri="{FF2B5EF4-FFF2-40B4-BE49-F238E27FC236}">
              <a16:creationId xmlns:a16="http://schemas.microsoft.com/office/drawing/2014/main" id="{E4D8CDEF-B3BC-1484-B04E-A2B1FC2BFB0B}"/>
            </a:ext>
          </a:extLst>
        </xdr:cNvPr>
        <xdr:cNvCxnSpPr/>
      </xdr:nvCxnSpPr>
      <xdr:spPr>
        <a:xfrm rot="2244599">
          <a:off x="5900201" y="10672020"/>
          <a:ext cx="2520000" cy="0"/>
        </a:xfrm>
        <a:prstGeom prst="line">
          <a:avLst/>
        </a:prstGeom>
        <a:gradFill>
          <a:gsLst>
            <a:gs pos="1000">
              <a:srgbClr val="489CD1">
                <a:alpha val="5000"/>
              </a:srgbClr>
            </a:gs>
            <a:gs pos="25000">
              <a:srgbClr val="A9D7B2">
                <a:alpha val="5000"/>
              </a:srgbClr>
            </a:gs>
            <a:gs pos="50000">
              <a:srgbClr val="B92B65">
                <a:alpha val="5000"/>
              </a:srgbClr>
            </a:gs>
            <a:gs pos="76000">
              <a:srgbClr val="9B2486">
                <a:alpha val="5000"/>
              </a:srgbClr>
            </a:gs>
            <a:gs pos="100000">
              <a:srgbClr val="244F85">
                <a:alpha val="5000"/>
              </a:srgbClr>
            </a:gs>
          </a:gsLst>
        </a:gradFill>
        <a:ln w="36000">
          <a:gradFill>
            <a:gsLst>
              <a:gs pos="1000">
                <a:srgbClr val="489CD1"/>
              </a:gs>
              <a:gs pos="25000">
                <a:srgbClr val="A9D7B2"/>
              </a:gs>
              <a:gs pos="50000">
                <a:srgbClr val="B92B65"/>
              </a:gs>
              <a:gs pos="76000">
                <a:srgbClr val="9B2486"/>
              </a:gs>
              <a:gs pos="100000">
                <a:srgbClr val="244F85"/>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579120</xdr:colOff>
      <xdr:row>45</xdr:row>
      <xdr:rowOff>57150</xdr:rowOff>
    </xdr:from>
    <xdr:ext cx="1470660" cy="845296"/>
    <mc:AlternateContent xmlns:mc="http://schemas.openxmlformats.org/markup-compatibility/2006">
      <mc:Choice xmlns:a14="http://schemas.microsoft.com/office/drawing/2010/main" Requires="a14">
        <xdr:sp macro="" textlink="">
          <xdr:nvSpPr>
            <xdr:cNvPr id="73" name="CuadroTexto 72">
              <a:extLst>
                <a:ext uri="{FF2B5EF4-FFF2-40B4-BE49-F238E27FC236}">
                  <a16:creationId xmlns:a16="http://schemas.microsoft.com/office/drawing/2014/main" id="{67811508-F999-F380-FB67-FC78DEE06AAF}"/>
                </a:ext>
              </a:extLst>
            </xdr:cNvPr>
            <xdr:cNvSpPr txBox="1"/>
          </xdr:nvSpPr>
          <xdr:spPr>
            <a:xfrm>
              <a:off x="8580120" y="9955530"/>
              <a:ext cx="1470660" cy="845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d>
                      <m:dPr>
                        <m:begChr m:val="|"/>
                        <m:endChr m:val="|"/>
                        <m:ctrlPr>
                          <a:rPr lang="es-CR" sz="5400">
                            <a:latin typeface="Cambria Math" panose="02040503050406030204" pitchFamily="18" charset="0"/>
                          </a:rPr>
                        </m:ctrlPr>
                      </m:dPr>
                      <m:e>
                        <m:r>
                          <a:rPr lang="es-CR" sz="5400">
                            <a:latin typeface="Cambria Math" panose="02040503050406030204" pitchFamily="18" charset="0"/>
                          </a:rPr>
                          <m:t>−</m:t>
                        </m:r>
                        <m:r>
                          <a:rPr lang="es-CR" sz="5400" i="0">
                            <a:latin typeface="Cambria Math" panose="02040503050406030204" pitchFamily="18" charset="0"/>
                          </a:rPr>
                          <m:t>2</m:t>
                        </m:r>
                      </m:e>
                    </m:d>
                  </m:oMath>
                </m:oMathPara>
              </a14:m>
              <a:endParaRPr lang="es-CR" sz="1100"/>
            </a:p>
          </xdr:txBody>
        </xdr:sp>
      </mc:Choice>
      <mc:Fallback>
        <xdr:sp macro="" textlink="">
          <xdr:nvSpPr>
            <xdr:cNvPr id="73" name="CuadroTexto 72">
              <a:extLst>
                <a:ext uri="{FF2B5EF4-FFF2-40B4-BE49-F238E27FC236}">
                  <a16:creationId xmlns:a16="http://schemas.microsoft.com/office/drawing/2014/main" id="{67811508-F999-F380-FB67-FC78DEE06AAF}"/>
                </a:ext>
              </a:extLst>
            </xdr:cNvPr>
            <xdr:cNvSpPr txBox="1"/>
          </xdr:nvSpPr>
          <xdr:spPr>
            <a:xfrm>
              <a:off x="8580120" y="9955530"/>
              <a:ext cx="1470660" cy="845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R" sz="5400" i="0">
                  <a:latin typeface="Cambria Math" panose="02040503050406030204" pitchFamily="18" charset="0"/>
                </a:rPr>
                <a:t>|−2|</a:t>
              </a:r>
              <a:endParaRPr lang="es-CR" sz="1100"/>
            </a:p>
          </xdr:txBody>
        </xdr:sp>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3T01:32:46.931"/>
    </inkml:context>
    <inkml:brush xml:id="br0">
      <inkml:brushProperty name="width" value="0.1" units="cm"/>
      <inkml:brushProperty name="height" value="0.1" units="cm"/>
      <inkml:brushProperty name="color" value="#008C3A"/>
    </inkml:brush>
  </inkml:definitions>
  <inkml:trace contextRef="#ctx0" brushRef="#br0">58 0 24575,'0'2'0,"1"-1"0,-1 0 0,1 1 0,0-1 0,-1 0 0,1 0 0,0 0 0,0 1 0,0-1 0,0 0 0,0 0 0,0 0 0,0-1 0,3 3 0,10 10 0,80 133 0,-91-142 0,0 1 0,0 0 0,-1 0 0,0 0 0,0 0 0,0 0 0,-1 0 0,0 1 0,0-1 0,1 10 0,-3-10 0,1-1 0,-1 1 0,0-1 0,0 1 0,-1-1 0,0 0 0,1 1 0,-1-1 0,-1 0 0,1 0 0,0 0 0,-7 6 0,-7 9 17,-36 31 0,40-40-172,1 0-1,0 0 1,1 1-1,0 1 1,1-1-1,0 2 1,0-1-1,-8 20 1,8-10-6671</inkml:trace>
</inkml:ink>
</file>

<file path=xl/persons/person.xml><?xml version="1.0" encoding="utf-8"?>
<personList xmlns="http://schemas.microsoft.com/office/spreadsheetml/2018/threadedcomments" xmlns:x="http://schemas.openxmlformats.org/spreadsheetml/2006/main">
  <person displayName="MORALES ESPINOZA FERNANDA VALENTINA" id="{2A7036B7-915B-4C43-8DC5-B39993F9F16B}" userId="S::fernanda.morales0100@uhispano.ac.cr::ec3cedbd-9f1f-46f5-aaa3-8609e9c4c948"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42" dT="2025-11-13T01:22:12.57" personId="{2A7036B7-915B-4C43-8DC5-B39993F9F16B}" id="{41433A2C-EF4E-4EEB-8F2C-3B51BD1DF9E0}">
    <text>Queda en cero, porque esto se usa para las accione preferentes</text>
  </threadedComment>
</ThreadedComments>
</file>

<file path=xl/threadedComments/threadedComment2.xml><?xml version="1.0" encoding="utf-8"?>
<ThreadedComments xmlns="http://schemas.microsoft.com/office/spreadsheetml/2018/threadedcomments" xmlns:x="http://schemas.openxmlformats.org/spreadsheetml/2006/main">
  <threadedComment ref="L44" dT="2025-11-13T01:22:12.57" personId="{2A7036B7-915B-4C43-8DC5-B39993F9F16B}" id="{19FB27B4-001C-403D-91A0-5EC9A3719F46}">
    <text>Queda en cero, porque esto se usa para las accione preferentes</text>
  </threadedComment>
</ThreadedComments>
</file>

<file path=xl/threadedComments/threadedComment3.xml><?xml version="1.0" encoding="utf-8"?>
<ThreadedComments xmlns="http://schemas.microsoft.com/office/spreadsheetml/2018/threadedcomments" xmlns:x="http://schemas.openxmlformats.org/spreadsheetml/2006/main">
  <threadedComment ref="L48" dT="2025-11-13T01:22:12.57" personId="{2A7036B7-915B-4C43-8DC5-B39993F9F16B}" id="{629E365A-C459-4D60-811D-9E4DA848AA21}">
    <text>Queda en cero, porque esto se usa para las accione preferentes</text>
  </threadedComment>
</ThreadedComments>
</file>

<file path=xl/threadedComments/threadedComment4.xml><?xml version="1.0" encoding="utf-8"?>
<ThreadedComments xmlns="http://schemas.microsoft.com/office/spreadsheetml/2018/threadedcomments" xmlns:x="http://schemas.openxmlformats.org/spreadsheetml/2006/main">
  <threadedComment ref="F44" dT="2026-03-18T15:37:27.08" personId="{2A7036B7-915B-4C43-8DC5-B39993F9F16B}" id="{BA7B55AA-71C4-4867-98B9-99D440AA5443}">
    <text>En este caso es 0 porque a las acciones, NO se le calcula interéses</text>
  </threadedComment>
  <threadedComment ref="L44" dT="2026-03-18T15:38:05.63" personId="{2A7036B7-915B-4C43-8DC5-B39993F9F16B}" id="{AA0BE94E-B364-46EF-BEBA-D95505E43501}">
    <text>Recuerden que NO se cálculo el pago de dividendo porque eso es para ACCIONES PREFERENTES</text>
  </threadedComment>
</ThreadedComments>
</file>

<file path=xl/threadedComments/threadedComment5.xml><?xml version="1.0" encoding="utf-8"?>
<ThreadedComments xmlns="http://schemas.microsoft.com/office/spreadsheetml/2018/threadedcomments" xmlns:x="http://schemas.openxmlformats.org/spreadsheetml/2006/main">
  <threadedComment ref="L45" dT="2026-03-18T15:38:05.63" personId="{2A7036B7-915B-4C43-8DC5-B39993F9F16B}" id="{C105EAEE-5933-4164-AD85-574BDB1EF399}">
    <text>Recuerden que NO se cálculo el pago de dividendo porque eso es para ACCIONES PREFERENTES</text>
  </threadedComment>
</ThreadedComments>
</file>

<file path=xl/threadedComments/threadedComment6.xml><?xml version="1.0" encoding="utf-8"?>
<ThreadedComments xmlns="http://schemas.microsoft.com/office/spreadsheetml/2018/threadedcomments" xmlns:x="http://schemas.openxmlformats.org/spreadsheetml/2006/main">
  <threadedComment ref="H50" dT="2026-03-18T16:37:56.97" personId="{2A7036B7-915B-4C43-8DC5-B39993F9F16B}" id="{50842634-A0CC-4019-B17F-799B097B33A6}">
    <text>Cuando se pasa al otro lado, pasa a positivo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2.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57"/>
  <sheetViews>
    <sheetView topLeftCell="A14" zoomScaleNormal="100" workbookViewId="0">
      <selection activeCell="J28" sqref="J28"/>
    </sheetView>
  </sheetViews>
  <sheetFormatPr baseColWidth="10" defaultColWidth="11.44140625" defaultRowHeight="15.6" x14ac:dyDescent="0.3"/>
  <cols>
    <col min="1" max="1" width="11.44140625" style="19"/>
    <col min="2" max="2" width="15.109375" style="19" customWidth="1"/>
    <col min="3" max="3" width="14.33203125" style="19" customWidth="1"/>
    <col min="4" max="4" width="16.33203125" style="20" customWidth="1"/>
    <col min="5" max="5" width="11.44140625" style="20"/>
    <col min="6" max="6" width="13.44140625" style="20" customWidth="1"/>
    <col min="7" max="7" width="11.44140625" style="20"/>
    <col min="8" max="8" width="11.5546875" style="20" bestFit="1" customWidth="1"/>
    <col min="9" max="9" width="11.44140625" style="20"/>
    <col min="10" max="10" width="16.109375" style="20" bestFit="1" customWidth="1"/>
    <col min="11" max="11" width="6.6640625" style="20" customWidth="1"/>
    <col min="12" max="12" width="11.5546875" style="20" bestFit="1" customWidth="1"/>
    <col min="13" max="14" width="11.44140625" style="19"/>
    <col min="15" max="15" width="13.44140625" style="19" bestFit="1" customWidth="1"/>
    <col min="16" max="16384" width="11.44140625" style="19"/>
  </cols>
  <sheetData>
    <row r="3" spans="1:10" ht="28.5" customHeight="1" x14ac:dyDescent="0.3">
      <c r="A3" s="114" t="s">
        <v>24</v>
      </c>
      <c r="B3" s="114"/>
      <c r="C3" s="114"/>
      <c r="D3" s="114"/>
      <c r="E3" s="114"/>
      <c r="F3" s="114"/>
      <c r="G3" s="114"/>
      <c r="H3" s="114"/>
      <c r="I3" s="114"/>
      <c r="J3" s="114"/>
    </row>
    <row r="4" spans="1:10" ht="18" customHeight="1" x14ac:dyDescent="0.3">
      <c r="A4" s="21"/>
      <c r="B4" s="21"/>
      <c r="C4" s="21"/>
      <c r="D4" s="21"/>
      <c r="E4" s="21"/>
      <c r="F4" s="21"/>
      <c r="G4" s="21"/>
      <c r="H4" s="21"/>
      <c r="I4" s="21"/>
      <c r="J4" s="21"/>
    </row>
    <row r="5" spans="1:10" ht="20.399999999999999" x14ac:dyDescent="0.35">
      <c r="B5" s="116" t="s">
        <v>25</v>
      </c>
      <c r="C5" s="116"/>
      <c r="D5" s="116"/>
      <c r="E5" s="116"/>
      <c r="F5" s="116"/>
    </row>
    <row r="22" spans="1:17" ht="16.2" thickBot="1" x14ac:dyDescent="0.35"/>
    <row r="23" spans="1:17" ht="16.2" thickBot="1" x14ac:dyDescent="0.35">
      <c r="H23" s="68" t="s">
        <v>52</v>
      </c>
      <c r="I23" s="69"/>
      <c r="J23" s="70">
        <v>5000000</v>
      </c>
    </row>
    <row r="24" spans="1:17" x14ac:dyDescent="0.3">
      <c r="H24" s="71" t="s">
        <v>4</v>
      </c>
      <c r="I24" s="19"/>
      <c r="J24" s="97">
        <v>2700000</v>
      </c>
      <c r="K24" s="19"/>
      <c r="L24" s="119" t="s">
        <v>53</v>
      </c>
      <c r="M24" s="120"/>
      <c r="N24" s="120"/>
      <c r="O24" s="120"/>
      <c r="P24" s="120"/>
      <c r="Q24" s="63" t="s">
        <v>4</v>
      </c>
    </row>
    <row r="25" spans="1:17" x14ac:dyDescent="0.3">
      <c r="H25" s="72" t="s">
        <v>5</v>
      </c>
      <c r="I25" s="73"/>
      <c r="J25" s="74">
        <v>0</v>
      </c>
      <c r="K25" s="19"/>
      <c r="L25" s="121" t="s">
        <v>60</v>
      </c>
      <c r="M25" s="122"/>
      <c r="N25" s="122"/>
      <c r="O25" s="122"/>
      <c r="P25" s="122"/>
      <c r="Q25" s="64" t="s">
        <v>5</v>
      </c>
    </row>
    <row r="26" spans="1:17" x14ac:dyDescent="0.3">
      <c r="H26" s="71" t="s">
        <v>12</v>
      </c>
      <c r="I26" s="19"/>
      <c r="J26" s="75">
        <v>0.4</v>
      </c>
      <c r="K26" s="19"/>
      <c r="L26" s="121" t="s">
        <v>54</v>
      </c>
      <c r="M26" s="122"/>
      <c r="N26" s="122"/>
      <c r="O26" s="122"/>
      <c r="P26" s="122"/>
      <c r="Q26" s="65" t="s">
        <v>12</v>
      </c>
    </row>
    <row r="27" spans="1:17" x14ac:dyDescent="0.3">
      <c r="C27" s="23"/>
      <c r="H27" s="76" t="s">
        <v>6</v>
      </c>
      <c r="I27" s="77"/>
      <c r="J27" s="78">
        <v>0</v>
      </c>
      <c r="L27" s="121" t="s">
        <v>59</v>
      </c>
      <c r="M27" s="122"/>
      <c r="N27" s="122"/>
      <c r="O27" s="122"/>
      <c r="P27" s="122"/>
      <c r="Q27" s="66" t="s">
        <v>6</v>
      </c>
    </row>
    <row r="28" spans="1:17" ht="16.2" thickBot="1" x14ac:dyDescent="0.35">
      <c r="H28" s="79" t="s">
        <v>10</v>
      </c>
      <c r="I28" s="80"/>
      <c r="J28" s="81">
        <f>+O31+O33</f>
        <v>300000</v>
      </c>
      <c r="L28" s="123" t="s">
        <v>31</v>
      </c>
      <c r="M28" s="124"/>
      <c r="N28" s="124"/>
      <c r="O28" s="124"/>
      <c r="P28" s="124"/>
      <c r="Q28" s="67" t="s">
        <v>10</v>
      </c>
    </row>
    <row r="29" spans="1:17" ht="15.75" customHeight="1" x14ac:dyDescent="0.3">
      <c r="H29" s="125" t="s">
        <v>65</v>
      </c>
      <c r="I29" s="126"/>
      <c r="J29" s="127"/>
    </row>
    <row r="30" spans="1:17" ht="16.2" thickBot="1" x14ac:dyDescent="0.35">
      <c r="H30" s="125"/>
      <c r="I30" s="126"/>
      <c r="J30" s="127"/>
      <c r="L30" s="131" t="s">
        <v>58</v>
      </c>
      <c r="M30" s="131"/>
      <c r="N30" s="131"/>
      <c r="O30" s="131"/>
    </row>
    <row r="31" spans="1:17" ht="16.2" thickBot="1" x14ac:dyDescent="0.35">
      <c r="H31" s="125"/>
      <c r="I31" s="126"/>
      <c r="J31" s="127"/>
      <c r="L31" s="54" t="s">
        <v>55</v>
      </c>
      <c r="M31" s="55"/>
      <c r="N31" s="55"/>
      <c r="O31" s="56">
        <v>200000</v>
      </c>
    </row>
    <row r="32" spans="1:17" x14ac:dyDescent="0.3">
      <c r="A32" s="110" t="s">
        <v>29</v>
      </c>
      <c r="B32" s="111"/>
      <c r="C32" s="30"/>
      <c r="D32" s="31"/>
      <c r="E32" s="31"/>
      <c r="F32" s="31"/>
      <c r="G32" s="32"/>
      <c r="H32" s="125"/>
      <c r="I32" s="126"/>
      <c r="J32" s="127"/>
      <c r="L32" s="57" t="s">
        <v>56</v>
      </c>
      <c r="M32" s="58"/>
      <c r="N32" s="58"/>
      <c r="O32" s="59">
        <v>50</v>
      </c>
    </row>
    <row r="33" spans="1:15" ht="16.2" thickBot="1" x14ac:dyDescent="0.35">
      <c r="A33" s="33"/>
      <c r="B33" s="132" t="s">
        <v>33</v>
      </c>
      <c r="C33" s="132"/>
      <c r="D33" s="132"/>
      <c r="E33" s="132"/>
      <c r="F33" s="132"/>
      <c r="G33" s="133"/>
      <c r="H33" s="128"/>
      <c r="I33" s="129"/>
      <c r="J33" s="130"/>
      <c r="L33" s="60" t="s">
        <v>57</v>
      </c>
      <c r="M33" s="61"/>
      <c r="N33" s="61"/>
      <c r="O33" s="62">
        <v>100000</v>
      </c>
    </row>
    <row r="34" spans="1:15" x14ac:dyDescent="0.3">
      <c r="A34" s="33"/>
      <c r="B34" s="132"/>
      <c r="C34" s="132"/>
      <c r="D34" s="132"/>
      <c r="E34" s="132"/>
      <c r="F34" s="132"/>
      <c r="G34" s="133"/>
      <c r="H34" s="25"/>
      <c r="I34" s="25"/>
      <c r="J34" s="25"/>
    </row>
    <row r="35" spans="1:15" ht="16.2" thickBot="1" x14ac:dyDescent="0.35">
      <c r="A35" s="34"/>
      <c r="B35" s="35"/>
      <c r="C35" s="35"/>
      <c r="D35" s="36"/>
      <c r="E35" s="36"/>
      <c r="F35" s="36"/>
      <c r="G35" s="37"/>
      <c r="H35" s="26"/>
      <c r="I35" s="26"/>
      <c r="J35" s="26"/>
    </row>
    <row r="36" spans="1:15" x14ac:dyDescent="0.3">
      <c r="A36" s="38"/>
      <c r="B36" s="38"/>
      <c r="C36" s="38"/>
      <c r="D36" s="39"/>
      <c r="E36" s="39"/>
      <c r="F36" s="39"/>
      <c r="G36" s="39"/>
      <c r="H36" s="26"/>
      <c r="I36" s="26"/>
      <c r="J36" s="26"/>
    </row>
    <row r="37" spans="1:15" x14ac:dyDescent="0.3">
      <c r="A37" s="22" t="s">
        <v>11</v>
      </c>
      <c r="B37" s="22"/>
      <c r="C37" s="22" t="s">
        <v>3</v>
      </c>
      <c r="D37" s="24"/>
    </row>
    <row r="38" spans="1:15" x14ac:dyDescent="0.3">
      <c r="A38" s="22"/>
      <c r="B38" s="22"/>
      <c r="C38" s="22"/>
      <c r="D38" s="82"/>
      <c r="E38" s="53"/>
      <c r="F38" s="53"/>
      <c r="G38" s="53"/>
      <c r="H38" s="53"/>
      <c r="I38" s="53"/>
      <c r="J38" s="53"/>
      <c r="K38" s="53"/>
      <c r="L38" s="53"/>
    </row>
    <row r="39" spans="1:15" ht="20.399999999999999" x14ac:dyDescent="0.35">
      <c r="C39" s="19" t="s">
        <v>0</v>
      </c>
      <c r="D39" s="85" t="s">
        <v>4</v>
      </c>
      <c r="E39" s="83" t="s">
        <v>1</v>
      </c>
      <c r="F39" s="45" t="s">
        <v>5</v>
      </c>
      <c r="G39" s="83" t="s">
        <v>16</v>
      </c>
      <c r="H39" s="92">
        <v>1</v>
      </c>
      <c r="I39" s="92" t="s">
        <v>1</v>
      </c>
      <c r="J39" s="93" t="s">
        <v>61</v>
      </c>
      <c r="K39" s="94" t="s">
        <v>1</v>
      </c>
      <c r="L39" s="84" t="s">
        <v>6</v>
      </c>
    </row>
    <row r="40" spans="1:15" x14ac:dyDescent="0.3">
      <c r="D40" s="109" t="s">
        <v>10</v>
      </c>
      <c r="E40" s="109"/>
      <c r="F40" s="109"/>
      <c r="G40" s="109"/>
      <c r="H40" s="109"/>
      <c r="I40" s="109"/>
      <c r="J40" s="109"/>
      <c r="K40" s="109"/>
      <c r="L40" s="109"/>
    </row>
    <row r="41" spans="1:15" x14ac:dyDescent="0.3">
      <c r="A41" s="22"/>
      <c r="B41" s="22"/>
      <c r="C41" s="22"/>
      <c r="D41" s="24"/>
    </row>
    <row r="42" spans="1:15" ht="20.399999999999999" x14ac:dyDescent="0.35">
      <c r="C42" s="19" t="s">
        <v>0</v>
      </c>
      <c r="D42" s="86">
        <f>+J24</f>
        <v>2700000</v>
      </c>
      <c r="E42" s="87" t="s">
        <v>1</v>
      </c>
      <c r="F42" s="88">
        <f>+J25</f>
        <v>0</v>
      </c>
      <c r="G42" s="20" t="s">
        <v>16</v>
      </c>
      <c r="H42" s="87">
        <v>1</v>
      </c>
      <c r="I42" s="87" t="s">
        <v>1</v>
      </c>
      <c r="J42" s="52">
        <v>0.4</v>
      </c>
      <c r="K42" s="95" t="s">
        <v>1</v>
      </c>
      <c r="L42" s="89">
        <f>+J27</f>
        <v>0</v>
      </c>
    </row>
    <row r="43" spans="1:15" x14ac:dyDescent="0.3">
      <c r="D43" s="109">
        <f>+J28</f>
        <v>300000</v>
      </c>
      <c r="E43" s="109"/>
      <c r="F43" s="109"/>
      <c r="G43" s="109"/>
      <c r="H43" s="109"/>
      <c r="I43" s="109"/>
      <c r="J43" s="109"/>
      <c r="K43" s="109"/>
      <c r="L43" s="109"/>
    </row>
    <row r="44" spans="1:15" x14ac:dyDescent="0.3">
      <c r="D44" s="46"/>
      <c r="E44" s="46"/>
      <c r="F44" s="46"/>
      <c r="G44" s="46"/>
      <c r="H44" s="46"/>
      <c r="I44" s="46"/>
      <c r="J44" s="46"/>
      <c r="K44" s="46"/>
      <c r="L44" s="53"/>
    </row>
    <row r="45" spans="1:15" ht="20.399999999999999" x14ac:dyDescent="0.35">
      <c r="C45" s="19" t="s">
        <v>0</v>
      </c>
      <c r="D45" s="90">
        <f>+D42-F42</f>
        <v>2700000</v>
      </c>
      <c r="E45" s="47" t="s">
        <v>16</v>
      </c>
      <c r="F45" s="47">
        <f>+H42-J42</f>
        <v>0.6</v>
      </c>
      <c r="G45" s="95" t="s">
        <v>1</v>
      </c>
      <c r="H45" s="96">
        <f>+L42</f>
        <v>0</v>
      </c>
      <c r="I45" s="46"/>
      <c r="J45" s="46"/>
      <c r="K45" s="46"/>
      <c r="L45" s="53"/>
    </row>
    <row r="46" spans="1:15" x14ac:dyDescent="0.3">
      <c r="D46" s="115">
        <f>+D43</f>
        <v>300000</v>
      </c>
      <c r="E46" s="115"/>
      <c r="F46" s="115"/>
      <c r="G46" s="115"/>
      <c r="H46" s="115"/>
      <c r="I46" s="53"/>
      <c r="J46" s="53"/>
      <c r="K46" s="53"/>
      <c r="L46" s="53"/>
    </row>
    <row r="47" spans="1:15" x14ac:dyDescent="0.3">
      <c r="D47" s="53"/>
      <c r="E47" s="53"/>
      <c r="F47" s="53"/>
      <c r="G47" s="53"/>
      <c r="H47" s="53"/>
      <c r="I47" s="53"/>
      <c r="J47" s="53"/>
      <c r="K47" s="53"/>
      <c r="L47" s="53"/>
    </row>
    <row r="48" spans="1:15" ht="20.399999999999999" x14ac:dyDescent="0.35">
      <c r="C48" s="19" t="s">
        <v>0</v>
      </c>
      <c r="D48" s="90">
        <f>+D45*F45</f>
        <v>1620000</v>
      </c>
      <c r="E48" s="95" t="s">
        <v>1</v>
      </c>
      <c r="F48" s="96">
        <f>+H45</f>
        <v>0</v>
      </c>
      <c r="G48" s="46"/>
      <c r="H48" s="46"/>
      <c r="I48" s="46"/>
      <c r="J48" s="46"/>
      <c r="K48" s="53"/>
      <c r="L48" s="53"/>
    </row>
    <row r="49" spans="3:12" x14ac:dyDescent="0.3">
      <c r="D49" s="105">
        <f>+D46</f>
        <v>300000</v>
      </c>
      <c r="E49" s="105"/>
      <c r="F49" s="105"/>
      <c r="G49" s="46"/>
      <c r="H49" s="46"/>
      <c r="I49" s="46"/>
      <c r="J49" s="46"/>
      <c r="K49" s="53"/>
      <c r="L49" s="53"/>
    </row>
    <row r="50" spans="3:12" x14ac:dyDescent="0.3">
      <c r="D50" s="53"/>
      <c r="E50" s="53"/>
      <c r="F50" s="53"/>
      <c r="G50" s="53"/>
      <c r="H50" s="53"/>
      <c r="I50" s="53"/>
      <c r="J50" s="53"/>
      <c r="K50" s="53"/>
      <c r="L50" s="53"/>
    </row>
    <row r="51" spans="3:12" x14ac:dyDescent="0.3">
      <c r="C51" s="19" t="s">
        <v>0</v>
      </c>
      <c r="D51" s="91">
        <f>+D48-F48</f>
        <v>1620000</v>
      </c>
      <c r="E51" s="53"/>
      <c r="F51" s="53"/>
      <c r="G51" s="53"/>
      <c r="H51" s="53"/>
      <c r="I51" s="53"/>
      <c r="J51" s="53"/>
      <c r="K51" s="53"/>
      <c r="L51" s="53"/>
    </row>
    <row r="52" spans="3:12" x14ac:dyDescent="0.3">
      <c r="D52" s="53">
        <f>+D49</f>
        <v>300000</v>
      </c>
      <c r="E52" s="53"/>
      <c r="F52" s="53"/>
      <c r="G52" s="53"/>
      <c r="H52" s="53"/>
      <c r="I52" s="53"/>
      <c r="J52" s="53"/>
      <c r="K52" s="53"/>
      <c r="L52" s="53"/>
    </row>
    <row r="53" spans="3:12" x14ac:dyDescent="0.3">
      <c r="D53" s="53"/>
      <c r="E53" s="53"/>
      <c r="F53" s="53"/>
      <c r="G53" s="53"/>
      <c r="H53" s="53"/>
      <c r="I53" s="53"/>
      <c r="J53" s="53"/>
      <c r="K53" s="53"/>
      <c r="L53" s="53"/>
    </row>
    <row r="54" spans="3:12" x14ac:dyDescent="0.3">
      <c r="C54" s="22" t="s">
        <v>0</v>
      </c>
      <c r="D54" s="27">
        <f>+D51/D52</f>
        <v>5.4</v>
      </c>
    </row>
    <row r="57" spans="3:12" x14ac:dyDescent="0.3">
      <c r="C57" s="19" t="s">
        <v>32</v>
      </c>
      <c r="D57" s="20" t="s">
        <v>45</v>
      </c>
    </row>
  </sheetData>
  <mergeCells count="15">
    <mergeCell ref="D43:L43"/>
    <mergeCell ref="D46:H46"/>
    <mergeCell ref="D49:F49"/>
    <mergeCell ref="A3:J3"/>
    <mergeCell ref="B5:F5"/>
    <mergeCell ref="D40:L40"/>
    <mergeCell ref="B33:G34"/>
    <mergeCell ref="A32:B32"/>
    <mergeCell ref="L30:O30"/>
    <mergeCell ref="L24:P24"/>
    <mergeCell ref="L25:P25"/>
    <mergeCell ref="L26:P26"/>
    <mergeCell ref="L27:P27"/>
    <mergeCell ref="L28:P28"/>
    <mergeCell ref="H29:J33"/>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58"/>
  <sheetViews>
    <sheetView topLeftCell="C17" zoomScale="110" zoomScaleNormal="110" workbookViewId="0">
      <selection activeCell="J28" sqref="J28"/>
    </sheetView>
  </sheetViews>
  <sheetFormatPr baseColWidth="10" defaultColWidth="11.44140625" defaultRowHeight="15.6" x14ac:dyDescent="0.3"/>
  <cols>
    <col min="1" max="3" width="11.44140625" style="1"/>
    <col min="4" max="4" width="15.44140625" style="2" bestFit="1" customWidth="1"/>
    <col min="5" max="5" width="3.44140625" style="2" customWidth="1"/>
    <col min="6" max="6" width="15.44140625" style="2" bestFit="1" customWidth="1"/>
    <col min="7" max="7" width="5.109375" style="2" customWidth="1"/>
    <col min="8" max="8" width="14.5546875" style="2" customWidth="1"/>
    <col min="9" max="9" width="6.33203125" style="2" customWidth="1"/>
    <col min="10" max="10" width="17.44140625" style="2" customWidth="1"/>
    <col min="11" max="11" width="4.5546875" style="2" customWidth="1"/>
    <col min="12" max="12" width="11.44140625" style="2"/>
    <col min="13" max="13" width="11.44140625" style="1"/>
    <col min="14" max="14" width="15.33203125" style="1" customWidth="1"/>
    <col min="15" max="15" width="15.77734375" style="1" customWidth="1"/>
    <col min="16" max="16384" width="11.44140625" style="1"/>
  </cols>
  <sheetData>
    <row r="2" spans="1:12" s="19" customFormat="1" ht="28.5" customHeight="1" x14ac:dyDescent="0.3">
      <c r="A2" s="114" t="s">
        <v>24</v>
      </c>
      <c r="B2" s="114"/>
      <c r="C2" s="114"/>
      <c r="D2" s="114"/>
      <c r="E2" s="114"/>
      <c r="F2" s="114"/>
      <c r="G2" s="114"/>
      <c r="H2" s="114"/>
      <c r="I2" s="114"/>
      <c r="J2" s="114"/>
      <c r="K2" s="20"/>
      <c r="L2" s="20"/>
    </row>
    <row r="3" spans="1:12" s="19" customFormat="1" ht="18" customHeight="1" x14ac:dyDescent="0.3">
      <c r="A3" s="21"/>
      <c r="B3" s="21"/>
      <c r="C3" s="21"/>
      <c r="D3" s="21"/>
      <c r="E3" s="21"/>
      <c r="F3" s="21"/>
      <c r="G3" s="21"/>
      <c r="H3" s="21"/>
      <c r="I3" s="21"/>
      <c r="J3" s="21"/>
      <c r="K3" s="20"/>
      <c r="L3" s="20"/>
    </row>
    <row r="4" spans="1:12" s="19" customFormat="1" ht="17.399999999999999" x14ac:dyDescent="0.3">
      <c r="B4" s="140" t="s">
        <v>26</v>
      </c>
      <c r="C4" s="140"/>
      <c r="D4" s="140"/>
      <c r="E4" s="140"/>
      <c r="F4" s="140"/>
      <c r="G4" s="20"/>
      <c r="H4" s="20"/>
      <c r="I4" s="20"/>
      <c r="J4" s="20"/>
      <c r="K4" s="20"/>
      <c r="L4" s="20"/>
    </row>
    <row r="22" spans="1:17" ht="16.2" thickBot="1" x14ac:dyDescent="0.35">
      <c r="H22" s="20"/>
      <c r="I22" s="20"/>
      <c r="J22" s="20"/>
      <c r="K22" s="20"/>
      <c r="L22" s="20"/>
      <c r="M22" s="19"/>
      <c r="N22" s="19"/>
      <c r="O22" s="19"/>
      <c r="P22" s="19"/>
      <c r="Q22" s="19"/>
    </row>
    <row r="23" spans="1:17" ht="16.2" thickBot="1" x14ac:dyDescent="0.35">
      <c r="H23" s="117" t="s">
        <v>52</v>
      </c>
      <c r="I23" s="118"/>
      <c r="J23" s="70">
        <v>5000000</v>
      </c>
      <c r="K23" s="20"/>
      <c r="L23" s="20"/>
      <c r="M23" s="19"/>
      <c r="N23" s="19"/>
      <c r="O23" s="19"/>
      <c r="P23" s="19"/>
      <c r="Q23" s="19"/>
    </row>
    <row r="24" spans="1:17" x14ac:dyDescent="0.3">
      <c r="H24" s="71" t="s">
        <v>4</v>
      </c>
      <c r="I24" s="19"/>
      <c r="J24" s="97">
        <v>2700000</v>
      </c>
      <c r="K24" s="19"/>
      <c r="L24" s="119" t="s">
        <v>53</v>
      </c>
      <c r="M24" s="120"/>
      <c r="N24" s="120"/>
      <c r="O24" s="120"/>
      <c r="P24" s="120"/>
      <c r="Q24" s="63" t="s">
        <v>4</v>
      </c>
    </row>
    <row r="25" spans="1:17" x14ac:dyDescent="0.3">
      <c r="C25" s="4"/>
      <c r="H25" s="72" t="s">
        <v>5</v>
      </c>
      <c r="I25" s="98">
        <v>0.12</v>
      </c>
      <c r="J25" s="74">
        <f>+O42</f>
        <v>600000</v>
      </c>
      <c r="K25" s="19"/>
      <c r="L25" s="121" t="s">
        <v>60</v>
      </c>
      <c r="M25" s="122"/>
      <c r="N25" s="122"/>
      <c r="O25" s="122"/>
      <c r="P25" s="122"/>
      <c r="Q25" s="64" t="s">
        <v>5</v>
      </c>
    </row>
    <row r="26" spans="1:17" x14ac:dyDescent="0.3">
      <c r="H26" s="71" t="s">
        <v>12</v>
      </c>
      <c r="I26" s="19"/>
      <c r="J26" s="75">
        <v>0.4</v>
      </c>
      <c r="K26" s="19"/>
      <c r="L26" s="121" t="s">
        <v>54</v>
      </c>
      <c r="M26" s="122"/>
      <c r="N26" s="122"/>
      <c r="O26" s="122"/>
      <c r="P26" s="122"/>
      <c r="Q26" s="65" t="s">
        <v>12</v>
      </c>
    </row>
    <row r="27" spans="1:17" ht="15.75" customHeight="1" x14ac:dyDescent="0.3">
      <c r="H27" s="76" t="s">
        <v>6</v>
      </c>
      <c r="I27" s="77"/>
      <c r="J27" s="78">
        <v>0</v>
      </c>
      <c r="K27" s="20"/>
      <c r="L27" s="121" t="s">
        <v>59</v>
      </c>
      <c r="M27" s="122"/>
      <c r="N27" s="122"/>
      <c r="O27" s="122"/>
      <c r="P27" s="122"/>
      <c r="Q27" s="66" t="s">
        <v>6</v>
      </c>
    </row>
    <row r="28" spans="1:17" ht="16.2" thickBot="1" x14ac:dyDescent="0.35">
      <c r="H28" s="79" t="s">
        <v>10</v>
      </c>
      <c r="I28" s="80"/>
      <c r="J28" s="81">
        <f>+O31</f>
        <v>200000</v>
      </c>
      <c r="K28" s="20"/>
      <c r="L28" s="123" t="s">
        <v>31</v>
      </c>
      <c r="M28" s="124"/>
      <c r="N28" s="124"/>
      <c r="O28" s="124"/>
      <c r="P28" s="124"/>
      <c r="Q28" s="67" t="s">
        <v>10</v>
      </c>
    </row>
    <row r="29" spans="1:17" x14ac:dyDescent="0.3">
      <c r="H29" s="125" t="s">
        <v>62</v>
      </c>
      <c r="I29" s="126"/>
      <c r="J29" s="127"/>
      <c r="K29" s="20"/>
      <c r="L29" s="20"/>
      <c r="M29" s="19"/>
      <c r="N29" s="19"/>
      <c r="O29" s="19"/>
      <c r="P29" s="19"/>
      <c r="Q29" s="19"/>
    </row>
    <row r="30" spans="1:17" ht="16.2" thickBot="1" x14ac:dyDescent="0.35">
      <c r="H30" s="125"/>
      <c r="I30" s="126"/>
      <c r="J30" s="127"/>
      <c r="K30" s="20"/>
      <c r="L30" s="131" t="s">
        <v>58</v>
      </c>
      <c r="M30" s="131"/>
      <c r="N30" s="131"/>
      <c r="O30" s="131"/>
      <c r="P30" s="19"/>
      <c r="Q30" s="19"/>
    </row>
    <row r="31" spans="1:17" s="19" customFormat="1" ht="16.2" thickBot="1" x14ac:dyDescent="0.35">
      <c r="A31" s="110" t="s">
        <v>29</v>
      </c>
      <c r="B31" s="111"/>
      <c r="C31" s="30"/>
      <c r="D31" s="31"/>
      <c r="E31" s="31"/>
      <c r="F31" s="31"/>
      <c r="G31" s="32"/>
      <c r="H31" s="128"/>
      <c r="I31" s="129"/>
      <c r="J31" s="130"/>
      <c r="K31" s="20"/>
      <c r="L31" s="54" t="s">
        <v>55</v>
      </c>
      <c r="M31" s="55"/>
      <c r="N31" s="55"/>
      <c r="O31" s="56">
        <v>200000</v>
      </c>
    </row>
    <row r="32" spans="1:17" s="19" customFormat="1" ht="15.75" customHeight="1" x14ac:dyDescent="0.3">
      <c r="A32" s="33"/>
      <c r="B32" s="132" t="s">
        <v>34</v>
      </c>
      <c r="C32" s="132"/>
      <c r="D32" s="132"/>
      <c r="E32" s="132"/>
      <c r="F32" s="132"/>
      <c r="G32" s="133"/>
      <c r="H32" s="25"/>
      <c r="I32" s="25"/>
      <c r="J32" s="25"/>
      <c r="K32" s="20"/>
      <c r="L32" s="57" t="s">
        <v>56</v>
      </c>
      <c r="M32" s="58"/>
      <c r="N32" s="58"/>
      <c r="O32" s="59">
        <v>50</v>
      </c>
    </row>
    <row r="33" spans="1:17" s="19" customFormat="1" ht="16.2" thickBot="1" x14ac:dyDescent="0.35">
      <c r="A33" s="33"/>
      <c r="B33" s="132"/>
      <c r="C33" s="132"/>
      <c r="D33" s="132"/>
      <c r="E33" s="132"/>
      <c r="F33" s="132"/>
      <c r="G33" s="133"/>
      <c r="H33" s="25"/>
      <c r="I33" s="25"/>
      <c r="J33" s="25"/>
      <c r="K33" s="20"/>
      <c r="L33" s="60" t="s">
        <v>57</v>
      </c>
      <c r="M33" s="61"/>
      <c r="N33" s="61"/>
      <c r="O33" s="62">
        <v>100000</v>
      </c>
    </row>
    <row r="34" spans="1:17" s="19" customFormat="1" x14ac:dyDescent="0.3">
      <c r="A34" s="33"/>
      <c r="B34" s="132"/>
      <c r="C34" s="132"/>
      <c r="D34" s="132"/>
      <c r="E34" s="132"/>
      <c r="F34" s="132"/>
      <c r="G34" s="133"/>
      <c r="H34" s="25"/>
      <c r="I34" s="25"/>
      <c r="J34" s="25"/>
      <c r="K34" s="20"/>
      <c r="L34" s="20"/>
    </row>
    <row r="35" spans="1:17" s="19" customFormat="1" x14ac:dyDescent="0.3">
      <c r="A35" s="33"/>
      <c r="B35" s="132"/>
      <c r="C35" s="132"/>
      <c r="D35" s="132"/>
      <c r="E35" s="132"/>
      <c r="F35" s="132"/>
      <c r="G35" s="133"/>
      <c r="H35" s="25"/>
      <c r="I35" s="25"/>
      <c r="J35" s="25"/>
      <c r="K35" s="20"/>
      <c r="L35" s="20" t="s">
        <v>63</v>
      </c>
    </row>
    <row r="36" spans="1:17" s="19" customFormat="1" ht="16.2" thickBot="1" x14ac:dyDescent="0.35">
      <c r="A36" s="34"/>
      <c r="B36" s="35"/>
      <c r="C36" s="35"/>
      <c r="D36" s="36"/>
      <c r="E36" s="36"/>
      <c r="F36" s="36"/>
      <c r="G36" s="37"/>
      <c r="H36" s="26"/>
      <c r="I36" s="26"/>
      <c r="J36" s="26"/>
      <c r="K36" s="20"/>
      <c r="L36" s="20"/>
      <c r="N36" s="1"/>
      <c r="O36" s="134" t="s">
        <v>14</v>
      </c>
      <c r="P36" s="135"/>
      <c r="Q36" s="136"/>
    </row>
    <row r="37" spans="1:17" x14ac:dyDescent="0.3">
      <c r="H37" s="8"/>
      <c r="I37" s="8"/>
      <c r="J37" s="8"/>
      <c r="N37" s="19"/>
      <c r="O37" s="99" t="s">
        <v>30</v>
      </c>
      <c r="Q37" s="100"/>
    </row>
    <row r="38" spans="1:17" x14ac:dyDescent="0.3">
      <c r="O38" s="137">
        <f>+J23</f>
        <v>5000000</v>
      </c>
      <c r="P38" s="138"/>
      <c r="Q38" s="139"/>
    </row>
    <row r="39" spans="1:17" x14ac:dyDescent="0.3">
      <c r="A39" s="3" t="s">
        <v>13</v>
      </c>
      <c r="B39" s="3"/>
      <c r="C39" s="3" t="s">
        <v>17</v>
      </c>
      <c r="D39" s="7"/>
      <c r="N39" s="2"/>
      <c r="O39" s="99" t="s">
        <v>15</v>
      </c>
      <c r="P39" s="12">
        <v>0.12</v>
      </c>
      <c r="Q39" s="100"/>
    </row>
    <row r="40" spans="1:17" x14ac:dyDescent="0.3">
      <c r="A40" s="3"/>
      <c r="B40" s="3"/>
      <c r="C40" s="3"/>
      <c r="D40" s="7"/>
      <c r="O40" s="99"/>
      <c r="Q40" s="100"/>
    </row>
    <row r="41" spans="1:17" s="19" customFormat="1" ht="20.399999999999999" x14ac:dyDescent="0.35">
      <c r="C41" s="19" t="s">
        <v>0</v>
      </c>
      <c r="D41" s="85" t="s">
        <v>4</v>
      </c>
      <c r="E41" s="83" t="s">
        <v>1</v>
      </c>
      <c r="F41" s="45" t="s">
        <v>5</v>
      </c>
      <c r="G41" s="83" t="s">
        <v>16</v>
      </c>
      <c r="H41" s="92">
        <v>1</v>
      </c>
      <c r="I41" s="92" t="s">
        <v>1</v>
      </c>
      <c r="J41" s="93" t="s">
        <v>61</v>
      </c>
      <c r="K41" s="94" t="s">
        <v>1</v>
      </c>
      <c r="L41" s="84" t="s">
        <v>6</v>
      </c>
      <c r="N41" s="1"/>
      <c r="O41" s="101">
        <f>+O38</f>
        <v>5000000</v>
      </c>
      <c r="P41" s="48" t="s">
        <v>16</v>
      </c>
      <c r="Q41" s="5">
        <f>+P39</f>
        <v>0.12</v>
      </c>
    </row>
    <row r="42" spans="1:17" s="19" customFormat="1" x14ac:dyDescent="0.3">
      <c r="D42" s="109" t="s">
        <v>10</v>
      </c>
      <c r="E42" s="109"/>
      <c r="F42" s="109"/>
      <c r="G42" s="109"/>
      <c r="H42" s="109"/>
      <c r="I42" s="109"/>
      <c r="J42" s="109"/>
      <c r="K42" s="109"/>
      <c r="L42" s="109"/>
      <c r="N42" s="1"/>
      <c r="O42" s="102">
        <f>+O41*Q41</f>
        <v>600000</v>
      </c>
      <c r="P42" s="6"/>
      <c r="Q42" s="103"/>
    </row>
    <row r="43" spans="1:17" x14ac:dyDescent="0.3">
      <c r="A43" s="3"/>
      <c r="B43" s="3"/>
      <c r="C43" s="22"/>
      <c r="D43" s="24"/>
      <c r="E43" s="20"/>
      <c r="F43" s="20"/>
      <c r="G43" s="20"/>
      <c r="H43" s="20"/>
      <c r="I43" s="20"/>
      <c r="J43" s="20"/>
      <c r="K43" s="20"/>
      <c r="L43" s="20"/>
    </row>
    <row r="44" spans="1:17" ht="20.399999999999999" x14ac:dyDescent="0.35">
      <c r="C44" s="19" t="s">
        <v>0</v>
      </c>
      <c r="D44" s="86">
        <f>+J24</f>
        <v>2700000</v>
      </c>
      <c r="E44" s="87" t="s">
        <v>1</v>
      </c>
      <c r="F44" s="88">
        <f>+J25</f>
        <v>600000</v>
      </c>
      <c r="G44" s="20" t="s">
        <v>16</v>
      </c>
      <c r="H44" s="87">
        <v>1</v>
      </c>
      <c r="I44" s="87" t="s">
        <v>1</v>
      </c>
      <c r="J44" s="52">
        <v>0.4</v>
      </c>
      <c r="K44" s="95" t="s">
        <v>1</v>
      </c>
      <c r="L44" s="89">
        <f>+J29</f>
        <v>0</v>
      </c>
    </row>
    <row r="45" spans="1:17" x14ac:dyDescent="0.3">
      <c r="C45" s="19"/>
      <c r="D45" s="109">
        <f>+J28</f>
        <v>200000</v>
      </c>
      <c r="E45" s="109"/>
      <c r="F45" s="109"/>
      <c r="G45" s="109"/>
      <c r="H45" s="109"/>
      <c r="I45" s="109"/>
      <c r="J45" s="109"/>
      <c r="K45" s="109"/>
      <c r="L45" s="109"/>
    </row>
    <row r="46" spans="1:17" x14ac:dyDescent="0.3">
      <c r="C46" s="19"/>
      <c r="D46" s="46"/>
      <c r="E46" s="46"/>
      <c r="F46" s="46"/>
      <c r="G46" s="46"/>
      <c r="H46" s="46"/>
      <c r="I46" s="46"/>
      <c r="J46" s="46"/>
      <c r="K46" s="46"/>
      <c r="L46" s="53"/>
    </row>
    <row r="47" spans="1:17" ht="20.399999999999999" x14ac:dyDescent="0.35">
      <c r="C47" s="19" t="s">
        <v>0</v>
      </c>
      <c r="D47" s="90">
        <f>+D44-F44</f>
        <v>2100000</v>
      </c>
      <c r="E47" s="47" t="s">
        <v>16</v>
      </c>
      <c r="F47" s="47">
        <f>+H44-J44</f>
        <v>0.6</v>
      </c>
      <c r="G47" s="95" t="s">
        <v>1</v>
      </c>
      <c r="H47" s="96">
        <f>+L44</f>
        <v>0</v>
      </c>
      <c r="I47" s="46"/>
      <c r="J47" s="46"/>
      <c r="K47" s="46"/>
      <c r="L47" s="53"/>
    </row>
    <row r="48" spans="1:17" x14ac:dyDescent="0.3">
      <c r="C48" s="19"/>
      <c r="D48" s="115">
        <f>+D45</f>
        <v>200000</v>
      </c>
      <c r="E48" s="115"/>
      <c r="F48" s="115"/>
      <c r="G48" s="115"/>
      <c r="H48" s="115"/>
      <c r="I48" s="53"/>
      <c r="J48" s="53"/>
      <c r="K48" s="53"/>
      <c r="L48" s="53"/>
    </row>
    <row r="49" spans="3:12" x14ac:dyDescent="0.3">
      <c r="C49" s="19"/>
      <c r="D49" s="53"/>
      <c r="E49" s="53"/>
      <c r="F49" s="53"/>
      <c r="G49" s="53"/>
      <c r="H49" s="53"/>
      <c r="I49" s="53"/>
      <c r="J49" s="53"/>
      <c r="K49" s="53"/>
      <c r="L49" s="53"/>
    </row>
    <row r="50" spans="3:12" ht="20.399999999999999" x14ac:dyDescent="0.35">
      <c r="C50" s="19" t="s">
        <v>0</v>
      </c>
      <c r="D50" s="90">
        <f>+D47*F47</f>
        <v>1260000</v>
      </c>
      <c r="E50" s="95" t="s">
        <v>1</v>
      </c>
      <c r="F50" s="96">
        <f>+H47</f>
        <v>0</v>
      </c>
      <c r="G50" s="46"/>
      <c r="H50" s="46"/>
      <c r="I50" s="46"/>
      <c r="J50" s="46"/>
      <c r="K50" s="53"/>
      <c r="L50" s="53"/>
    </row>
    <row r="51" spans="3:12" x14ac:dyDescent="0.3">
      <c r="C51" s="19"/>
      <c r="D51" s="105">
        <f>+D48</f>
        <v>200000</v>
      </c>
      <c r="E51" s="105"/>
      <c r="F51" s="105"/>
      <c r="G51" s="46"/>
      <c r="H51" s="46"/>
      <c r="I51" s="46"/>
      <c r="J51" s="46"/>
      <c r="K51" s="53"/>
      <c r="L51" s="53"/>
    </row>
    <row r="52" spans="3:12" x14ac:dyDescent="0.3">
      <c r="C52" s="19"/>
      <c r="D52" s="53"/>
      <c r="E52" s="53"/>
      <c r="F52" s="53"/>
      <c r="G52" s="53"/>
      <c r="H52" s="53"/>
      <c r="I52" s="53"/>
      <c r="J52" s="53"/>
      <c r="K52" s="53"/>
      <c r="L52" s="53"/>
    </row>
    <row r="53" spans="3:12" x14ac:dyDescent="0.3">
      <c r="C53" s="19" t="s">
        <v>0</v>
      </c>
      <c r="D53" s="91">
        <f>+D50-F50</f>
        <v>1260000</v>
      </c>
      <c r="E53" s="53"/>
      <c r="F53" s="53"/>
      <c r="G53" s="53"/>
      <c r="H53" s="53"/>
      <c r="I53" s="53"/>
      <c r="J53" s="53"/>
      <c r="K53" s="53"/>
      <c r="L53" s="53"/>
    </row>
    <row r="54" spans="3:12" x14ac:dyDescent="0.3">
      <c r="C54" s="19"/>
      <c r="D54" s="53">
        <f>+D51</f>
        <v>200000</v>
      </c>
      <c r="E54" s="53"/>
      <c r="F54" s="53"/>
      <c r="G54" s="53"/>
      <c r="H54" s="53"/>
      <c r="I54" s="53"/>
      <c r="J54" s="53"/>
      <c r="K54" s="53"/>
      <c r="L54" s="53"/>
    </row>
    <row r="55" spans="3:12" x14ac:dyDescent="0.3">
      <c r="C55" s="19"/>
      <c r="D55" s="53"/>
      <c r="E55" s="53"/>
      <c r="F55" s="53"/>
      <c r="G55" s="53"/>
      <c r="H55" s="53"/>
      <c r="I55" s="53"/>
      <c r="J55" s="53"/>
      <c r="K55" s="53"/>
      <c r="L55" s="53"/>
    </row>
    <row r="56" spans="3:12" x14ac:dyDescent="0.3">
      <c r="C56" s="22" t="s">
        <v>0</v>
      </c>
      <c r="D56" s="27">
        <f>+D53/D54</f>
        <v>6.3</v>
      </c>
      <c r="E56" s="20"/>
      <c r="F56" s="20"/>
      <c r="G56" s="20"/>
      <c r="H56" s="20"/>
      <c r="I56" s="20"/>
      <c r="J56" s="20"/>
      <c r="K56" s="20"/>
      <c r="L56" s="20"/>
    </row>
    <row r="58" spans="3:12" x14ac:dyDescent="0.3">
      <c r="C58" s="19" t="s">
        <v>32</v>
      </c>
      <c r="D58" s="20" t="s">
        <v>46</v>
      </c>
    </row>
  </sheetData>
  <mergeCells count="18">
    <mergeCell ref="A2:J2"/>
    <mergeCell ref="B4:F4"/>
    <mergeCell ref="D45:L45"/>
    <mergeCell ref="D48:H48"/>
    <mergeCell ref="D51:F51"/>
    <mergeCell ref="L24:P24"/>
    <mergeCell ref="L25:P25"/>
    <mergeCell ref="L26:P26"/>
    <mergeCell ref="H23:I23"/>
    <mergeCell ref="O36:Q36"/>
    <mergeCell ref="D42:L42"/>
    <mergeCell ref="A31:B31"/>
    <mergeCell ref="B32:G35"/>
    <mergeCell ref="L27:P27"/>
    <mergeCell ref="L28:P28"/>
    <mergeCell ref="H29:J31"/>
    <mergeCell ref="L30:O30"/>
    <mergeCell ref="O38:Q38"/>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63"/>
  <sheetViews>
    <sheetView topLeftCell="B20" zoomScale="120" zoomScaleNormal="120" workbookViewId="0">
      <selection activeCell="L32" sqref="L32:O35"/>
    </sheetView>
  </sheetViews>
  <sheetFormatPr baseColWidth="10" defaultColWidth="11.44140625" defaultRowHeight="15.6" x14ac:dyDescent="0.3"/>
  <cols>
    <col min="1" max="2" width="11.44140625" style="1"/>
    <col min="3" max="3" width="15" style="1" customWidth="1"/>
    <col min="4" max="4" width="15.44140625" style="2" bestFit="1" customWidth="1"/>
    <col min="5" max="5" width="3.44140625" style="2" customWidth="1"/>
    <col min="6" max="6" width="15.44140625" style="2" bestFit="1" customWidth="1"/>
    <col min="7" max="7" width="5.109375" style="2" customWidth="1"/>
    <col min="8" max="8" width="16.109375" style="2" customWidth="1"/>
    <col min="9" max="9" width="6.77734375" style="2" customWidth="1"/>
    <col min="10" max="10" width="16" style="2" customWidth="1"/>
    <col min="11" max="11" width="4.5546875" style="2" customWidth="1"/>
    <col min="12" max="12" width="12.44140625" style="2" bestFit="1" customWidth="1"/>
    <col min="13" max="14" width="11.44140625" style="1"/>
    <col min="15" max="15" width="14.88671875" style="1" customWidth="1"/>
    <col min="16" max="16" width="14.6640625" style="1" bestFit="1" customWidth="1"/>
    <col min="17" max="17" width="17.88671875" style="1" customWidth="1"/>
    <col min="18" max="18" width="12.33203125" style="1" bestFit="1" customWidth="1"/>
    <col min="19" max="16384" width="11.44140625" style="1"/>
  </cols>
  <sheetData>
    <row r="2" spans="1:12" s="19" customFormat="1" ht="28.5" customHeight="1" x14ac:dyDescent="0.3">
      <c r="A2" s="114" t="s">
        <v>24</v>
      </c>
      <c r="B2" s="114"/>
      <c r="C2" s="114"/>
      <c r="D2" s="114"/>
      <c r="E2" s="114"/>
      <c r="F2" s="114"/>
      <c r="G2" s="114"/>
      <c r="H2" s="114"/>
      <c r="I2" s="114"/>
      <c r="J2" s="114"/>
      <c r="K2" s="20"/>
      <c r="L2" s="20"/>
    </row>
    <row r="3" spans="1:12" s="19" customFormat="1" ht="18" customHeight="1" x14ac:dyDescent="0.3">
      <c r="A3" s="21"/>
      <c r="B3" s="21"/>
      <c r="C3" s="21"/>
      <c r="D3" s="21"/>
      <c r="E3" s="21"/>
      <c r="F3" s="21"/>
      <c r="G3" s="21"/>
      <c r="H3" s="21"/>
      <c r="I3" s="21"/>
      <c r="J3" s="21"/>
      <c r="K3" s="20"/>
      <c r="L3" s="20"/>
    </row>
    <row r="4" spans="1:12" s="19" customFormat="1" ht="20.399999999999999" x14ac:dyDescent="0.35">
      <c r="B4" s="116" t="s">
        <v>27</v>
      </c>
      <c r="C4" s="116"/>
      <c r="D4" s="116"/>
      <c r="E4" s="116"/>
      <c r="F4" s="116"/>
      <c r="G4" s="116"/>
      <c r="H4" s="116"/>
      <c r="I4" s="20"/>
      <c r="J4" s="20"/>
      <c r="K4" s="20"/>
      <c r="L4" s="20"/>
    </row>
    <row r="24" spans="3:17" ht="16.2" thickBot="1" x14ac:dyDescent="0.35"/>
    <row r="25" spans="3:17" ht="16.2" thickBot="1" x14ac:dyDescent="0.35">
      <c r="H25" s="117" t="s">
        <v>52</v>
      </c>
      <c r="I25" s="118"/>
      <c r="J25" s="70">
        <v>5000000</v>
      </c>
      <c r="K25" s="20"/>
      <c r="L25" s="20"/>
      <c r="M25" s="19"/>
      <c r="N25" s="19"/>
      <c r="O25" s="19"/>
      <c r="P25" s="19"/>
      <c r="Q25" s="19"/>
    </row>
    <row r="26" spans="3:17" x14ac:dyDescent="0.3">
      <c r="H26" s="71" t="s">
        <v>4</v>
      </c>
      <c r="I26" s="19"/>
      <c r="J26" s="97">
        <v>2700000</v>
      </c>
      <c r="K26" s="19"/>
      <c r="L26" s="119" t="s">
        <v>53</v>
      </c>
      <c r="M26" s="120"/>
      <c r="N26" s="120"/>
      <c r="O26" s="120"/>
      <c r="P26" s="120"/>
      <c r="Q26" s="63" t="s">
        <v>4</v>
      </c>
    </row>
    <row r="27" spans="3:17" x14ac:dyDescent="0.3">
      <c r="H27" s="72" t="s">
        <v>5</v>
      </c>
      <c r="I27" s="98"/>
      <c r="J27" s="74">
        <v>0</v>
      </c>
      <c r="K27" s="19"/>
      <c r="L27" s="121" t="s">
        <v>60</v>
      </c>
      <c r="M27" s="122"/>
      <c r="N27" s="122"/>
      <c r="O27" s="122"/>
      <c r="P27" s="122"/>
      <c r="Q27" s="64" t="s">
        <v>5</v>
      </c>
    </row>
    <row r="28" spans="3:17" x14ac:dyDescent="0.3">
      <c r="C28" s="4"/>
      <c r="H28" s="71" t="s">
        <v>12</v>
      </c>
      <c r="I28" s="19"/>
      <c r="J28" s="75">
        <v>0.4</v>
      </c>
      <c r="K28" s="19"/>
      <c r="L28" s="121" t="s">
        <v>54</v>
      </c>
      <c r="M28" s="122"/>
      <c r="N28" s="122"/>
      <c r="O28" s="122"/>
      <c r="P28" s="122"/>
      <c r="Q28" s="65" t="s">
        <v>12</v>
      </c>
    </row>
    <row r="29" spans="3:17" x14ac:dyDescent="0.3">
      <c r="H29" s="76" t="s">
        <v>6</v>
      </c>
      <c r="I29" s="77"/>
      <c r="J29" s="78">
        <f>+Q47</f>
        <v>550000</v>
      </c>
      <c r="K29" s="20"/>
      <c r="L29" s="121" t="s">
        <v>59</v>
      </c>
      <c r="M29" s="122"/>
      <c r="N29" s="122"/>
      <c r="O29" s="122"/>
      <c r="P29" s="122"/>
      <c r="Q29" s="66" t="s">
        <v>6</v>
      </c>
    </row>
    <row r="30" spans="3:17" ht="15.75" customHeight="1" thickBot="1" x14ac:dyDescent="0.35">
      <c r="H30" s="79" t="s">
        <v>10</v>
      </c>
      <c r="I30" s="80"/>
      <c r="J30" s="81">
        <f>+O33</f>
        <v>200000</v>
      </c>
      <c r="K30" s="20"/>
      <c r="L30" s="123" t="s">
        <v>31</v>
      </c>
      <c r="M30" s="124"/>
      <c r="N30" s="124"/>
      <c r="O30" s="124"/>
      <c r="P30" s="124"/>
      <c r="Q30" s="67" t="s">
        <v>10</v>
      </c>
    </row>
    <row r="31" spans="3:17" x14ac:dyDescent="0.3">
      <c r="H31" s="125" t="s">
        <v>64</v>
      </c>
      <c r="I31" s="126"/>
      <c r="J31" s="127"/>
      <c r="K31" s="20"/>
      <c r="L31" s="20"/>
      <c r="M31" s="19"/>
      <c r="N31" s="19"/>
      <c r="O31" s="19"/>
      <c r="P31" s="19"/>
      <c r="Q31" s="19"/>
    </row>
    <row r="32" spans="3:17" ht="16.2" thickBot="1" x14ac:dyDescent="0.35">
      <c r="H32" s="125"/>
      <c r="I32" s="126"/>
      <c r="J32" s="127"/>
      <c r="K32" s="20"/>
      <c r="L32" s="131" t="s">
        <v>58</v>
      </c>
      <c r="M32" s="131"/>
      <c r="N32" s="131"/>
      <c r="O32" s="131"/>
      <c r="P32" s="19"/>
      <c r="Q32" s="19"/>
    </row>
    <row r="33" spans="1:19" ht="16.2" thickBot="1" x14ac:dyDescent="0.35">
      <c r="H33" s="128"/>
      <c r="I33" s="129"/>
      <c r="J33" s="130"/>
      <c r="K33" s="20"/>
      <c r="L33" s="54" t="s">
        <v>55</v>
      </c>
      <c r="M33" s="55"/>
      <c r="N33" s="55"/>
      <c r="O33" s="56">
        <v>200000</v>
      </c>
      <c r="P33" s="19"/>
      <c r="Q33" s="19"/>
    </row>
    <row r="34" spans="1:19" x14ac:dyDescent="0.3">
      <c r="A34" s="110" t="s">
        <v>29</v>
      </c>
      <c r="B34" s="111"/>
      <c r="C34" s="30"/>
      <c r="D34" s="31"/>
      <c r="E34" s="31"/>
      <c r="F34" s="31"/>
      <c r="G34" s="32"/>
      <c r="H34" s="25"/>
      <c r="I34" s="25"/>
      <c r="J34" s="25"/>
      <c r="K34" s="20"/>
      <c r="L34" s="57" t="s">
        <v>56</v>
      </c>
      <c r="M34" s="58"/>
      <c r="N34" s="58"/>
      <c r="O34" s="59">
        <v>50</v>
      </c>
      <c r="P34" s="19"/>
      <c r="Q34" s="19"/>
    </row>
    <row r="35" spans="1:19" ht="15.75" customHeight="1" thickBot="1" x14ac:dyDescent="0.35">
      <c r="A35" s="33"/>
      <c r="B35" s="112" t="s">
        <v>35</v>
      </c>
      <c r="C35" s="112"/>
      <c r="D35" s="112"/>
      <c r="E35" s="112"/>
      <c r="F35" s="112"/>
      <c r="G35" s="113"/>
      <c r="H35" s="25"/>
      <c r="I35" s="25"/>
      <c r="J35" s="25"/>
      <c r="K35" s="20"/>
      <c r="L35" s="60" t="s">
        <v>57</v>
      </c>
      <c r="M35" s="61"/>
      <c r="N35" s="61"/>
      <c r="O35" s="62">
        <v>100000</v>
      </c>
      <c r="P35" s="19"/>
      <c r="Q35" s="19"/>
    </row>
    <row r="36" spans="1:19" x14ac:dyDescent="0.3">
      <c r="A36" s="33"/>
      <c r="B36" s="112"/>
      <c r="C36" s="112"/>
      <c r="D36" s="112"/>
      <c r="E36" s="112"/>
      <c r="F36" s="112"/>
      <c r="G36" s="113"/>
      <c r="H36" s="8"/>
      <c r="I36" s="8"/>
      <c r="J36" s="8"/>
    </row>
    <row r="37" spans="1:19" x14ac:dyDescent="0.3">
      <c r="A37" s="33"/>
      <c r="B37" s="112"/>
      <c r="C37" s="112"/>
      <c r="D37" s="112"/>
      <c r="E37" s="112"/>
      <c r="F37" s="112"/>
      <c r="G37" s="113"/>
      <c r="H37" s="8"/>
      <c r="I37" s="8"/>
      <c r="J37" s="8"/>
    </row>
    <row r="38" spans="1:19" x14ac:dyDescent="0.3">
      <c r="A38" s="33"/>
      <c r="B38" s="112"/>
      <c r="C38" s="112"/>
      <c r="D38" s="112"/>
      <c r="E38" s="112"/>
      <c r="F38" s="112"/>
      <c r="G38" s="113"/>
      <c r="H38" s="8"/>
      <c r="I38" s="8"/>
      <c r="J38" s="8"/>
    </row>
    <row r="39" spans="1:19" x14ac:dyDescent="0.3">
      <c r="A39" s="33"/>
      <c r="B39" s="112"/>
      <c r="C39" s="112"/>
      <c r="D39" s="112"/>
      <c r="E39" s="112"/>
      <c r="F39" s="112"/>
      <c r="G39" s="113"/>
      <c r="H39" s="8"/>
      <c r="I39" s="8"/>
      <c r="J39" s="8"/>
    </row>
    <row r="40" spans="1:19" ht="16.2" thickBot="1" x14ac:dyDescent="0.35">
      <c r="A40" s="34"/>
      <c r="B40" s="35"/>
      <c r="C40" s="35"/>
      <c r="D40" s="36"/>
      <c r="E40" s="36"/>
      <c r="F40" s="36"/>
      <c r="G40" s="37"/>
      <c r="H40" s="8"/>
      <c r="I40" s="8"/>
      <c r="J40" s="8"/>
      <c r="O40" s="2"/>
    </row>
    <row r="41" spans="1:19" x14ac:dyDescent="0.3">
      <c r="H41" s="8"/>
      <c r="I41" s="8"/>
      <c r="J41" s="8"/>
      <c r="O41" s="106" t="s">
        <v>20</v>
      </c>
      <c r="P41" s="107"/>
      <c r="Q41" s="107"/>
      <c r="R41" s="107"/>
      <c r="S41" s="108"/>
    </row>
    <row r="42" spans="1:19" x14ac:dyDescent="0.3">
      <c r="O42" s="9" t="s">
        <v>36</v>
      </c>
      <c r="Q42" s="10"/>
      <c r="R42" s="49">
        <f>+O35</f>
        <v>100000</v>
      </c>
      <c r="S42" s="11"/>
    </row>
    <row r="43" spans="1:19" x14ac:dyDescent="0.3">
      <c r="A43" s="3" t="s">
        <v>18</v>
      </c>
      <c r="B43" s="3"/>
      <c r="C43" s="3" t="s">
        <v>19</v>
      </c>
      <c r="D43" s="7"/>
      <c r="O43" s="9" t="s">
        <v>8</v>
      </c>
      <c r="P43" s="10"/>
      <c r="Q43" s="10"/>
      <c r="R43" s="16">
        <f>+O34</f>
        <v>50</v>
      </c>
      <c r="S43" s="11"/>
    </row>
    <row r="44" spans="1:19" x14ac:dyDescent="0.3">
      <c r="A44" s="3"/>
      <c r="B44" s="3"/>
      <c r="C44" s="3"/>
      <c r="D44" s="7"/>
      <c r="O44" s="9" t="s">
        <v>9</v>
      </c>
      <c r="P44" s="10"/>
      <c r="Q44" s="10"/>
      <c r="R44" s="12">
        <v>0.11</v>
      </c>
      <c r="S44" s="11"/>
    </row>
    <row r="45" spans="1:19" s="19" customFormat="1" ht="20.399999999999999" x14ac:dyDescent="0.35">
      <c r="C45" s="19" t="s">
        <v>0</v>
      </c>
      <c r="D45" s="85" t="s">
        <v>4</v>
      </c>
      <c r="E45" s="83" t="s">
        <v>1</v>
      </c>
      <c r="F45" s="45" t="s">
        <v>5</v>
      </c>
      <c r="G45" s="83" t="s">
        <v>16</v>
      </c>
      <c r="H45" s="92">
        <v>1</v>
      </c>
      <c r="I45" s="92" t="s">
        <v>1</v>
      </c>
      <c r="J45" s="93" t="s">
        <v>61</v>
      </c>
      <c r="K45" s="94" t="s">
        <v>1</v>
      </c>
      <c r="L45" s="84" t="s">
        <v>6</v>
      </c>
      <c r="O45" s="50"/>
      <c r="P45" s="40"/>
      <c r="Q45" s="16"/>
      <c r="R45" s="51"/>
      <c r="S45" s="11">
        <f>+R44</f>
        <v>0.11</v>
      </c>
    </row>
    <row r="46" spans="1:19" s="19" customFormat="1" x14ac:dyDescent="0.3">
      <c r="D46" s="109" t="s">
        <v>10</v>
      </c>
      <c r="E46" s="109"/>
      <c r="F46" s="109"/>
      <c r="G46" s="109"/>
      <c r="H46" s="109"/>
      <c r="I46" s="109"/>
      <c r="J46" s="109"/>
      <c r="K46" s="109"/>
      <c r="L46" s="109"/>
      <c r="O46" s="9">
        <f>+R42</f>
        <v>100000</v>
      </c>
      <c r="P46" s="17" t="s">
        <v>16</v>
      </c>
      <c r="Q46" s="48">
        <f>+R43</f>
        <v>50</v>
      </c>
      <c r="R46" s="5" t="s">
        <v>16</v>
      </c>
      <c r="S46" s="104">
        <f>+R44</f>
        <v>0.11</v>
      </c>
    </row>
    <row r="47" spans="1:19" ht="16.2" thickBot="1" x14ac:dyDescent="0.35">
      <c r="A47" s="3"/>
      <c r="B47" s="3"/>
      <c r="C47" s="22"/>
      <c r="D47" s="24"/>
      <c r="E47" s="20"/>
      <c r="F47" s="20"/>
      <c r="G47" s="20"/>
      <c r="H47" s="20"/>
      <c r="I47" s="20"/>
      <c r="J47" s="20"/>
      <c r="K47" s="20"/>
      <c r="L47" s="20"/>
      <c r="O47" s="13"/>
      <c r="P47" s="14"/>
      <c r="Q47" s="18">
        <f>+O46*Q46*S46</f>
        <v>550000</v>
      </c>
      <c r="R47" s="14"/>
      <c r="S47" s="15"/>
    </row>
    <row r="48" spans="1:19" ht="20.399999999999999" x14ac:dyDescent="0.35">
      <c r="C48" s="19" t="s">
        <v>0</v>
      </c>
      <c r="D48" s="86">
        <f>+J26</f>
        <v>2700000</v>
      </c>
      <c r="E48" s="87" t="s">
        <v>1</v>
      </c>
      <c r="F48" s="88">
        <f>+J27</f>
        <v>0</v>
      </c>
      <c r="G48" s="20" t="s">
        <v>16</v>
      </c>
      <c r="H48" s="87">
        <v>1</v>
      </c>
      <c r="I48" s="87" t="s">
        <v>1</v>
      </c>
      <c r="J48" s="52">
        <v>0.4</v>
      </c>
      <c r="K48" s="95" t="s">
        <v>1</v>
      </c>
      <c r="L48" s="89">
        <f>+J29</f>
        <v>550000</v>
      </c>
    </row>
    <row r="49" spans="3:12" x14ac:dyDescent="0.3">
      <c r="C49" s="19"/>
      <c r="D49" s="109">
        <f>+J30</f>
        <v>200000</v>
      </c>
      <c r="E49" s="109"/>
      <c r="F49" s="109"/>
      <c r="G49" s="109"/>
      <c r="H49" s="109"/>
      <c r="I49" s="109"/>
      <c r="J49" s="109"/>
      <c r="K49" s="109"/>
      <c r="L49" s="109"/>
    </row>
    <row r="50" spans="3:12" x14ac:dyDescent="0.3">
      <c r="C50" s="19"/>
      <c r="D50" s="46"/>
      <c r="E50" s="46"/>
      <c r="F50" s="46"/>
      <c r="G50" s="46"/>
      <c r="H50" s="46"/>
      <c r="I50" s="46"/>
      <c r="J50" s="46"/>
      <c r="K50" s="46"/>
      <c r="L50" s="53"/>
    </row>
    <row r="51" spans="3:12" ht="20.399999999999999" x14ac:dyDescent="0.35">
      <c r="C51" s="19" t="s">
        <v>0</v>
      </c>
      <c r="D51" s="90">
        <f>+D48-F48</f>
        <v>2700000</v>
      </c>
      <c r="E51" s="47" t="s">
        <v>16</v>
      </c>
      <c r="F51" s="47">
        <f>+H48-J48</f>
        <v>0.6</v>
      </c>
      <c r="G51" s="95" t="s">
        <v>1</v>
      </c>
      <c r="H51" s="96">
        <f>+L48</f>
        <v>550000</v>
      </c>
      <c r="I51" s="46"/>
      <c r="J51" s="46"/>
      <c r="K51" s="46"/>
      <c r="L51" s="53"/>
    </row>
    <row r="52" spans="3:12" x14ac:dyDescent="0.3">
      <c r="C52" s="19"/>
      <c r="D52" s="115">
        <f>+D49</f>
        <v>200000</v>
      </c>
      <c r="E52" s="115"/>
      <c r="F52" s="115"/>
      <c r="G52" s="115"/>
      <c r="H52" s="115"/>
      <c r="I52" s="53"/>
      <c r="J52" s="53"/>
      <c r="K52" s="53"/>
      <c r="L52" s="53"/>
    </row>
    <row r="53" spans="3:12" x14ac:dyDescent="0.3">
      <c r="C53" s="19"/>
      <c r="D53" s="53"/>
      <c r="E53" s="53"/>
      <c r="F53" s="53"/>
      <c r="G53" s="53"/>
      <c r="H53" s="53"/>
      <c r="I53" s="53"/>
      <c r="J53" s="53"/>
      <c r="K53" s="53"/>
      <c r="L53" s="53"/>
    </row>
    <row r="54" spans="3:12" ht="20.399999999999999" x14ac:dyDescent="0.35">
      <c r="C54" s="19" t="s">
        <v>0</v>
      </c>
      <c r="D54" s="90">
        <f>+D51*F51</f>
        <v>1620000</v>
      </c>
      <c r="E54" s="95" t="s">
        <v>1</v>
      </c>
      <c r="F54" s="96">
        <f>+H51</f>
        <v>550000</v>
      </c>
      <c r="G54" s="46"/>
      <c r="H54" s="46"/>
      <c r="I54" s="46"/>
      <c r="J54" s="46"/>
      <c r="K54" s="53"/>
      <c r="L54" s="53"/>
    </row>
    <row r="55" spans="3:12" x14ac:dyDescent="0.3">
      <c r="C55" s="19"/>
      <c r="D55" s="105">
        <f>+D52</f>
        <v>200000</v>
      </c>
      <c r="E55" s="105"/>
      <c r="F55" s="105"/>
      <c r="G55" s="46"/>
      <c r="H55" s="46"/>
      <c r="I55" s="46"/>
      <c r="J55" s="46"/>
      <c r="K55" s="53"/>
      <c r="L55" s="53"/>
    </row>
    <row r="56" spans="3:12" x14ac:dyDescent="0.3">
      <c r="C56" s="19"/>
      <c r="D56" s="53"/>
      <c r="E56" s="53"/>
      <c r="F56" s="53"/>
      <c r="G56" s="53"/>
      <c r="H56" s="53"/>
      <c r="I56" s="53"/>
      <c r="J56" s="53"/>
      <c r="K56" s="53"/>
      <c r="L56" s="53"/>
    </row>
    <row r="57" spans="3:12" x14ac:dyDescent="0.3">
      <c r="C57" s="19" t="s">
        <v>0</v>
      </c>
      <c r="D57" s="91">
        <f>+D54-F54</f>
        <v>1070000</v>
      </c>
      <c r="E57" s="53"/>
      <c r="F57" s="53"/>
      <c r="G57" s="53"/>
      <c r="H57" s="53"/>
      <c r="I57" s="53"/>
      <c r="J57" s="53"/>
      <c r="K57" s="53"/>
      <c r="L57" s="53"/>
    </row>
    <row r="58" spans="3:12" x14ac:dyDescent="0.3">
      <c r="C58" s="19"/>
      <c r="D58" s="53">
        <f>+D55</f>
        <v>200000</v>
      </c>
      <c r="E58" s="53"/>
      <c r="F58" s="53"/>
      <c r="G58" s="53"/>
      <c r="H58" s="53"/>
      <c r="I58" s="53"/>
      <c r="J58" s="53"/>
      <c r="K58" s="53"/>
      <c r="L58" s="53"/>
    </row>
    <row r="59" spans="3:12" x14ac:dyDescent="0.3">
      <c r="C59" s="19"/>
      <c r="D59" s="53"/>
      <c r="E59" s="53"/>
      <c r="F59" s="53"/>
      <c r="G59" s="53"/>
      <c r="H59" s="53"/>
      <c r="I59" s="53"/>
      <c r="J59" s="53"/>
      <c r="K59" s="53"/>
      <c r="L59" s="53"/>
    </row>
    <row r="60" spans="3:12" x14ac:dyDescent="0.3">
      <c r="C60" s="22" t="s">
        <v>0</v>
      </c>
      <c r="D60" s="27">
        <f>+D57/D58</f>
        <v>5.35</v>
      </c>
      <c r="E60" s="20"/>
      <c r="F60" s="20"/>
      <c r="G60" s="20"/>
      <c r="H60" s="20"/>
      <c r="I60" s="20"/>
      <c r="J60" s="20"/>
      <c r="K60" s="20"/>
      <c r="L60" s="20"/>
    </row>
    <row r="63" spans="3:12" x14ac:dyDescent="0.3">
      <c r="C63" s="19" t="s">
        <v>32</v>
      </c>
      <c r="D63" s="20" t="s">
        <v>47</v>
      </c>
    </row>
  </sheetData>
  <mergeCells count="17">
    <mergeCell ref="A2:J2"/>
    <mergeCell ref="D49:L49"/>
    <mergeCell ref="D52:H52"/>
    <mergeCell ref="B4:H4"/>
    <mergeCell ref="H25:I25"/>
    <mergeCell ref="L26:P26"/>
    <mergeCell ref="L27:P27"/>
    <mergeCell ref="L28:P28"/>
    <mergeCell ref="L29:P29"/>
    <mergeCell ref="L30:P30"/>
    <mergeCell ref="H31:J33"/>
    <mergeCell ref="L32:O32"/>
    <mergeCell ref="D55:F55"/>
    <mergeCell ref="O41:S41"/>
    <mergeCell ref="D46:L46"/>
    <mergeCell ref="A34:B34"/>
    <mergeCell ref="B35:G39"/>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5:E8"/>
  <sheetViews>
    <sheetView workbookViewId="0">
      <selection activeCell="E17" sqref="E17"/>
    </sheetView>
  </sheetViews>
  <sheetFormatPr baseColWidth="10" defaultRowHeight="14.4" x14ac:dyDescent="0.3"/>
  <cols>
    <col min="3" max="3" width="22.88671875" customWidth="1"/>
    <col min="4" max="4" width="14.109375" bestFit="1" customWidth="1"/>
  </cols>
  <sheetData>
    <row r="5" spans="3:5" x14ac:dyDescent="0.3">
      <c r="C5" s="41" t="s">
        <v>44</v>
      </c>
      <c r="D5" s="42" t="s">
        <v>4</v>
      </c>
      <c r="E5" s="42" t="s">
        <v>39</v>
      </c>
    </row>
    <row r="6" spans="3:5" ht="15.6" x14ac:dyDescent="0.3">
      <c r="C6" t="s">
        <v>41</v>
      </c>
      <c r="D6" s="43">
        <v>2700000</v>
      </c>
      <c r="E6" s="44">
        <v>5.4</v>
      </c>
    </row>
    <row r="7" spans="3:5" ht="15.6" x14ac:dyDescent="0.3">
      <c r="C7" t="s">
        <v>42</v>
      </c>
      <c r="D7" s="43">
        <v>2700000</v>
      </c>
      <c r="E7" s="44">
        <v>6.3</v>
      </c>
    </row>
    <row r="8" spans="3:5" ht="15.6" x14ac:dyDescent="0.3">
      <c r="C8" t="s">
        <v>43</v>
      </c>
      <c r="D8" s="43">
        <v>2700000</v>
      </c>
      <c r="E8" s="44">
        <v>5.35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71"/>
  <sheetViews>
    <sheetView topLeftCell="A40" workbookViewId="0">
      <selection activeCell="D47" sqref="D47:F47"/>
    </sheetView>
  </sheetViews>
  <sheetFormatPr baseColWidth="10" defaultColWidth="11.44140625" defaultRowHeight="15.6" x14ac:dyDescent="0.3"/>
  <cols>
    <col min="1" max="3" width="11.44140625" style="19"/>
    <col min="4" max="4" width="15.44140625" style="20" bestFit="1" customWidth="1"/>
    <col min="5" max="5" width="3.44140625" style="20" customWidth="1"/>
    <col min="6" max="6" width="15.44140625" style="20" bestFit="1" customWidth="1"/>
    <col min="7" max="7" width="5.109375" style="20" customWidth="1"/>
    <col min="8" max="8" width="11.5546875" style="20" bestFit="1" customWidth="1"/>
    <col min="9" max="9" width="11.44140625" style="20"/>
    <col min="10" max="10" width="16.109375" style="20" bestFit="1" customWidth="1"/>
    <col min="11" max="11" width="4.5546875" style="20" customWidth="1"/>
    <col min="12" max="13" width="11.44140625" style="20"/>
    <col min="14" max="14" width="14.109375" style="19" bestFit="1" customWidth="1"/>
    <col min="15" max="15" width="12.44140625" style="19" bestFit="1" customWidth="1"/>
    <col min="16" max="16" width="14.6640625" style="19" customWidth="1"/>
    <col min="17" max="16384" width="11.44140625" style="19"/>
  </cols>
  <sheetData>
    <row r="2" spans="1:13" ht="25.5" customHeight="1" x14ac:dyDescent="0.3">
      <c r="A2" s="114" t="s">
        <v>28</v>
      </c>
      <c r="B2" s="114"/>
      <c r="C2" s="114"/>
      <c r="D2" s="114"/>
      <c r="E2" s="114"/>
      <c r="F2" s="114"/>
      <c r="G2" s="114"/>
      <c r="H2" s="114"/>
      <c r="I2" s="114"/>
      <c r="J2" s="114"/>
      <c r="K2" s="114"/>
      <c r="L2" s="114"/>
      <c r="M2" s="114"/>
    </row>
    <row r="3" spans="1:13" ht="25.5" customHeight="1" x14ac:dyDescent="0.3">
      <c r="A3" s="21"/>
      <c r="B3" s="21"/>
      <c r="C3" s="21"/>
      <c r="D3" s="21"/>
      <c r="E3" s="21"/>
      <c r="F3" s="21"/>
      <c r="G3" s="21"/>
      <c r="H3" s="21"/>
      <c r="I3" s="21"/>
      <c r="J3" s="21"/>
      <c r="K3" s="21"/>
      <c r="L3" s="21"/>
      <c r="M3" s="21"/>
    </row>
    <row r="4" spans="1:13" ht="25.5" customHeight="1" x14ac:dyDescent="0.3">
      <c r="A4" s="141" t="s">
        <v>37</v>
      </c>
      <c r="B4" s="141"/>
      <c r="C4" s="141"/>
      <c r="D4" s="141"/>
      <c r="E4" s="141"/>
      <c r="F4" s="141"/>
      <c r="G4" s="141"/>
      <c r="H4" s="141"/>
      <c r="I4" s="141"/>
      <c r="J4" s="141"/>
      <c r="K4" s="141"/>
      <c r="L4" s="141"/>
      <c r="M4" s="141"/>
    </row>
    <row r="6" spans="1:13" ht="20.399999999999999" x14ac:dyDescent="0.35">
      <c r="B6" s="116" t="s">
        <v>25</v>
      </c>
      <c r="C6" s="116"/>
      <c r="D6" s="116"/>
      <c r="E6" s="116"/>
      <c r="F6" s="116"/>
      <c r="G6" s="116"/>
      <c r="H6" s="116"/>
    </row>
    <row r="24" spans="3:18" ht="16.2" thickBot="1" x14ac:dyDescent="0.35"/>
    <row r="25" spans="3:18" x14ac:dyDescent="0.3">
      <c r="H25" s="68" t="s">
        <v>52</v>
      </c>
      <c r="I25" s="69"/>
      <c r="J25" s="70">
        <v>5000000</v>
      </c>
      <c r="K25" s="19"/>
      <c r="M25" s="143" t="s">
        <v>20</v>
      </c>
      <c r="N25" s="144"/>
      <c r="O25" s="144"/>
      <c r="P25" s="144"/>
      <c r="Q25" s="145"/>
    </row>
    <row r="26" spans="3:18" x14ac:dyDescent="0.3">
      <c r="H26" s="71" t="s">
        <v>4</v>
      </c>
      <c r="I26" s="19"/>
      <c r="J26" s="165" t="s">
        <v>21</v>
      </c>
      <c r="K26" s="19"/>
      <c r="M26" s="146" t="s">
        <v>7</v>
      </c>
      <c r="O26" s="29"/>
      <c r="P26" s="29"/>
      <c r="Q26" s="147"/>
    </row>
    <row r="27" spans="3:18" x14ac:dyDescent="0.3">
      <c r="H27" s="72" t="s">
        <v>5</v>
      </c>
      <c r="I27" s="73"/>
      <c r="J27" s="74">
        <v>0</v>
      </c>
      <c r="K27" s="19"/>
      <c r="M27" s="146" t="s">
        <v>8</v>
      </c>
      <c r="N27" s="29"/>
      <c r="O27" s="29"/>
      <c r="P27" s="148"/>
      <c r="Q27" s="147"/>
    </row>
    <row r="28" spans="3:18" x14ac:dyDescent="0.3">
      <c r="C28" s="23"/>
      <c r="H28" s="71" t="s">
        <v>12</v>
      </c>
      <c r="I28" s="19"/>
      <c r="J28" s="75">
        <v>0.4</v>
      </c>
      <c r="M28" s="146" t="s">
        <v>9</v>
      </c>
      <c r="N28" s="29"/>
      <c r="O28" s="29"/>
      <c r="P28" s="149"/>
      <c r="Q28" s="147"/>
      <c r="R28" s="20"/>
    </row>
    <row r="29" spans="3:18" x14ac:dyDescent="0.3">
      <c r="H29" s="76" t="s">
        <v>6</v>
      </c>
      <c r="I29" s="77"/>
      <c r="J29" s="78">
        <v>0</v>
      </c>
      <c r="M29" s="150">
        <f>+P26</f>
        <v>0</v>
      </c>
      <c r="N29" s="151" t="s">
        <v>2</v>
      </c>
      <c r="O29" s="148">
        <f>+P27</f>
        <v>0</v>
      </c>
      <c r="P29" s="19" t="s">
        <v>2</v>
      </c>
      <c r="Q29" s="147">
        <f>+P28</f>
        <v>0</v>
      </c>
    </row>
    <row r="30" spans="3:18" x14ac:dyDescent="0.3">
      <c r="H30" s="162" t="s">
        <v>0</v>
      </c>
      <c r="I30" s="163"/>
      <c r="J30" s="164">
        <v>0</v>
      </c>
      <c r="M30" s="161"/>
      <c r="N30" s="151"/>
      <c r="O30" s="148"/>
      <c r="Q30" s="147"/>
    </row>
    <row r="31" spans="3:18" ht="15.75" customHeight="1" x14ac:dyDescent="0.3">
      <c r="H31" s="79" t="s">
        <v>10</v>
      </c>
      <c r="I31" s="80"/>
      <c r="J31" s="81">
        <v>300000</v>
      </c>
      <c r="M31" s="146"/>
      <c r="N31" s="152">
        <f>+M29*O29</f>
        <v>0</v>
      </c>
      <c r="O31" s="153" t="s">
        <v>2</v>
      </c>
      <c r="P31" s="154">
        <f>+Q29</f>
        <v>0</v>
      </c>
      <c r="Q31" s="147"/>
    </row>
    <row r="32" spans="3:18" ht="16.2" customHeight="1" thickBot="1" x14ac:dyDescent="0.35">
      <c r="H32" s="125" t="s">
        <v>65</v>
      </c>
      <c r="I32" s="126"/>
      <c r="J32" s="127"/>
      <c r="M32" s="155"/>
      <c r="N32" s="156"/>
      <c r="O32" s="157">
        <f>+N31*P31</f>
        <v>0</v>
      </c>
      <c r="P32" s="156"/>
      <c r="Q32" s="158"/>
    </row>
    <row r="33" spans="1:17" ht="16.2" customHeight="1" x14ac:dyDescent="0.3">
      <c r="H33" s="125"/>
      <c r="I33" s="126"/>
      <c r="J33" s="127"/>
      <c r="M33" s="29"/>
      <c r="N33" s="159"/>
      <c r="O33" s="148"/>
      <c r="P33" s="159"/>
      <c r="Q33" s="159"/>
    </row>
    <row r="34" spans="1:17" ht="16.2" customHeight="1" x14ac:dyDescent="0.3">
      <c r="H34" s="125"/>
      <c r="I34" s="126"/>
      <c r="J34" s="127"/>
      <c r="M34" s="29"/>
      <c r="N34" s="159"/>
      <c r="O34" s="148"/>
      <c r="P34" s="159"/>
      <c r="Q34" s="159"/>
    </row>
    <row r="35" spans="1:17" x14ac:dyDescent="0.3">
      <c r="H35" s="125"/>
      <c r="I35" s="126"/>
      <c r="J35" s="127"/>
    </row>
    <row r="36" spans="1:17" ht="16.2" thickBot="1" x14ac:dyDescent="0.35">
      <c r="H36" s="128"/>
      <c r="I36" s="129"/>
      <c r="J36" s="130"/>
    </row>
    <row r="37" spans="1:17" x14ac:dyDescent="0.3">
      <c r="A37" s="22" t="s">
        <v>11</v>
      </c>
      <c r="B37" s="22"/>
      <c r="C37" s="22" t="s">
        <v>3</v>
      </c>
      <c r="D37" s="24"/>
    </row>
    <row r="38" spans="1:17" x14ac:dyDescent="0.3">
      <c r="A38" s="22"/>
      <c r="B38" s="22"/>
      <c r="C38" s="22"/>
      <c r="D38" s="24"/>
    </row>
    <row r="39" spans="1:17" x14ac:dyDescent="0.3">
      <c r="B39" s="46"/>
      <c r="C39" s="166"/>
      <c r="D39" s="82"/>
      <c r="E39" s="53"/>
      <c r="F39" s="53"/>
      <c r="G39" s="53"/>
      <c r="H39" s="53"/>
      <c r="I39" s="53"/>
      <c r="J39" s="53"/>
      <c r="K39" s="53"/>
      <c r="L39" s="53"/>
      <c r="M39" s="19"/>
    </row>
    <row r="40" spans="1:17" ht="20.399999999999999" x14ac:dyDescent="0.35">
      <c r="B40" s="46"/>
      <c r="C40" s="167" t="s">
        <v>0</v>
      </c>
      <c r="D40" s="85" t="s">
        <v>4</v>
      </c>
      <c r="E40" s="83" t="s">
        <v>1</v>
      </c>
      <c r="F40" s="45" t="s">
        <v>5</v>
      </c>
      <c r="G40" s="173" t="s">
        <v>2</v>
      </c>
      <c r="H40" s="92">
        <v>1</v>
      </c>
      <c r="I40" s="92" t="s">
        <v>1</v>
      </c>
      <c r="J40" s="93" t="s">
        <v>61</v>
      </c>
      <c r="K40" s="94" t="s">
        <v>1</v>
      </c>
      <c r="L40" s="84" t="s">
        <v>6</v>
      </c>
      <c r="M40" s="19"/>
    </row>
    <row r="41" spans="1:17" x14ac:dyDescent="0.3">
      <c r="A41" s="22"/>
      <c r="B41" s="166"/>
      <c r="C41" s="46"/>
      <c r="D41" s="109" t="s">
        <v>10</v>
      </c>
      <c r="E41" s="109"/>
      <c r="F41" s="109"/>
      <c r="G41" s="109"/>
      <c r="H41" s="109"/>
      <c r="I41" s="109"/>
      <c r="J41" s="109"/>
      <c r="K41" s="109"/>
      <c r="L41" s="109"/>
    </row>
    <row r="42" spans="1:17" x14ac:dyDescent="0.3">
      <c r="A42" s="22"/>
      <c r="B42" s="166"/>
      <c r="C42" s="166"/>
      <c r="D42" s="82"/>
      <c r="E42" s="53"/>
      <c r="F42" s="53"/>
      <c r="G42" s="53"/>
      <c r="H42" s="53"/>
      <c r="I42" s="53"/>
      <c r="J42" s="53"/>
      <c r="K42" s="53"/>
      <c r="L42" s="53"/>
    </row>
    <row r="43" spans="1:17" x14ac:dyDescent="0.3">
      <c r="B43" s="46"/>
      <c r="C43" s="46"/>
      <c r="D43" s="46"/>
      <c r="E43" s="46"/>
      <c r="F43" s="46"/>
      <c r="G43" s="46"/>
      <c r="H43" s="46"/>
      <c r="I43" s="46"/>
      <c r="J43" s="46"/>
      <c r="K43" s="46"/>
      <c r="L43" s="53"/>
    </row>
    <row r="44" spans="1:17" x14ac:dyDescent="0.3">
      <c r="B44" s="166">
        <f>+J30</f>
        <v>0</v>
      </c>
      <c r="C44" s="46" t="s">
        <v>23</v>
      </c>
      <c r="D44" s="86" t="s">
        <v>4</v>
      </c>
      <c r="E44" s="87" t="s">
        <v>1</v>
      </c>
      <c r="F44" s="88">
        <v>0</v>
      </c>
      <c r="G44" s="172" t="s">
        <v>2</v>
      </c>
      <c r="H44" s="171">
        <v>1</v>
      </c>
      <c r="I44" s="87" t="s">
        <v>1</v>
      </c>
      <c r="J44" s="52">
        <v>0.4</v>
      </c>
      <c r="K44" s="170" t="s">
        <v>1</v>
      </c>
      <c r="L44" s="89">
        <f>+J29</f>
        <v>0</v>
      </c>
    </row>
    <row r="45" spans="1:17" x14ac:dyDescent="0.3">
      <c r="B45" s="46"/>
      <c r="C45" s="46"/>
      <c r="D45" s="109">
        <f>+J31</f>
        <v>300000</v>
      </c>
      <c r="E45" s="109"/>
      <c r="F45" s="109"/>
      <c r="G45" s="109"/>
      <c r="H45" s="109"/>
      <c r="I45" s="109"/>
      <c r="J45" s="109"/>
      <c r="K45" s="109"/>
      <c r="L45" s="109"/>
    </row>
    <row r="46" spans="1:17" x14ac:dyDescent="0.3">
      <c r="B46" s="46"/>
      <c r="C46" s="46"/>
      <c r="D46" s="46"/>
      <c r="E46" s="46"/>
      <c r="F46" s="46"/>
      <c r="G46" s="46"/>
      <c r="H46" s="46"/>
      <c r="I46" s="46"/>
      <c r="J46" s="46"/>
      <c r="K46" s="46"/>
      <c r="L46" s="53"/>
    </row>
    <row r="47" spans="1:17" x14ac:dyDescent="0.3">
      <c r="B47" s="46">
        <f>+B44</f>
        <v>0</v>
      </c>
      <c r="C47" s="46" t="s">
        <v>23</v>
      </c>
      <c r="D47" s="90" t="s">
        <v>4</v>
      </c>
      <c r="E47" s="174" t="s">
        <v>2</v>
      </c>
      <c r="F47" s="47">
        <f>+H44-J44</f>
        <v>0.6</v>
      </c>
      <c r="G47" s="47" t="s">
        <v>1</v>
      </c>
      <c r="H47" s="96">
        <f>+L44</f>
        <v>0</v>
      </c>
      <c r="I47" s="46"/>
      <c r="J47" s="46"/>
      <c r="K47" s="46"/>
      <c r="L47" s="53"/>
    </row>
    <row r="48" spans="1:17" x14ac:dyDescent="0.3">
      <c r="B48" s="46"/>
      <c r="C48" s="46"/>
      <c r="D48" s="115">
        <f>+D45</f>
        <v>300000</v>
      </c>
      <c r="E48" s="115"/>
      <c r="F48" s="115"/>
      <c r="G48" s="115"/>
      <c r="H48" s="115"/>
      <c r="I48" s="53"/>
      <c r="J48" s="53"/>
      <c r="K48" s="53"/>
      <c r="L48" s="53"/>
    </row>
    <row r="49" spans="2:12" x14ac:dyDescent="0.3">
      <c r="B49" s="46"/>
      <c r="C49" s="46"/>
      <c r="D49" s="87"/>
      <c r="E49" s="87"/>
      <c r="F49" s="87"/>
      <c r="G49" s="87"/>
      <c r="H49" s="87"/>
      <c r="I49" s="53"/>
      <c r="J49" s="53"/>
      <c r="K49" s="53"/>
      <c r="L49" s="53"/>
    </row>
    <row r="50" spans="2:12" x14ac:dyDescent="0.3">
      <c r="B50" s="46">
        <f>+B47</f>
        <v>0</v>
      </c>
      <c r="C50" s="46" t="s">
        <v>16</v>
      </c>
      <c r="D50" s="177">
        <f>+D48</f>
        <v>300000</v>
      </c>
      <c r="E50" s="87" t="s">
        <v>23</v>
      </c>
      <c r="F50" s="87" t="str">
        <f>+D47</f>
        <v>UAII</v>
      </c>
      <c r="G50" s="175" t="s">
        <v>2</v>
      </c>
      <c r="H50" s="87">
        <f>+F47</f>
        <v>0.6</v>
      </c>
      <c r="I50" s="82" t="s">
        <v>1</v>
      </c>
      <c r="J50" s="176">
        <f>+H47</f>
        <v>0</v>
      </c>
      <c r="K50" s="53"/>
      <c r="L50" s="53"/>
    </row>
    <row r="51" spans="2:12" x14ac:dyDescent="0.3">
      <c r="B51" s="46"/>
      <c r="C51" s="46"/>
      <c r="D51" s="87"/>
      <c r="E51" s="87"/>
      <c r="F51" s="87"/>
      <c r="G51" s="175"/>
      <c r="H51" s="87"/>
      <c r="I51" s="82"/>
      <c r="J51" s="53"/>
      <c r="K51" s="53"/>
      <c r="L51" s="53"/>
    </row>
    <row r="52" spans="2:12" x14ac:dyDescent="0.3">
      <c r="B52" s="46"/>
      <c r="C52" s="46"/>
      <c r="D52" s="87">
        <f>+B50*D50</f>
        <v>0</v>
      </c>
      <c r="E52" s="87" t="s">
        <v>23</v>
      </c>
      <c r="F52" s="87" t="s">
        <v>4</v>
      </c>
      <c r="G52" s="175" t="s">
        <v>2</v>
      </c>
      <c r="H52" s="87">
        <v>0.6</v>
      </c>
      <c r="I52" s="82" t="s">
        <v>1</v>
      </c>
      <c r="J52" s="176">
        <v>0</v>
      </c>
      <c r="K52" s="53"/>
      <c r="L52" s="168" t="s">
        <v>48</v>
      </c>
    </row>
    <row r="53" spans="2:12" x14ac:dyDescent="0.3">
      <c r="B53" s="46"/>
      <c r="C53" s="46"/>
      <c r="D53" s="87"/>
      <c r="E53" s="87"/>
      <c r="F53" s="87"/>
      <c r="G53" s="175"/>
      <c r="H53" s="87"/>
      <c r="I53" s="53"/>
      <c r="J53" s="53"/>
      <c r="K53" s="53"/>
      <c r="L53" s="53"/>
    </row>
    <row r="54" spans="2:12" x14ac:dyDescent="0.3">
      <c r="B54" s="46">
        <f>+D52</f>
        <v>0</v>
      </c>
      <c r="C54" s="46" t="s">
        <v>49</v>
      </c>
      <c r="D54" s="87">
        <f>+J52</f>
        <v>0</v>
      </c>
      <c r="E54" s="87" t="s">
        <v>23</v>
      </c>
      <c r="F54" s="87" t="s">
        <v>4</v>
      </c>
      <c r="G54" s="175" t="s">
        <v>2</v>
      </c>
      <c r="H54" s="87">
        <v>0.6</v>
      </c>
      <c r="I54" s="53"/>
      <c r="J54" s="53"/>
      <c r="K54" s="53"/>
      <c r="L54" s="53"/>
    </row>
    <row r="55" spans="2:12" x14ac:dyDescent="0.3">
      <c r="B55" s="46"/>
      <c r="C55" s="46"/>
      <c r="D55" s="87"/>
      <c r="E55" s="87"/>
      <c r="F55" s="87"/>
      <c r="G55" s="175"/>
      <c r="H55" s="87"/>
      <c r="I55" s="53"/>
      <c r="J55" s="53"/>
      <c r="K55" s="53"/>
      <c r="L55" s="53"/>
    </row>
    <row r="56" spans="2:12" x14ac:dyDescent="0.3">
      <c r="B56" s="46"/>
      <c r="C56" s="46"/>
      <c r="D56" s="87">
        <f>+B54+D54</f>
        <v>0</v>
      </c>
      <c r="E56" s="87" t="s">
        <v>23</v>
      </c>
      <c r="F56" s="87" t="s">
        <v>4</v>
      </c>
      <c r="G56" s="175" t="s">
        <v>2</v>
      </c>
      <c r="H56" s="87">
        <v>0.6</v>
      </c>
      <c r="I56" s="53"/>
      <c r="J56" s="53"/>
      <c r="K56" s="53"/>
      <c r="L56" s="53"/>
    </row>
    <row r="57" spans="2:12" x14ac:dyDescent="0.3">
      <c r="B57" s="46"/>
      <c r="C57" s="46"/>
      <c r="D57" s="87"/>
      <c r="E57" s="87"/>
      <c r="F57" s="87"/>
      <c r="G57" s="87"/>
      <c r="H57" s="87"/>
      <c r="I57" s="53"/>
      <c r="J57" s="53"/>
      <c r="K57" s="53"/>
      <c r="L57" s="53"/>
    </row>
    <row r="58" spans="2:12" x14ac:dyDescent="0.3">
      <c r="B58" s="46"/>
      <c r="C58" s="46"/>
      <c r="D58" s="83">
        <f>+D56</f>
        <v>0</v>
      </c>
      <c r="E58" s="87" t="s">
        <v>23</v>
      </c>
      <c r="F58" s="87" t="s">
        <v>4</v>
      </c>
      <c r="G58" s="87"/>
      <c r="H58" s="87"/>
      <c r="I58" s="53"/>
      <c r="J58" s="53"/>
      <c r="K58" s="53"/>
      <c r="L58" s="53"/>
    </row>
    <row r="59" spans="2:12" x14ac:dyDescent="0.3">
      <c r="B59" s="46"/>
      <c r="C59" s="46"/>
      <c r="D59" s="87">
        <f>+H56</f>
        <v>0.6</v>
      </c>
      <c r="E59" s="87"/>
      <c r="F59" s="87"/>
      <c r="G59" s="87"/>
      <c r="H59" s="87"/>
      <c r="I59" s="53"/>
      <c r="J59" s="53"/>
      <c r="K59" s="53"/>
      <c r="L59" s="53"/>
    </row>
    <row r="60" spans="2:12" x14ac:dyDescent="0.3">
      <c r="B60" s="46"/>
      <c r="C60" s="46"/>
      <c r="D60" s="87"/>
      <c r="E60" s="87"/>
      <c r="F60" s="87"/>
      <c r="G60" s="87"/>
      <c r="H60" s="87"/>
      <c r="I60" s="53"/>
      <c r="J60" s="53"/>
      <c r="K60" s="53"/>
      <c r="L60" s="53"/>
    </row>
    <row r="61" spans="2:12" x14ac:dyDescent="0.3">
      <c r="B61" s="46"/>
      <c r="C61" s="46"/>
      <c r="D61" s="87">
        <f>+D58/D59</f>
        <v>0</v>
      </c>
      <c r="E61" s="87" t="s">
        <v>23</v>
      </c>
      <c r="F61" s="87" t="s">
        <v>4</v>
      </c>
      <c r="G61" s="87"/>
      <c r="H61" s="87"/>
      <c r="I61" s="53"/>
      <c r="J61" s="53"/>
      <c r="K61" s="53"/>
      <c r="L61" s="53"/>
    </row>
    <row r="62" spans="2:12" x14ac:dyDescent="0.3">
      <c r="B62" s="46"/>
      <c r="C62" s="46"/>
      <c r="D62" s="87"/>
      <c r="E62" s="87"/>
      <c r="F62" s="87"/>
      <c r="G62" s="87"/>
      <c r="H62" s="87"/>
      <c r="I62" s="53"/>
      <c r="J62" s="53"/>
      <c r="K62" s="53"/>
      <c r="L62" s="53"/>
    </row>
    <row r="63" spans="2:12" x14ac:dyDescent="0.3">
      <c r="B63" s="46"/>
      <c r="C63" s="46"/>
      <c r="D63" s="53"/>
      <c r="E63" s="53"/>
      <c r="F63" s="53"/>
      <c r="G63" s="53"/>
      <c r="H63" s="53"/>
      <c r="I63" s="53"/>
      <c r="J63" s="53"/>
      <c r="K63" s="53"/>
      <c r="L63" s="53"/>
    </row>
    <row r="64" spans="2:12" x14ac:dyDescent="0.3">
      <c r="B64" s="46"/>
      <c r="C64" s="46" t="s">
        <v>4</v>
      </c>
      <c r="D64" s="91">
        <v>0</v>
      </c>
      <c r="E64" s="53"/>
      <c r="F64" s="53"/>
      <c r="G64" s="53"/>
      <c r="H64" s="53"/>
      <c r="I64" s="53"/>
      <c r="J64" s="53"/>
      <c r="K64" s="53"/>
      <c r="L64" s="53"/>
    </row>
    <row r="65" spans="2:12" x14ac:dyDescent="0.3">
      <c r="B65" s="46"/>
      <c r="C65" s="46"/>
      <c r="D65" s="53">
        <v>0.6</v>
      </c>
      <c r="E65" s="53"/>
      <c r="F65" s="53"/>
      <c r="G65" s="53"/>
      <c r="H65" s="53"/>
      <c r="I65" s="53"/>
      <c r="J65" s="53"/>
      <c r="K65" s="53"/>
      <c r="L65" s="53"/>
    </row>
    <row r="66" spans="2:12" x14ac:dyDescent="0.3">
      <c r="B66" s="46"/>
      <c r="C66" s="46"/>
      <c r="D66" s="53"/>
      <c r="E66" s="53"/>
      <c r="F66" s="53"/>
      <c r="G66" s="53"/>
      <c r="H66" s="53"/>
      <c r="I66" s="53"/>
      <c r="J66" s="53" t="s">
        <v>48</v>
      </c>
      <c r="K66" s="53"/>
      <c r="L66" s="53"/>
    </row>
    <row r="67" spans="2:12" x14ac:dyDescent="0.3">
      <c r="B67" s="46"/>
      <c r="C67" s="166" t="s">
        <v>40</v>
      </c>
      <c r="D67" s="169">
        <f>+D61</f>
        <v>0</v>
      </c>
      <c r="E67" s="53"/>
      <c r="F67" s="53"/>
      <c r="G67" s="53"/>
      <c r="H67" s="53"/>
      <c r="I67" s="53"/>
      <c r="J67" s="53"/>
      <c r="K67" s="53"/>
      <c r="L67" s="53"/>
    </row>
    <row r="69" spans="2:12" ht="16.2" thickBot="1" x14ac:dyDescent="0.35"/>
    <row r="70" spans="2:12" x14ac:dyDescent="0.3">
      <c r="B70" s="179" t="s">
        <v>66</v>
      </c>
      <c r="C70" s="180"/>
      <c r="D70" s="180"/>
      <c r="E70" s="180"/>
      <c r="F70" s="180"/>
      <c r="G70" s="180"/>
      <c r="H70" s="180"/>
      <c r="I70" s="181"/>
    </row>
    <row r="71" spans="2:12" ht="16.2" thickBot="1" x14ac:dyDescent="0.35">
      <c r="B71" s="182"/>
      <c r="C71" s="183"/>
      <c r="D71" s="183"/>
      <c r="E71" s="183"/>
      <c r="F71" s="183"/>
      <c r="G71" s="183"/>
      <c r="H71" s="183"/>
      <c r="I71" s="184"/>
    </row>
  </sheetData>
  <mergeCells count="9">
    <mergeCell ref="B70:I71"/>
    <mergeCell ref="D45:L45"/>
    <mergeCell ref="D48:H48"/>
    <mergeCell ref="A2:M2"/>
    <mergeCell ref="M25:Q25"/>
    <mergeCell ref="A4:M4"/>
    <mergeCell ref="B6:H6"/>
    <mergeCell ref="H32:J36"/>
    <mergeCell ref="D41:L4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Q69"/>
  <sheetViews>
    <sheetView topLeftCell="A46" workbookViewId="0">
      <selection activeCell="J51" sqref="J51"/>
    </sheetView>
  </sheetViews>
  <sheetFormatPr baseColWidth="10" defaultColWidth="11.44140625" defaultRowHeight="15.6" x14ac:dyDescent="0.3"/>
  <cols>
    <col min="1" max="3" width="11.44140625" style="19"/>
    <col min="4" max="4" width="15.44140625" style="20" bestFit="1" customWidth="1"/>
    <col min="5" max="5" width="3.44140625" style="20" customWidth="1"/>
    <col min="6" max="6" width="15.44140625" style="20" bestFit="1" customWidth="1"/>
    <col min="7" max="7" width="5.109375" style="20" customWidth="1"/>
    <col min="8" max="8" width="14.5546875" style="20" customWidth="1"/>
    <col min="9" max="9" width="6.33203125" style="20" customWidth="1"/>
    <col min="10" max="10" width="17.44140625" style="20" customWidth="1"/>
    <col min="11" max="11" width="4.5546875" style="20" customWidth="1"/>
    <col min="12" max="12" width="11.44140625" style="20"/>
    <col min="13" max="13" width="11.44140625" style="19"/>
    <col min="14" max="14" width="15.33203125" style="19" customWidth="1"/>
    <col min="15" max="15" width="15.77734375" style="19" customWidth="1"/>
    <col min="16" max="16" width="14.6640625" style="19" customWidth="1"/>
    <col min="17" max="16384" width="11.44140625" style="19"/>
  </cols>
  <sheetData>
    <row r="2" spans="1:13" ht="25.5" customHeight="1" x14ac:dyDescent="0.3">
      <c r="A2" s="114" t="s">
        <v>28</v>
      </c>
      <c r="B2" s="114"/>
      <c r="C2" s="114"/>
      <c r="D2" s="114"/>
      <c r="E2" s="114"/>
      <c r="F2" s="114"/>
      <c r="G2" s="114"/>
      <c r="H2" s="114"/>
      <c r="I2" s="114"/>
      <c r="J2" s="114"/>
      <c r="K2" s="114"/>
      <c r="L2" s="114"/>
      <c r="M2" s="114"/>
    </row>
    <row r="3" spans="1:13" ht="25.5" customHeight="1" x14ac:dyDescent="0.3">
      <c r="A3" s="21"/>
      <c r="B3" s="21"/>
      <c r="C3" s="21"/>
      <c r="D3" s="21"/>
      <c r="E3" s="21"/>
      <c r="F3" s="21"/>
      <c r="G3" s="21"/>
      <c r="H3" s="21"/>
      <c r="I3" s="21"/>
      <c r="J3" s="21"/>
      <c r="K3" s="21"/>
      <c r="L3" s="21"/>
      <c r="M3" s="21"/>
    </row>
    <row r="4" spans="1:13" ht="25.5" customHeight="1" x14ac:dyDescent="0.3">
      <c r="A4" s="141" t="s">
        <v>37</v>
      </c>
      <c r="B4" s="141"/>
      <c r="C4" s="141"/>
      <c r="D4" s="141"/>
      <c r="E4" s="141"/>
      <c r="F4" s="141"/>
      <c r="G4" s="141"/>
      <c r="H4" s="141"/>
      <c r="I4" s="141"/>
      <c r="J4" s="141"/>
      <c r="K4" s="141"/>
      <c r="L4" s="141"/>
      <c r="M4" s="141"/>
    </row>
    <row r="5" spans="1:13" x14ac:dyDescent="0.3">
      <c r="M5" s="20"/>
    </row>
    <row r="6" spans="1:13" ht="20.399999999999999" x14ac:dyDescent="0.35">
      <c r="B6" s="116" t="s">
        <v>26</v>
      </c>
      <c r="C6" s="116"/>
      <c r="D6" s="116"/>
      <c r="E6" s="116"/>
      <c r="F6" s="116"/>
      <c r="M6" s="20"/>
    </row>
    <row r="24" spans="3:17" ht="16.2" thickBot="1" x14ac:dyDescent="0.35"/>
    <row r="25" spans="3:17" x14ac:dyDescent="0.3">
      <c r="H25" s="117" t="s">
        <v>52</v>
      </c>
      <c r="I25" s="118"/>
      <c r="J25" s="70">
        <v>5000000</v>
      </c>
      <c r="K25" s="19"/>
      <c r="L25" s="119" t="s">
        <v>53</v>
      </c>
      <c r="M25" s="120"/>
      <c r="N25" s="120"/>
      <c r="O25" s="120"/>
      <c r="P25" s="120"/>
      <c r="Q25" s="63" t="s">
        <v>4</v>
      </c>
    </row>
    <row r="26" spans="3:17" x14ac:dyDescent="0.3">
      <c r="H26" s="71" t="s">
        <v>4</v>
      </c>
      <c r="I26" s="19"/>
      <c r="J26" s="165" t="s">
        <v>21</v>
      </c>
      <c r="K26" s="19"/>
      <c r="L26" s="121" t="s">
        <v>60</v>
      </c>
      <c r="M26" s="122"/>
      <c r="N26" s="122"/>
      <c r="O26" s="122"/>
      <c r="P26" s="122"/>
      <c r="Q26" s="64" t="s">
        <v>5</v>
      </c>
    </row>
    <row r="27" spans="3:17" x14ac:dyDescent="0.3">
      <c r="H27" s="72" t="s">
        <v>5</v>
      </c>
      <c r="I27" s="185">
        <v>0.12</v>
      </c>
      <c r="J27" s="74">
        <f>+N43</f>
        <v>600000</v>
      </c>
      <c r="K27" s="19"/>
      <c r="L27" s="121" t="s">
        <v>54</v>
      </c>
      <c r="M27" s="122"/>
      <c r="N27" s="122"/>
      <c r="O27" s="122"/>
      <c r="P27" s="122"/>
      <c r="Q27" s="65" t="s">
        <v>12</v>
      </c>
    </row>
    <row r="28" spans="3:17" x14ac:dyDescent="0.3">
      <c r="C28" s="23"/>
      <c r="H28" s="71" t="s">
        <v>12</v>
      </c>
      <c r="I28" s="19"/>
      <c r="J28" s="75">
        <v>0.4</v>
      </c>
      <c r="L28" s="121" t="s">
        <v>59</v>
      </c>
      <c r="M28" s="122"/>
      <c r="N28" s="122"/>
      <c r="O28" s="122"/>
      <c r="P28" s="122"/>
      <c r="Q28" s="66" t="s">
        <v>6</v>
      </c>
    </row>
    <row r="29" spans="3:17" ht="16.2" thickBot="1" x14ac:dyDescent="0.35">
      <c r="H29" s="76" t="s">
        <v>6</v>
      </c>
      <c r="I29" s="77"/>
      <c r="J29" s="78">
        <v>0</v>
      </c>
      <c r="L29" s="123" t="s">
        <v>31</v>
      </c>
      <c r="M29" s="124"/>
      <c r="N29" s="124"/>
      <c r="O29" s="124"/>
      <c r="P29" s="124"/>
      <c r="Q29" s="67" t="s">
        <v>10</v>
      </c>
    </row>
    <row r="30" spans="3:17" ht="15.75" customHeight="1" x14ac:dyDescent="0.3">
      <c r="H30" s="162" t="s">
        <v>0</v>
      </c>
      <c r="I30" s="163"/>
      <c r="J30" s="164">
        <v>0</v>
      </c>
      <c r="N30" s="148"/>
      <c r="O30" s="159"/>
      <c r="P30" s="159"/>
    </row>
    <row r="31" spans="3:17" ht="15.75" customHeight="1" x14ac:dyDescent="0.3">
      <c r="H31" s="79" t="s">
        <v>10</v>
      </c>
      <c r="I31" s="80"/>
      <c r="J31" s="81">
        <v>200000</v>
      </c>
      <c r="N31" s="148"/>
      <c r="O31" s="159"/>
      <c r="P31" s="159"/>
    </row>
    <row r="32" spans="3:17" ht="16.2" customHeight="1" thickBot="1" x14ac:dyDescent="0.35">
      <c r="H32" s="186" t="s">
        <v>67</v>
      </c>
      <c r="I32" s="187"/>
      <c r="J32" s="188"/>
      <c r="L32" s="131" t="s">
        <v>58</v>
      </c>
      <c r="M32" s="131"/>
      <c r="N32" s="131"/>
      <c r="O32" s="131"/>
      <c r="P32" s="159"/>
    </row>
    <row r="33" spans="1:16" x14ac:dyDescent="0.3">
      <c r="H33" s="186"/>
      <c r="I33" s="187"/>
      <c r="J33" s="188"/>
      <c r="L33" s="54" t="s">
        <v>55</v>
      </c>
      <c r="M33" s="55"/>
      <c r="N33" s="55"/>
      <c r="O33" s="56">
        <v>200000</v>
      </c>
    </row>
    <row r="34" spans="1:16" ht="16.2" thickBot="1" x14ac:dyDescent="0.35">
      <c r="H34" s="189"/>
      <c r="I34" s="190"/>
      <c r="J34" s="191"/>
      <c r="L34" s="57" t="s">
        <v>56</v>
      </c>
      <c r="M34" s="58"/>
      <c r="N34" s="58"/>
      <c r="O34" s="59">
        <v>50</v>
      </c>
    </row>
    <row r="35" spans="1:16" s="204" customFormat="1" ht="16.2" thickBot="1" x14ac:dyDescent="0.35">
      <c r="L35" s="60" t="s">
        <v>57</v>
      </c>
      <c r="M35" s="61"/>
      <c r="N35" s="61"/>
      <c r="O35" s="62">
        <v>100000</v>
      </c>
    </row>
    <row r="36" spans="1:16" x14ac:dyDescent="0.3">
      <c r="B36" s="205" t="s">
        <v>38</v>
      </c>
      <c r="C36" s="206" t="s">
        <v>50</v>
      </c>
      <c r="D36" s="206"/>
      <c r="E36" s="206"/>
      <c r="F36" s="206"/>
      <c r="G36" s="206"/>
      <c r="H36" s="206"/>
      <c r="I36" s="206"/>
      <c r="J36" s="207"/>
    </row>
    <row r="37" spans="1:16" x14ac:dyDescent="0.3">
      <c r="B37" s="33"/>
      <c r="C37" s="208"/>
      <c r="D37" s="208"/>
      <c r="E37" s="208"/>
      <c r="F37" s="208"/>
      <c r="G37" s="208"/>
      <c r="H37" s="208"/>
      <c r="I37" s="208"/>
      <c r="J37" s="209"/>
      <c r="N37" s="192" t="s">
        <v>14</v>
      </c>
      <c r="O37" s="193"/>
      <c r="P37" s="194"/>
    </row>
    <row r="38" spans="1:16" ht="16.2" thickBot="1" x14ac:dyDescent="0.35">
      <c r="B38" s="34"/>
      <c r="C38" s="210"/>
      <c r="D38" s="210"/>
      <c r="E38" s="210"/>
      <c r="F38" s="210"/>
      <c r="G38" s="210"/>
      <c r="H38" s="210"/>
      <c r="I38" s="210"/>
      <c r="J38" s="211"/>
      <c r="N38" s="195" t="s">
        <v>30</v>
      </c>
      <c r="P38" s="196"/>
    </row>
    <row r="39" spans="1:16" x14ac:dyDescent="0.3">
      <c r="N39" s="197">
        <f>+J25</f>
        <v>5000000</v>
      </c>
      <c r="O39" s="198"/>
      <c r="P39" s="199"/>
    </row>
    <row r="40" spans="1:16" x14ac:dyDescent="0.3">
      <c r="A40" s="22" t="s">
        <v>13</v>
      </c>
      <c r="B40" s="22"/>
      <c r="C40" s="22" t="s">
        <v>17</v>
      </c>
      <c r="D40" s="24"/>
      <c r="N40" s="195" t="s">
        <v>15</v>
      </c>
      <c r="O40" s="149">
        <v>0.12</v>
      </c>
      <c r="P40" s="196"/>
    </row>
    <row r="41" spans="1:16" x14ac:dyDescent="0.3">
      <c r="A41" s="22"/>
      <c r="B41" s="22"/>
      <c r="C41" s="22"/>
      <c r="D41" s="24"/>
      <c r="N41" s="195"/>
      <c r="P41" s="196"/>
    </row>
    <row r="42" spans="1:16" ht="20.399999999999999" x14ac:dyDescent="0.35">
      <c r="A42" s="46"/>
      <c r="B42" s="46"/>
      <c r="C42" s="167" t="s">
        <v>0</v>
      </c>
      <c r="D42" s="85" t="s">
        <v>4</v>
      </c>
      <c r="E42" s="173" t="s">
        <v>1</v>
      </c>
      <c r="F42" s="45" t="s">
        <v>5</v>
      </c>
      <c r="G42" s="173" t="s">
        <v>2</v>
      </c>
      <c r="H42" s="92">
        <v>1</v>
      </c>
      <c r="I42" s="92" t="s">
        <v>1</v>
      </c>
      <c r="J42" s="93" t="s">
        <v>61</v>
      </c>
      <c r="K42" s="94" t="s">
        <v>1</v>
      </c>
      <c r="L42" s="84" t="s">
        <v>6</v>
      </c>
      <c r="M42" s="46"/>
      <c r="N42" s="200">
        <f>+N39</f>
        <v>5000000</v>
      </c>
      <c r="O42" s="160" t="s">
        <v>16</v>
      </c>
      <c r="P42" s="154">
        <f>+O40</f>
        <v>0.12</v>
      </c>
    </row>
    <row r="43" spans="1:16" x14ac:dyDescent="0.3">
      <c r="A43" s="46"/>
      <c r="B43" s="46"/>
      <c r="C43" s="46"/>
      <c r="D43" s="109" t="s">
        <v>10</v>
      </c>
      <c r="E43" s="109"/>
      <c r="F43" s="109"/>
      <c r="G43" s="109"/>
      <c r="H43" s="109"/>
      <c r="I43" s="109"/>
      <c r="J43" s="109"/>
      <c r="K43" s="109"/>
      <c r="L43" s="109"/>
      <c r="M43" s="46"/>
      <c r="N43" s="201">
        <f>+N42*P42</f>
        <v>600000</v>
      </c>
      <c r="O43" s="202"/>
      <c r="P43" s="203"/>
    </row>
    <row r="44" spans="1:16" x14ac:dyDescent="0.3">
      <c r="A44" s="166"/>
      <c r="B44" s="166"/>
      <c r="C44" s="166"/>
      <c r="D44" s="82"/>
      <c r="E44" s="53"/>
      <c r="F44" s="53"/>
      <c r="G44" s="53"/>
      <c r="H44" s="53"/>
      <c r="I44" s="53"/>
      <c r="J44" s="53"/>
      <c r="K44" s="53"/>
      <c r="L44" s="53"/>
      <c r="M44" s="46"/>
    </row>
    <row r="45" spans="1:16" ht="20.399999999999999" x14ac:dyDescent="0.35">
      <c r="A45" s="46"/>
      <c r="B45" s="166">
        <v>0</v>
      </c>
      <c r="C45" s="46" t="s">
        <v>23</v>
      </c>
      <c r="D45" s="86" t="s">
        <v>4</v>
      </c>
      <c r="E45" s="175" t="s">
        <v>1</v>
      </c>
      <c r="F45" s="88">
        <f>+J27</f>
        <v>600000</v>
      </c>
      <c r="G45" s="172" t="s">
        <v>2</v>
      </c>
      <c r="H45" s="171">
        <v>1</v>
      </c>
      <c r="I45" s="87" t="s">
        <v>1</v>
      </c>
      <c r="J45" s="52">
        <v>0.4</v>
      </c>
      <c r="K45" s="94" t="s">
        <v>1</v>
      </c>
      <c r="L45" s="89">
        <f>+J30</f>
        <v>0</v>
      </c>
      <c r="M45" s="46"/>
    </row>
    <row r="46" spans="1:16" x14ac:dyDescent="0.3">
      <c r="A46" s="46"/>
      <c r="B46" s="46"/>
      <c r="C46" s="46"/>
      <c r="D46" s="109">
        <f>+J31</f>
        <v>200000</v>
      </c>
      <c r="E46" s="109"/>
      <c r="F46" s="109"/>
      <c r="G46" s="109"/>
      <c r="H46" s="109"/>
      <c r="I46" s="109"/>
      <c r="J46" s="109"/>
      <c r="K46" s="109"/>
      <c r="L46" s="109"/>
      <c r="M46" s="46"/>
    </row>
    <row r="47" spans="1:16" x14ac:dyDescent="0.3">
      <c r="A47" s="46"/>
      <c r="B47" s="46"/>
      <c r="C47" s="46"/>
      <c r="D47" s="46"/>
      <c r="E47" s="46"/>
      <c r="F47" s="46"/>
      <c r="G47" s="46"/>
      <c r="H47" s="46"/>
      <c r="I47" s="46"/>
      <c r="J47" s="46"/>
      <c r="K47" s="46"/>
      <c r="L47" s="53"/>
      <c r="M47" s="46"/>
    </row>
    <row r="48" spans="1:16" ht="20.399999999999999" x14ac:dyDescent="0.35">
      <c r="A48" s="46"/>
      <c r="B48" s="46">
        <v>0</v>
      </c>
      <c r="C48" s="46" t="s">
        <v>23</v>
      </c>
      <c r="D48" s="213" t="s">
        <v>4</v>
      </c>
      <c r="E48" s="216" t="s">
        <v>1</v>
      </c>
      <c r="F48" s="214">
        <f>+F45</f>
        <v>600000</v>
      </c>
      <c r="G48" s="212" t="s">
        <v>2</v>
      </c>
      <c r="H48" s="212">
        <f>+H45-J45</f>
        <v>0.6</v>
      </c>
      <c r="I48" s="94" t="s">
        <v>1</v>
      </c>
      <c r="J48" s="84">
        <v>0</v>
      </c>
      <c r="K48" s="46"/>
      <c r="L48" s="53"/>
      <c r="M48" s="46"/>
    </row>
    <row r="49" spans="1:13" x14ac:dyDescent="0.3">
      <c r="A49" s="46"/>
      <c r="B49" s="46"/>
      <c r="C49" s="46"/>
      <c r="D49" s="109">
        <f>+D46</f>
        <v>200000</v>
      </c>
      <c r="E49" s="109"/>
      <c r="F49" s="109"/>
      <c r="G49" s="109"/>
      <c r="H49" s="109"/>
      <c r="I49" s="53"/>
      <c r="J49" s="53"/>
      <c r="K49" s="53"/>
      <c r="L49" s="53"/>
      <c r="M49" s="46"/>
    </row>
    <row r="50" spans="1:13" x14ac:dyDescent="0.3">
      <c r="A50" s="46"/>
      <c r="B50" s="46"/>
      <c r="C50" s="46"/>
      <c r="D50" s="53"/>
      <c r="E50" s="53"/>
      <c r="F50" s="53"/>
      <c r="G50" s="53"/>
      <c r="H50" s="53"/>
      <c r="I50" s="53"/>
      <c r="J50" s="53"/>
      <c r="K50" s="53"/>
      <c r="L50" s="53"/>
      <c r="M50" s="46"/>
    </row>
    <row r="51" spans="1:13" x14ac:dyDescent="0.3">
      <c r="A51" s="46"/>
      <c r="B51" s="46">
        <v>0</v>
      </c>
      <c r="C51" s="46" t="s">
        <v>23</v>
      </c>
      <c r="D51" s="91" t="s">
        <v>22</v>
      </c>
      <c r="E51" s="174" t="s">
        <v>1</v>
      </c>
      <c r="F51" s="214">
        <f>+F48*H48</f>
        <v>360000</v>
      </c>
      <c r="G51" s="215" t="s">
        <v>1</v>
      </c>
      <c r="H51" s="96">
        <v>0</v>
      </c>
      <c r="I51" s="46"/>
      <c r="J51" s="46"/>
      <c r="K51" s="53"/>
      <c r="L51" s="53"/>
      <c r="M51" s="46"/>
    </row>
    <row r="52" spans="1:13" x14ac:dyDescent="0.3">
      <c r="A52" s="46"/>
      <c r="B52" s="46"/>
      <c r="C52" s="46"/>
      <c r="D52" s="178">
        <f>+D49</f>
        <v>200000</v>
      </c>
      <c r="E52" s="178"/>
      <c r="F52" s="178"/>
      <c r="G52" s="178"/>
      <c r="H52" s="178"/>
      <c r="I52" s="46"/>
      <c r="J52" s="46"/>
      <c r="K52" s="53"/>
      <c r="L52" s="53"/>
      <c r="M52" s="46"/>
    </row>
    <row r="53" spans="1:13" x14ac:dyDescent="0.3">
      <c r="A53" s="46"/>
      <c r="B53" s="46"/>
      <c r="C53" s="46"/>
      <c r="D53" s="53"/>
      <c r="E53" s="53"/>
      <c r="F53" s="53"/>
      <c r="G53" s="53"/>
      <c r="H53" s="53"/>
      <c r="I53" s="53"/>
      <c r="J53" s="53"/>
      <c r="K53" s="53"/>
      <c r="L53" s="53"/>
      <c r="M53" s="46"/>
    </row>
    <row r="54" spans="1:13" x14ac:dyDescent="0.3">
      <c r="A54" s="46"/>
      <c r="B54" s="46">
        <v>0</v>
      </c>
      <c r="C54" s="46" t="s">
        <v>16</v>
      </c>
      <c r="D54" s="46">
        <f>+D52</f>
        <v>200000</v>
      </c>
      <c r="E54" s="46" t="s">
        <v>23</v>
      </c>
      <c r="F54" s="46" t="s">
        <v>22</v>
      </c>
      <c r="G54" s="53" t="s">
        <v>1</v>
      </c>
      <c r="H54" s="217">
        <f>+F51-H51</f>
        <v>360000</v>
      </c>
      <c r="I54" s="53"/>
      <c r="J54" s="53"/>
      <c r="K54" s="53"/>
      <c r="L54" s="53"/>
      <c r="M54" s="46"/>
    </row>
    <row r="55" spans="1:13" x14ac:dyDescent="0.3">
      <c r="A55" s="46"/>
      <c r="B55" s="46"/>
      <c r="C55" s="46"/>
      <c r="D55" s="53"/>
      <c r="E55" s="53"/>
      <c r="F55" s="53"/>
      <c r="G55" s="53"/>
      <c r="H55" s="53"/>
      <c r="I55" s="53"/>
      <c r="J55" s="53"/>
      <c r="K55" s="53"/>
      <c r="L55" s="53"/>
      <c r="M55" s="46"/>
    </row>
    <row r="56" spans="1:13" x14ac:dyDescent="0.3">
      <c r="A56" s="46"/>
      <c r="B56" s="46"/>
      <c r="C56" s="46"/>
      <c r="D56" s="53">
        <f>+B54*D54</f>
        <v>0</v>
      </c>
      <c r="E56" s="53" t="s">
        <v>23</v>
      </c>
      <c r="F56" s="46" t="s">
        <v>22</v>
      </c>
      <c r="G56" s="53" t="s">
        <v>1</v>
      </c>
      <c r="H56" s="217">
        <f>+H54</f>
        <v>360000</v>
      </c>
      <c r="I56" s="53"/>
      <c r="J56" s="53"/>
      <c r="K56" s="53"/>
      <c r="L56" s="53"/>
      <c r="M56" s="46"/>
    </row>
    <row r="57" spans="1:13" x14ac:dyDescent="0.3">
      <c r="A57" s="46"/>
      <c r="B57" s="46"/>
      <c r="C57" s="46"/>
      <c r="D57" s="53"/>
      <c r="E57" s="53"/>
      <c r="F57" s="53"/>
      <c r="G57" s="53"/>
      <c r="H57" s="53"/>
      <c r="I57" s="53"/>
      <c r="J57" s="53"/>
      <c r="K57" s="53"/>
      <c r="L57" s="53"/>
      <c r="M57" s="46"/>
    </row>
    <row r="58" spans="1:13" x14ac:dyDescent="0.3">
      <c r="A58" s="46"/>
      <c r="B58" s="46">
        <f>+D56</f>
        <v>0</v>
      </c>
      <c r="C58" s="46" t="s">
        <v>49</v>
      </c>
      <c r="D58" s="217">
        <f>+H56</f>
        <v>360000</v>
      </c>
      <c r="E58" s="53" t="s">
        <v>23</v>
      </c>
      <c r="F58" s="46" t="s">
        <v>22</v>
      </c>
      <c r="G58" s="53"/>
      <c r="H58" s="53"/>
      <c r="I58" s="53"/>
      <c r="J58" s="53"/>
      <c r="K58" s="53"/>
      <c r="L58" s="53"/>
      <c r="M58" s="46"/>
    </row>
    <row r="59" spans="1:13" x14ac:dyDescent="0.3">
      <c r="A59" s="46"/>
      <c r="B59" s="46"/>
      <c r="C59" s="46"/>
      <c r="D59" s="53"/>
      <c r="E59" s="53"/>
      <c r="F59" s="53"/>
      <c r="G59" s="53"/>
      <c r="H59" s="53"/>
      <c r="I59" s="53"/>
      <c r="J59" s="53"/>
      <c r="K59" s="53"/>
      <c r="L59" s="53"/>
      <c r="M59" s="46"/>
    </row>
    <row r="60" spans="1:13" x14ac:dyDescent="0.3">
      <c r="A60" s="46"/>
      <c r="B60" s="46"/>
      <c r="C60" s="46"/>
      <c r="D60" s="217">
        <f>+B58+D58</f>
        <v>360000</v>
      </c>
      <c r="E60" s="53" t="s">
        <v>23</v>
      </c>
      <c r="F60" s="46" t="s">
        <v>22</v>
      </c>
      <c r="G60" s="53"/>
      <c r="H60" s="53"/>
      <c r="I60" s="53"/>
      <c r="J60" s="53"/>
      <c r="K60" s="53"/>
      <c r="L60" s="53"/>
      <c r="M60" s="46"/>
    </row>
    <row r="61" spans="1:13" x14ac:dyDescent="0.3">
      <c r="A61" s="46"/>
      <c r="B61" s="46"/>
      <c r="C61" s="46"/>
      <c r="D61" s="53"/>
      <c r="E61" s="53"/>
      <c r="F61" s="53"/>
      <c r="G61" s="53"/>
      <c r="H61" s="53"/>
      <c r="I61" s="53"/>
      <c r="J61" s="53"/>
      <c r="K61" s="53"/>
      <c r="L61" s="53"/>
      <c r="M61" s="46"/>
    </row>
    <row r="62" spans="1:13" x14ac:dyDescent="0.3">
      <c r="A62" s="46"/>
      <c r="B62" s="46"/>
      <c r="C62" s="46"/>
      <c r="D62" s="91">
        <f>+D60</f>
        <v>360000</v>
      </c>
      <c r="E62" s="53" t="s">
        <v>23</v>
      </c>
      <c r="F62" s="53" t="s">
        <v>4</v>
      </c>
      <c r="G62" s="53"/>
      <c r="H62" s="53"/>
      <c r="I62" s="53"/>
      <c r="J62" s="53"/>
      <c r="K62" s="53"/>
      <c r="L62" s="53"/>
      <c r="M62" s="46"/>
    </row>
    <row r="63" spans="1:13" x14ac:dyDescent="0.3">
      <c r="A63" s="46"/>
      <c r="B63" s="46"/>
      <c r="C63" s="46"/>
      <c r="D63" s="53">
        <v>0.6</v>
      </c>
      <c r="E63" s="53"/>
      <c r="F63" s="53"/>
      <c r="G63" s="53"/>
      <c r="H63" s="53"/>
      <c r="I63" s="53"/>
      <c r="J63" s="53"/>
      <c r="K63" s="53"/>
      <c r="L63" s="53"/>
      <c r="M63" s="46"/>
    </row>
    <row r="64" spans="1:13" x14ac:dyDescent="0.3">
      <c r="A64" s="46"/>
      <c r="B64" s="46"/>
      <c r="C64" s="46"/>
      <c r="D64" s="53"/>
      <c r="E64" s="53"/>
      <c r="F64" s="53"/>
      <c r="G64" s="53"/>
      <c r="H64" s="53"/>
      <c r="I64" s="53"/>
      <c r="J64" s="53"/>
      <c r="K64" s="53"/>
      <c r="L64" s="53"/>
      <c r="M64" s="46"/>
    </row>
    <row r="65" spans="1:13" x14ac:dyDescent="0.3">
      <c r="A65" s="46"/>
      <c r="B65" s="46"/>
      <c r="C65" s="166" t="s">
        <v>40</v>
      </c>
      <c r="D65" s="169">
        <f>+D62/D63</f>
        <v>600000</v>
      </c>
      <c r="E65" s="53"/>
      <c r="F65" s="53"/>
      <c r="G65" s="53"/>
      <c r="H65" s="53"/>
      <c r="I65" s="53"/>
      <c r="J65" s="53"/>
      <c r="K65" s="53"/>
      <c r="L65" s="53"/>
      <c r="M65" s="46"/>
    </row>
    <row r="66" spans="1:13" x14ac:dyDescent="0.3">
      <c r="A66" s="46"/>
      <c r="B66" s="46"/>
      <c r="C66" s="46"/>
      <c r="D66" s="53"/>
      <c r="E66" s="53"/>
      <c r="F66" s="53"/>
      <c r="G66" s="53"/>
      <c r="H66" s="53"/>
      <c r="I66" s="53"/>
      <c r="J66" s="53"/>
      <c r="K66" s="53"/>
      <c r="L66" s="53"/>
      <c r="M66" s="46"/>
    </row>
    <row r="67" spans="1:13" x14ac:dyDescent="0.3">
      <c r="A67" s="46"/>
      <c r="B67" s="46"/>
      <c r="C67" s="46"/>
      <c r="D67" s="53"/>
      <c r="E67" s="53"/>
      <c r="F67" s="53"/>
      <c r="G67" s="53"/>
      <c r="H67" s="53"/>
      <c r="I67" s="53"/>
      <c r="J67" s="53"/>
      <c r="K67" s="53"/>
      <c r="L67" s="53"/>
      <c r="M67" s="46"/>
    </row>
    <row r="68" spans="1:13" x14ac:dyDescent="0.3">
      <c r="B68" s="218" t="s">
        <v>68</v>
      </c>
      <c r="C68" s="218"/>
      <c r="D68" s="218"/>
      <c r="E68" s="218"/>
      <c r="F68" s="218"/>
      <c r="G68" s="218"/>
      <c r="H68" s="218"/>
      <c r="I68" s="218"/>
    </row>
    <row r="69" spans="1:13" x14ac:dyDescent="0.3">
      <c r="B69" s="218"/>
      <c r="C69" s="218"/>
      <c r="D69" s="218"/>
      <c r="E69" s="218"/>
      <c r="F69" s="218"/>
      <c r="G69" s="218"/>
      <c r="H69" s="218"/>
      <c r="I69" s="218"/>
    </row>
  </sheetData>
  <mergeCells count="20">
    <mergeCell ref="B68:I69"/>
    <mergeCell ref="A2:M2"/>
    <mergeCell ref="B6:F6"/>
    <mergeCell ref="D46:L46"/>
    <mergeCell ref="H25:I25"/>
    <mergeCell ref="H32:J34"/>
    <mergeCell ref="L25:P25"/>
    <mergeCell ref="L26:P26"/>
    <mergeCell ref="L27:P27"/>
    <mergeCell ref="L28:P28"/>
    <mergeCell ref="L29:P29"/>
    <mergeCell ref="L32:O32"/>
    <mergeCell ref="N37:P37"/>
    <mergeCell ref="N39:P39"/>
    <mergeCell ref="N43:P43"/>
    <mergeCell ref="D49:H49"/>
    <mergeCell ref="D43:L43"/>
    <mergeCell ref="A4:M4"/>
    <mergeCell ref="C36:J38"/>
    <mergeCell ref="D52:H52"/>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S69"/>
  <sheetViews>
    <sheetView tabSelected="1" topLeftCell="A46" workbookViewId="0">
      <selection activeCell="J56" sqref="J56"/>
    </sheetView>
  </sheetViews>
  <sheetFormatPr baseColWidth="10" defaultColWidth="11.44140625" defaultRowHeight="15.6" x14ac:dyDescent="0.3"/>
  <cols>
    <col min="1" max="3" width="11.44140625" style="19"/>
    <col min="4" max="4" width="15.44140625" style="20" bestFit="1" customWidth="1"/>
    <col min="5" max="5" width="3.44140625" style="20" customWidth="1"/>
    <col min="6" max="6" width="15.44140625" style="20" bestFit="1" customWidth="1"/>
    <col min="7" max="7" width="5.109375" style="20" customWidth="1"/>
    <col min="8" max="8" width="14.5546875" style="20" customWidth="1"/>
    <col min="9" max="9" width="6.33203125" style="20" customWidth="1"/>
    <col min="10" max="10" width="17.44140625" style="20" customWidth="1"/>
    <col min="11" max="11" width="4.5546875" style="20" customWidth="1"/>
    <col min="12" max="12" width="12.44140625" style="20" bestFit="1" customWidth="1"/>
    <col min="13" max="13" width="11.44140625" style="19"/>
    <col min="14" max="14" width="14.109375" style="19" bestFit="1" customWidth="1"/>
    <col min="15" max="15" width="20.44140625" style="19" customWidth="1"/>
    <col min="16" max="16" width="17.88671875" style="19" customWidth="1"/>
    <col min="17" max="17" width="17" style="19" customWidth="1"/>
    <col min="18" max="16384" width="11.44140625" style="19"/>
  </cols>
  <sheetData>
    <row r="2" spans="1:13" ht="25.5" customHeight="1" x14ac:dyDescent="0.3">
      <c r="A2" s="114" t="s">
        <v>28</v>
      </c>
      <c r="B2" s="114"/>
      <c r="C2" s="114"/>
      <c r="D2" s="114"/>
      <c r="E2" s="114"/>
      <c r="F2" s="114"/>
      <c r="G2" s="114"/>
      <c r="H2" s="114"/>
      <c r="I2" s="114"/>
      <c r="J2" s="114"/>
      <c r="K2" s="114"/>
      <c r="L2" s="114"/>
      <c r="M2" s="114"/>
    </row>
    <row r="3" spans="1:13" ht="25.5" customHeight="1" x14ac:dyDescent="0.3">
      <c r="A3" s="21"/>
      <c r="B3" s="21"/>
      <c r="C3" s="21"/>
      <c r="D3" s="21"/>
      <c r="E3" s="21"/>
      <c r="F3" s="21"/>
      <c r="G3" s="21"/>
      <c r="H3" s="21"/>
      <c r="I3" s="21"/>
      <c r="J3" s="21"/>
      <c r="K3" s="21"/>
      <c r="L3" s="21"/>
      <c r="M3" s="21"/>
    </row>
    <row r="4" spans="1:13" ht="25.5" customHeight="1" x14ac:dyDescent="0.3">
      <c r="A4" s="141" t="s">
        <v>37</v>
      </c>
      <c r="B4" s="141"/>
      <c r="C4" s="141"/>
      <c r="D4" s="141"/>
      <c r="E4" s="141"/>
      <c r="F4" s="141"/>
      <c r="G4" s="141"/>
      <c r="H4" s="141"/>
      <c r="I4" s="141"/>
      <c r="J4" s="141"/>
      <c r="K4" s="141"/>
      <c r="L4" s="141"/>
      <c r="M4" s="141"/>
    </row>
    <row r="5" spans="1:13" ht="25.5" customHeight="1" x14ac:dyDescent="0.3">
      <c r="A5" s="21"/>
      <c r="B5" s="21"/>
      <c r="C5" s="21"/>
      <c r="D5" s="21"/>
      <c r="E5" s="21"/>
      <c r="F5" s="21"/>
      <c r="G5" s="21"/>
      <c r="H5" s="21"/>
      <c r="I5" s="21"/>
      <c r="J5" s="21"/>
      <c r="K5" s="21"/>
      <c r="L5" s="21"/>
      <c r="M5" s="21"/>
    </row>
    <row r="6" spans="1:13" ht="22.8" x14ac:dyDescent="0.4">
      <c r="B6" s="142" t="s">
        <v>27</v>
      </c>
      <c r="C6" s="142"/>
      <c r="D6" s="142"/>
      <c r="E6" s="142"/>
      <c r="F6" s="142"/>
      <c r="G6" s="142"/>
      <c r="H6" s="142"/>
      <c r="M6" s="20"/>
    </row>
    <row r="7" spans="1:13" x14ac:dyDescent="0.3">
      <c r="B7" s="28"/>
      <c r="C7" s="28"/>
      <c r="D7" s="28"/>
      <c r="E7" s="28"/>
      <c r="F7" s="28"/>
      <c r="M7" s="20"/>
    </row>
    <row r="8" spans="1:13" x14ac:dyDescent="0.3">
      <c r="B8" s="28"/>
      <c r="C8" s="28"/>
      <c r="D8" s="28"/>
      <c r="E8" s="28"/>
      <c r="F8" s="28"/>
      <c r="M8" s="20"/>
    </row>
    <row r="9" spans="1:13" x14ac:dyDescent="0.3">
      <c r="B9" s="28"/>
      <c r="C9" s="28"/>
      <c r="D9" s="28"/>
      <c r="E9" s="28"/>
      <c r="F9" s="28"/>
      <c r="M9" s="20"/>
    </row>
    <row r="25" spans="3:19" ht="16.2" thickBot="1" x14ac:dyDescent="0.35"/>
    <row r="26" spans="3:19" ht="16.2" thickBot="1" x14ac:dyDescent="0.35">
      <c r="H26" s="117" t="s">
        <v>52</v>
      </c>
      <c r="I26" s="118"/>
      <c r="J26" s="70">
        <v>5000000</v>
      </c>
      <c r="K26" s="19"/>
      <c r="O26" s="20"/>
    </row>
    <row r="27" spans="3:19" x14ac:dyDescent="0.3">
      <c r="H27" s="71" t="s">
        <v>4</v>
      </c>
      <c r="I27" s="19"/>
      <c r="J27" s="165" t="s">
        <v>21</v>
      </c>
      <c r="K27" s="19"/>
      <c r="O27" s="143" t="s">
        <v>20</v>
      </c>
      <c r="P27" s="144"/>
      <c r="Q27" s="144"/>
      <c r="R27" s="144"/>
      <c r="S27" s="145"/>
    </row>
    <row r="28" spans="3:19" x14ac:dyDescent="0.3">
      <c r="H28" s="72" t="s">
        <v>5</v>
      </c>
      <c r="I28" s="185">
        <v>0.12</v>
      </c>
      <c r="J28" s="74">
        <f>+N44</f>
        <v>0</v>
      </c>
      <c r="K28" s="19"/>
      <c r="O28" s="146" t="s">
        <v>7</v>
      </c>
      <c r="Q28" s="29"/>
      <c r="R28" s="29">
        <f>+Q39</f>
        <v>100000</v>
      </c>
      <c r="S28" s="147"/>
    </row>
    <row r="29" spans="3:19" x14ac:dyDescent="0.3">
      <c r="C29" s="23"/>
      <c r="H29" s="71" t="s">
        <v>12</v>
      </c>
      <c r="I29" s="19"/>
      <c r="J29" s="75">
        <v>0.4</v>
      </c>
      <c r="M29" s="20"/>
      <c r="O29" s="146" t="s">
        <v>8</v>
      </c>
      <c r="P29" s="29"/>
      <c r="Q29" s="29"/>
      <c r="R29" s="148">
        <f>+Q38</f>
        <v>50</v>
      </c>
      <c r="S29" s="147"/>
    </row>
    <row r="30" spans="3:19" x14ac:dyDescent="0.3">
      <c r="H30" s="76" t="s">
        <v>6</v>
      </c>
      <c r="I30" s="77"/>
      <c r="J30" s="78">
        <f>+Q33</f>
        <v>550000</v>
      </c>
      <c r="O30" s="146" t="s">
        <v>9</v>
      </c>
      <c r="P30" s="29"/>
      <c r="Q30" s="29"/>
      <c r="R30" s="149">
        <v>0.11</v>
      </c>
      <c r="S30" s="147"/>
    </row>
    <row r="31" spans="3:19" ht="15.75" customHeight="1" x14ac:dyDescent="0.3">
      <c r="H31" s="162" t="s">
        <v>0</v>
      </c>
      <c r="I31" s="163"/>
      <c r="J31" s="164">
        <v>0</v>
      </c>
      <c r="O31" s="150">
        <f>+R28</f>
        <v>100000</v>
      </c>
      <c r="P31" s="219" t="s">
        <v>51</v>
      </c>
      <c r="Q31" s="148">
        <f>+R29</f>
        <v>50</v>
      </c>
      <c r="R31" s="46" t="s">
        <v>51</v>
      </c>
      <c r="S31" s="147">
        <f>+R30</f>
        <v>0.11</v>
      </c>
    </row>
    <row r="32" spans="3:19" x14ac:dyDescent="0.3">
      <c r="H32" s="79" t="s">
        <v>10</v>
      </c>
      <c r="I32" s="80"/>
      <c r="J32" s="81">
        <v>200000</v>
      </c>
      <c r="O32" s="146"/>
      <c r="P32" s="152">
        <f>+O31*Q31</f>
        <v>5000000</v>
      </c>
      <c r="Q32" s="160" t="s">
        <v>16</v>
      </c>
      <c r="R32" s="154">
        <f>+S31</f>
        <v>0.11</v>
      </c>
      <c r="S32" s="147"/>
    </row>
    <row r="33" spans="1:19" ht="25.2" customHeight="1" thickBot="1" x14ac:dyDescent="0.35">
      <c r="H33" s="186" t="s">
        <v>69</v>
      </c>
      <c r="I33" s="187"/>
      <c r="J33" s="188"/>
      <c r="O33" s="155"/>
      <c r="P33" s="156"/>
      <c r="Q33" s="220">
        <f>+P32*R32</f>
        <v>550000</v>
      </c>
      <c r="R33" s="156"/>
      <c r="S33" s="158"/>
    </row>
    <row r="34" spans="1:19" x14ac:dyDescent="0.3">
      <c r="H34" s="186"/>
      <c r="I34" s="187"/>
      <c r="J34" s="188"/>
    </row>
    <row r="35" spans="1:19" ht="16.2" thickBot="1" x14ac:dyDescent="0.35">
      <c r="H35" s="189"/>
      <c r="I35" s="190"/>
      <c r="J35" s="191"/>
    </row>
    <row r="36" spans="1:19" ht="16.2" thickBot="1" x14ac:dyDescent="0.35">
      <c r="A36" s="22" t="s">
        <v>18</v>
      </c>
      <c r="B36" s="22"/>
      <c r="C36" s="22" t="s">
        <v>19</v>
      </c>
      <c r="D36" s="24"/>
      <c r="N36" s="131" t="s">
        <v>58</v>
      </c>
      <c r="O36" s="131"/>
      <c r="P36" s="131"/>
      <c r="Q36" s="131"/>
    </row>
    <row r="37" spans="1:19" x14ac:dyDescent="0.3">
      <c r="A37" s="166"/>
      <c r="B37" s="166"/>
      <c r="C37" s="166"/>
      <c r="D37" s="82"/>
      <c r="E37" s="53"/>
      <c r="F37" s="53"/>
      <c r="G37" s="53"/>
      <c r="H37" s="53"/>
      <c r="I37" s="53"/>
      <c r="J37" s="53"/>
      <c r="K37" s="53"/>
      <c r="L37" s="53"/>
      <c r="N37" s="54" t="s">
        <v>55</v>
      </c>
      <c r="O37" s="55"/>
      <c r="P37" s="55"/>
      <c r="Q37" s="56">
        <v>200000</v>
      </c>
    </row>
    <row r="38" spans="1:19" ht="20.399999999999999" x14ac:dyDescent="0.35">
      <c r="A38" s="46"/>
      <c r="B38" s="46"/>
      <c r="C38" s="167" t="s">
        <v>0</v>
      </c>
      <c r="D38" s="85" t="s">
        <v>4</v>
      </c>
      <c r="E38" s="173" t="s">
        <v>1</v>
      </c>
      <c r="F38" s="45" t="s">
        <v>5</v>
      </c>
      <c r="G38" s="173" t="s">
        <v>2</v>
      </c>
      <c r="H38" s="92">
        <v>1</v>
      </c>
      <c r="I38" s="92" t="s">
        <v>1</v>
      </c>
      <c r="J38" s="93" t="s">
        <v>61</v>
      </c>
      <c r="K38" s="94" t="s">
        <v>1</v>
      </c>
      <c r="L38" s="84" t="s">
        <v>6</v>
      </c>
      <c r="N38" s="57" t="s">
        <v>56</v>
      </c>
      <c r="O38" s="58"/>
      <c r="P38" s="58"/>
      <c r="Q38" s="59">
        <v>50</v>
      </c>
    </row>
    <row r="39" spans="1:19" ht="16.2" thickBot="1" x14ac:dyDescent="0.35">
      <c r="A39" s="46"/>
      <c r="B39" s="46"/>
      <c r="C39" s="46"/>
      <c r="D39" s="109" t="s">
        <v>10</v>
      </c>
      <c r="E39" s="109"/>
      <c r="F39" s="109"/>
      <c r="G39" s="109"/>
      <c r="H39" s="109"/>
      <c r="I39" s="109"/>
      <c r="J39" s="109"/>
      <c r="K39" s="109"/>
      <c r="L39" s="109"/>
      <c r="N39" s="60" t="s">
        <v>70</v>
      </c>
      <c r="O39" s="61"/>
      <c r="P39" s="61"/>
      <c r="Q39" s="62">
        <v>100000</v>
      </c>
    </row>
    <row r="40" spans="1:19" x14ac:dyDescent="0.3">
      <c r="A40" s="166"/>
      <c r="B40" s="166"/>
      <c r="C40" s="166"/>
      <c r="D40" s="82"/>
      <c r="E40" s="53"/>
      <c r="F40" s="53"/>
      <c r="G40" s="53"/>
      <c r="H40" s="53"/>
      <c r="I40" s="53"/>
      <c r="J40" s="53"/>
      <c r="K40" s="53"/>
      <c r="L40" s="53"/>
    </row>
    <row r="41" spans="1:19" ht="20.399999999999999" x14ac:dyDescent="0.35">
      <c r="A41" s="46"/>
      <c r="B41" s="166">
        <v>0</v>
      </c>
      <c r="C41" s="46" t="s">
        <v>23</v>
      </c>
      <c r="D41" s="86" t="s">
        <v>4</v>
      </c>
      <c r="E41" s="175" t="s">
        <v>1</v>
      </c>
      <c r="F41" s="88">
        <f>+J23</f>
        <v>0</v>
      </c>
      <c r="G41" s="172" t="s">
        <v>2</v>
      </c>
      <c r="H41" s="171">
        <v>1</v>
      </c>
      <c r="I41" s="87" t="s">
        <v>1</v>
      </c>
      <c r="J41" s="52">
        <v>0.4</v>
      </c>
      <c r="K41" s="94" t="s">
        <v>1</v>
      </c>
      <c r="L41" s="89">
        <f>+Q33</f>
        <v>550000</v>
      </c>
    </row>
    <row r="42" spans="1:19" x14ac:dyDescent="0.3">
      <c r="A42" s="46"/>
      <c r="B42" s="46"/>
      <c r="C42" s="46"/>
      <c r="D42" s="109">
        <f>+J32</f>
        <v>200000</v>
      </c>
      <c r="E42" s="109"/>
      <c r="F42" s="109"/>
      <c r="G42" s="109"/>
      <c r="H42" s="109"/>
      <c r="I42" s="109"/>
      <c r="J42" s="109"/>
      <c r="K42" s="109"/>
      <c r="L42" s="109"/>
    </row>
    <row r="43" spans="1:19" x14ac:dyDescent="0.3">
      <c r="A43" s="46"/>
      <c r="B43" s="46"/>
      <c r="C43" s="46"/>
      <c r="D43" s="46"/>
      <c r="E43" s="46"/>
      <c r="F43" s="46"/>
      <c r="G43" s="46"/>
      <c r="H43" s="46"/>
      <c r="I43" s="46"/>
      <c r="J43" s="46"/>
      <c r="K43" s="46"/>
      <c r="L43" s="53"/>
    </row>
    <row r="44" spans="1:19" ht="20.399999999999999" x14ac:dyDescent="0.35">
      <c r="A44" s="46"/>
      <c r="B44" s="46">
        <v>0</v>
      </c>
      <c r="C44" s="46" t="s">
        <v>23</v>
      </c>
      <c r="D44" s="222" t="s">
        <v>4</v>
      </c>
      <c r="E44" s="216" t="s">
        <v>1</v>
      </c>
      <c r="F44" s="214">
        <f>+J28</f>
        <v>0</v>
      </c>
      <c r="G44" s="212" t="s">
        <v>2</v>
      </c>
      <c r="H44" s="212">
        <f>+H41-J41</f>
        <v>0.6</v>
      </c>
      <c r="I44" s="94" t="s">
        <v>1</v>
      </c>
      <c r="J44" s="84">
        <f>+L41</f>
        <v>550000</v>
      </c>
      <c r="K44" s="46"/>
      <c r="L44" s="53"/>
    </row>
    <row r="45" spans="1:19" ht="20.399999999999999" customHeight="1" x14ac:dyDescent="0.3">
      <c r="A45" s="46"/>
      <c r="B45" s="46"/>
      <c r="C45" s="46"/>
      <c r="D45" s="109">
        <f>+D42</f>
        <v>200000</v>
      </c>
      <c r="E45" s="109"/>
      <c r="F45" s="109"/>
      <c r="G45" s="109"/>
      <c r="H45" s="109"/>
      <c r="I45" s="53"/>
      <c r="J45" s="53"/>
      <c r="K45" s="53"/>
      <c r="L45" s="53"/>
    </row>
    <row r="46" spans="1:19" x14ac:dyDescent="0.3">
      <c r="A46" s="46"/>
      <c r="B46" s="46"/>
      <c r="C46" s="46"/>
      <c r="D46" s="53"/>
      <c r="E46" s="53"/>
      <c r="F46" s="53"/>
      <c r="G46" s="53"/>
      <c r="H46" s="53"/>
      <c r="I46" s="53"/>
      <c r="J46" s="53"/>
      <c r="K46" s="53"/>
      <c r="L46" s="53"/>
    </row>
    <row r="47" spans="1:19" x14ac:dyDescent="0.3">
      <c r="A47" s="46"/>
      <c r="B47" s="46">
        <v>0</v>
      </c>
      <c r="C47" s="46" t="s">
        <v>23</v>
      </c>
      <c r="D47" s="91" t="s">
        <v>22</v>
      </c>
      <c r="E47" s="174" t="s">
        <v>1</v>
      </c>
      <c r="F47" s="214">
        <f>+F44*H44</f>
        <v>0</v>
      </c>
      <c r="G47" s="215" t="s">
        <v>1</v>
      </c>
      <c r="H47" s="96">
        <f>+J44</f>
        <v>550000</v>
      </c>
      <c r="I47" s="46"/>
      <c r="J47" s="46"/>
      <c r="K47" s="53"/>
      <c r="L47" s="53"/>
    </row>
    <row r="48" spans="1:19" x14ac:dyDescent="0.3">
      <c r="A48" s="46"/>
      <c r="B48" s="46"/>
      <c r="C48" s="46"/>
      <c r="D48" s="223">
        <f>+D45</f>
        <v>200000</v>
      </c>
      <c r="E48" s="223"/>
      <c r="F48" s="223"/>
      <c r="G48" s="223"/>
      <c r="H48" s="223"/>
      <c r="I48" s="46"/>
      <c r="J48" s="46"/>
      <c r="K48" s="53"/>
      <c r="L48" s="53"/>
    </row>
    <row r="49" spans="1:14" x14ac:dyDescent="0.3">
      <c r="A49" s="46"/>
      <c r="B49" s="46"/>
      <c r="C49" s="46"/>
      <c r="D49" s="87"/>
      <c r="E49" s="87"/>
      <c r="F49" s="87"/>
      <c r="G49" s="87"/>
      <c r="H49" s="87"/>
      <c r="I49" s="53"/>
      <c r="J49" s="53"/>
      <c r="K49" s="53"/>
      <c r="L49" s="53"/>
    </row>
    <row r="50" spans="1:14" x14ac:dyDescent="0.3">
      <c r="A50" s="46"/>
      <c r="B50" s="46">
        <f>+B47</f>
        <v>0</v>
      </c>
      <c r="C50" s="46" t="s">
        <v>16</v>
      </c>
      <c r="D50" s="87">
        <f>+D48</f>
        <v>200000</v>
      </c>
      <c r="E50" s="87" t="s">
        <v>23</v>
      </c>
      <c r="F50" s="87" t="s">
        <v>22</v>
      </c>
      <c r="G50" s="224" t="s">
        <v>1</v>
      </c>
      <c r="H50" s="221">
        <f>+F47-H47</f>
        <v>-550000</v>
      </c>
      <c r="I50" s="53"/>
      <c r="J50" s="53"/>
      <c r="K50" s="53"/>
      <c r="L50" s="53"/>
    </row>
    <row r="51" spans="1:14" x14ac:dyDescent="0.3">
      <c r="A51" s="46"/>
      <c r="B51" s="46"/>
      <c r="C51" s="46"/>
      <c r="D51" s="87"/>
      <c r="E51" s="87"/>
      <c r="F51" s="87"/>
      <c r="G51" s="87"/>
      <c r="H51" s="87"/>
      <c r="I51" s="53"/>
      <c r="J51" s="53"/>
      <c r="K51" s="53"/>
      <c r="L51" s="53"/>
    </row>
    <row r="52" spans="1:14" x14ac:dyDescent="0.3">
      <c r="A52" s="46"/>
      <c r="B52" s="46"/>
      <c r="C52" s="46"/>
      <c r="D52" s="87"/>
      <c r="E52" s="87"/>
      <c r="F52" s="87"/>
      <c r="G52" s="87"/>
      <c r="H52" s="87"/>
      <c r="I52" s="53"/>
      <c r="J52" s="53"/>
      <c r="K52" s="53"/>
      <c r="L52" s="53"/>
    </row>
    <row r="53" spans="1:14" x14ac:dyDescent="0.3">
      <c r="A53" s="46"/>
      <c r="B53" s="46">
        <f>+B50*D50</f>
        <v>0</v>
      </c>
      <c r="C53" s="46" t="s">
        <v>49</v>
      </c>
      <c r="D53" s="221">
        <v>550000</v>
      </c>
      <c r="E53" s="87" t="s">
        <v>23</v>
      </c>
      <c r="F53" s="87" t="s">
        <v>22</v>
      </c>
      <c r="G53" s="87"/>
      <c r="I53" s="53"/>
      <c r="J53" s="53"/>
      <c r="K53" s="53"/>
      <c r="L53" s="53"/>
    </row>
    <row r="54" spans="1:14" x14ac:dyDescent="0.3">
      <c r="A54" s="46"/>
      <c r="B54" s="46"/>
      <c r="C54" s="46"/>
      <c r="D54" s="87"/>
      <c r="E54" s="87"/>
      <c r="F54" s="87"/>
      <c r="G54" s="87"/>
    </row>
    <row r="55" spans="1:14" x14ac:dyDescent="0.3">
      <c r="A55" s="46"/>
      <c r="B55" s="46"/>
      <c r="C55" s="46"/>
      <c r="D55" s="221">
        <f>+B53+D53</f>
        <v>550000</v>
      </c>
      <c r="E55" s="87" t="s">
        <v>23</v>
      </c>
      <c r="F55" s="87" t="s">
        <v>22</v>
      </c>
      <c r="G55" s="87"/>
      <c r="H55" s="87"/>
      <c r="I55" s="53"/>
      <c r="J55" s="53"/>
      <c r="K55" s="53"/>
      <c r="L55" s="53"/>
    </row>
    <row r="56" spans="1:14" x14ac:dyDescent="0.3">
      <c r="A56" s="46"/>
      <c r="B56" s="46"/>
      <c r="C56" s="46"/>
      <c r="D56" s="87"/>
      <c r="E56" s="87"/>
      <c r="F56" s="87"/>
      <c r="G56" s="87"/>
      <c r="H56" s="87"/>
      <c r="I56" s="53"/>
      <c r="J56" s="212">
        <v>0.6</v>
      </c>
      <c r="K56" s="212" t="s">
        <v>2</v>
      </c>
      <c r="L56" s="222" t="s">
        <v>4</v>
      </c>
      <c r="M56" s="216" t="s">
        <v>1</v>
      </c>
      <c r="N56" s="214">
        <f>+P38</f>
        <v>0</v>
      </c>
    </row>
    <row r="57" spans="1:14" x14ac:dyDescent="0.3">
      <c r="A57" s="46"/>
      <c r="B57" s="46"/>
      <c r="C57" s="46"/>
      <c r="D57" s="87"/>
      <c r="E57" s="87"/>
      <c r="F57" s="87"/>
      <c r="G57" s="87"/>
      <c r="H57" s="87"/>
      <c r="I57" s="53"/>
      <c r="J57" s="53"/>
      <c r="K57" s="53"/>
      <c r="L57" s="53"/>
    </row>
    <row r="58" spans="1:14" x14ac:dyDescent="0.3">
      <c r="A58" s="46"/>
      <c r="B58" s="46"/>
      <c r="C58" s="46"/>
      <c r="D58" s="91">
        <f>+D55</f>
        <v>550000</v>
      </c>
      <c r="E58" s="53" t="s">
        <v>23</v>
      </c>
      <c r="F58" s="53" t="s">
        <v>4</v>
      </c>
      <c r="G58" s="53"/>
      <c r="H58" s="53"/>
      <c r="I58" s="53"/>
      <c r="J58" s="53"/>
      <c r="K58" s="53"/>
      <c r="L58" s="53"/>
    </row>
    <row r="59" spans="1:14" x14ac:dyDescent="0.3">
      <c r="A59" s="46"/>
      <c r="B59" s="46"/>
      <c r="C59" s="46"/>
      <c r="D59" s="53">
        <v>0.6</v>
      </c>
      <c r="E59" s="53"/>
      <c r="F59" s="53"/>
      <c r="G59" s="53"/>
      <c r="H59" s="53"/>
      <c r="I59" s="53"/>
      <c r="J59" s="53" t="s">
        <v>48</v>
      </c>
      <c r="K59" s="226" t="s">
        <v>1</v>
      </c>
      <c r="L59" s="53">
        <v>1000000</v>
      </c>
      <c r="M59" s="215" t="s">
        <v>1</v>
      </c>
      <c r="N59" s="96">
        <v>550000</v>
      </c>
    </row>
    <row r="60" spans="1:14" x14ac:dyDescent="0.3">
      <c r="A60" s="46"/>
      <c r="B60" s="46"/>
      <c r="C60" s="46"/>
      <c r="D60" s="53"/>
      <c r="E60" s="53"/>
      <c r="F60" s="53"/>
      <c r="G60" s="53"/>
      <c r="H60" s="53"/>
      <c r="I60" s="53"/>
      <c r="J60" s="53"/>
      <c r="K60" s="53"/>
      <c r="L60" s="53"/>
    </row>
    <row r="61" spans="1:14" x14ac:dyDescent="0.3">
      <c r="A61" s="46"/>
      <c r="B61" s="46"/>
      <c r="C61" s="46"/>
      <c r="D61" s="225">
        <f>+D58/D59</f>
        <v>916666.66666666674</v>
      </c>
      <c r="E61" s="53" t="s">
        <v>23</v>
      </c>
      <c r="F61" s="53" t="s">
        <v>4</v>
      </c>
      <c r="G61" s="53"/>
      <c r="H61" s="53"/>
      <c r="I61" s="53"/>
      <c r="J61" s="53" t="str">
        <f>+J59</f>
        <v>0,60UAII</v>
      </c>
      <c r="K61" s="226" t="s">
        <v>1</v>
      </c>
      <c r="L61" s="53">
        <f>+L59-N59</f>
        <v>450000</v>
      </c>
    </row>
    <row r="62" spans="1:14" x14ac:dyDescent="0.3">
      <c r="A62" s="46"/>
      <c r="B62" s="46"/>
      <c r="C62" s="46"/>
      <c r="D62" s="53"/>
      <c r="E62" s="53"/>
      <c r="F62" s="53"/>
      <c r="G62" s="53"/>
      <c r="H62" s="53"/>
      <c r="I62" s="53"/>
      <c r="J62" s="53"/>
      <c r="K62" s="53"/>
      <c r="L62" s="53"/>
    </row>
    <row r="63" spans="1:14" x14ac:dyDescent="0.3">
      <c r="A63" s="46"/>
      <c r="B63" s="46"/>
      <c r="C63" s="46"/>
      <c r="D63" s="53"/>
      <c r="E63" s="53"/>
      <c r="F63" s="53"/>
      <c r="G63" s="53"/>
      <c r="H63" s="53"/>
      <c r="I63" s="53"/>
      <c r="J63" s="53"/>
      <c r="K63" s="53"/>
      <c r="L63" s="53"/>
    </row>
    <row r="64" spans="1:14" x14ac:dyDescent="0.3">
      <c r="A64" s="46"/>
      <c r="B64" s="46"/>
      <c r="C64" s="46"/>
      <c r="D64" s="53"/>
      <c r="E64" s="53"/>
      <c r="F64" s="53"/>
      <c r="G64" s="53"/>
      <c r="H64" s="53"/>
      <c r="I64" s="53"/>
      <c r="J64" s="53"/>
      <c r="K64" s="53"/>
      <c r="L64" s="53"/>
    </row>
    <row r="65" spans="1:12" x14ac:dyDescent="0.3">
      <c r="A65" s="218" t="s">
        <v>71</v>
      </c>
      <c r="B65" s="218"/>
      <c r="C65" s="218"/>
      <c r="D65" s="218"/>
      <c r="E65" s="218"/>
      <c r="F65" s="218"/>
      <c r="G65" s="218"/>
      <c r="H65" s="218"/>
      <c r="I65" s="218"/>
      <c r="J65" s="218"/>
      <c r="K65" s="218"/>
      <c r="L65" s="53"/>
    </row>
    <row r="66" spans="1:12" x14ac:dyDescent="0.3">
      <c r="A66" s="218"/>
      <c r="B66" s="218"/>
      <c r="C66" s="218"/>
      <c r="D66" s="218"/>
      <c r="E66" s="218"/>
      <c r="F66" s="218"/>
      <c r="G66" s="218"/>
      <c r="H66" s="218"/>
      <c r="I66" s="218"/>
      <c r="J66" s="218"/>
      <c r="K66" s="218"/>
      <c r="L66" s="53"/>
    </row>
    <row r="67" spans="1:12" x14ac:dyDescent="0.3">
      <c r="A67" s="218"/>
      <c r="B67" s="218"/>
      <c r="C67" s="218"/>
      <c r="D67" s="218"/>
      <c r="E67" s="218"/>
      <c r="F67" s="218"/>
      <c r="G67" s="218"/>
      <c r="H67" s="218"/>
      <c r="I67" s="218"/>
      <c r="J67" s="218"/>
      <c r="K67" s="218"/>
      <c r="L67" s="53"/>
    </row>
    <row r="68" spans="1:12" x14ac:dyDescent="0.3">
      <c r="A68" s="218"/>
      <c r="B68" s="218"/>
      <c r="C68" s="218"/>
      <c r="D68" s="218"/>
      <c r="E68" s="218"/>
      <c r="F68" s="218"/>
      <c r="G68" s="218"/>
      <c r="H68" s="218"/>
      <c r="I68" s="218"/>
      <c r="J68" s="218"/>
      <c r="K68" s="218"/>
      <c r="L68" s="53"/>
    </row>
    <row r="69" spans="1:12" x14ac:dyDescent="0.3">
      <c r="A69" s="218"/>
      <c r="B69" s="218"/>
      <c r="C69" s="218"/>
      <c r="D69" s="218"/>
      <c r="E69" s="218"/>
      <c r="F69" s="218"/>
      <c r="G69" s="218"/>
      <c r="H69" s="218"/>
      <c r="I69" s="218"/>
      <c r="J69" s="218"/>
      <c r="K69" s="218"/>
      <c r="L69" s="53"/>
    </row>
  </sheetData>
  <mergeCells count="12">
    <mergeCell ref="A65:K69"/>
    <mergeCell ref="A2:M2"/>
    <mergeCell ref="O27:S27"/>
    <mergeCell ref="D42:L42"/>
    <mergeCell ref="A4:M4"/>
    <mergeCell ref="B6:H6"/>
    <mergeCell ref="D39:L39"/>
    <mergeCell ref="H26:I26"/>
    <mergeCell ref="H33:J35"/>
    <mergeCell ref="N36:Q36"/>
    <mergeCell ref="D45:H45"/>
    <mergeCell ref="D48:H48"/>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ALTERNATIVA 1 ACCIONES ORDINARI</vt:lpstr>
      <vt:lpstr>ALTERNATIVA 2 DEUDA</vt:lpstr>
      <vt:lpstr>ALTERNATIVA 3 ACCIONES PREF-DIV</vt:lpstr>
      <vt:lpstr>grafico</vt:lpstr>
      <vt:lpstr>UAII ALTERNAT 1</vt:lpstr>
      <vt:lpstr>UAII ALTERNAT 2</vt:lpstr>
      <vt:lpstr>UAII ALTERNAT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Fernanda Morales</dc:creator>
  <cp:lastModifiedBy>MORALES ESPINOZA FERNANDA VALENTINA</cp:lastModifiedBy>
  <dcterms:created xsi:type="dcterms:W3CDTF">2023-02-15T20:32:03Z</dcterms:created>
  <dcterms:modified xsi:type="dcterms:W3CDTF">2026-03-18T16:56:47Z</dcterms:modified>
</cp:coreProperties>
</file>