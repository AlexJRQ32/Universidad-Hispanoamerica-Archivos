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nspiron\Documents\UHISPANOAMERICANA\FINANZAS 1\FINANZAS IQ 2026\SEMANA 9\"/>
    </mc:Choice>
  </mc:AlternateContent>
  <xr:revisionPtr revIDLastSave="0" documentId="8_{7E8869DB-63A1-41D4-AEA2-B68B95CAC97A}" xr6:coauthVersionLast="47" xr6:coauthVersionMax="47" xr10:uidLastSave="{00000000-0000-0000-0000-000000000000}"/>
  <bookViews>
    <workbookView xWindow="-108" yWindow="-108" windowWidth="23256" windowHeight="12456" activeTab="1" xr2:uid="{02C2045C-647B-4B61-881D-E563DE9C2495}"/>
  </bookViews>
  <sheets>
    <sheet name="ROI" sheetId="5" r:id="rId1"/>
    <sheet name="APALANCAMIENTO FINANCIERO" sheetId="4" r:id="rId2"/>
    <sheet name="CPPC" sheetId="2" r:id="rId3"/>
    <sheet name="ESQUEMA DE PONDERACIO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5" l="1"/>
  <c r="P33" i="5"/>
  <c r="N33" i="5"/>
  <c r="D34" i="2" l="1"/>
  <c r="B4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tc={E0037522-E57F-4C2E-8FB5-10A8CC4219BB}</author>
  </authors>
  <commentList>
    <comment ref="N27" authorId="0" shapeId="0" xr:uid="{E0037522-E57F-4C2E-8FB5-10A8CC4219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negativo, significa salida de dinero</t>
      </text>
    </comment>
  </commentList>
</comments>
</file>

<file path=xl/sharedStrings.xml><?xml version="1.0" encoding="utf-8"?>
<sst xmlns="http://schemas.openxmlformats.org/spreadsheetml/2006/main" count="192" uniqueCount="104">
  <si>
    <t>COSTO PROMEDIO PONDERADO DE CAPITAL</t>
  </si>
  <si>
    <t>Determinar el costo promedio ponderado de capital CCPP a partir de las ponderaciones dela estructura de capital</t>
  </si>
  <si>
    <t>Recuerden la fórmula</t>
  </si>
  <si>
    <t xml:space="preserve">COSTO DE CAPITAL PROMEDIO PONDERADO (CCPP): </t>
  </si>
  <si>
    <t xml:space="preserve"> </t>
  </si>
  <si>
    <t>DEUDA</t>
  </si>
  <si>
    <t>ACCIONES PREFERENTES</t>
  </si>
  <si>
    <t>UTILIDADES RETENIDAS</t>
  </si>
  <si>
    <t>NUEVAS ACCIONES ORDINARIAS</t>
  </si>
  <si>
    <t>La empresa usa para calcular su costo de capital (según de cada recurso) las siguientes ponderaciones</t>
  </si>
  <si>
    <t>Deuda largo plazo</t>
  </si>
  <si>
    <t>Capital acciones ordinarias</t>
  </si>
  <si>
    <t>¿ Cual es el costo de capital promedio ponderado?</t>
  </si>
  <si>
    <t>ESQUEMA DE PONDERACIÓN</t>
  </si>
  <si>
    <t>Ka=</t>
  </si>
  <si>
    <t>CCPP</t>
  </si>
  <si>
    <t>Wi=</t>
  </si>
  <si>
    <t>porción deuda largo plazo</t>
  </si>
  <si>
    <t>Ki=</t>
  </si>
  <si>
    <t>porcentaje de recursos deuda largo plazo</t>
  </si>
  <si>
    <t>Wp</t>
  </si>
  <si>
    <t>porción de acción preferente</t>
  </si>
  <si>
    <t>Kp=</t>
  </si>
  <si>
    <t>porcentaje de recursos acción preferente</t>
  </si>
  <si>
    <t>Ws=</t>
  </si>
  <si>
    <t>porción de acciones ordinarias</t>
  </si>
  <si>
    <t>Kron=</t>
  </si>
  <si>
    <t>porcentaje de recursos usando utilidades retenidas ó nuevas acciones ordinarios</t>
  </si>
  <si>
    <t>Costos de recursos</t>
  </si>
  <si>
    <t>Acciones preferentes</t>
  </si>
  <si>
    <t>(Wi x Ki)</t>
  </si>
  <si>
    <t>+</t>
  </si>
  <si>
    <t>(Wp x Kp)</t>
  </si>
  <si>
    <t>(Ws x Kron)</t>
  </si>
  <si>
    <t>Wp=</t>
  </si>
  <si>
    <t>COSTO DE CAPITAL PROMEDIO PONDERADO</t>
  </si>
  <si>
    <t>Fuente de capital</t>
  </si>
  <si>
    <t>Costo de la deuda, Ki=</t>
  </si>
  <si>
    <t>Costo de la acciones preferentes Kp</t>
  </si>
  <si>
    <t>Costo de las ganancias retenidas Kr</t>
  </si>
  <si>
    <t>Costo de nuevas acciones comunes Kn</t>
  </si>
  <si>
    <t>Para realizar el cálculo debemos considerar el porcentaje de los diferentes COSTOS tipos de Capital</t>
  </si>
  <si>
    <t>Costo (%)</t>
  </si>
  <si>
    <t xml:space="preserve">Ponderación(decimales) </t>
  </si>
  <si>
    <t>((1)x(2))</t>
  </si>
  <si>
    <t>Costo Ponderado (decimales)</t>
  </si>
  <si>
    <t>Costo Ponderado (%)</t>
  </si>
  <si>
    <t>Adicional se debe considerar las ponderaciones para calcular CCPP</t>
  </si>
  <si>
    <t>APALANCAMIENTO FINANCIERO</t>
  </si>
  <si>
    <t>Uso de los costos financieros fijos para acrecentar los efectos de los cambios en las utilidades antes de intereses e impuestos sobre las ganancias por acción de la empresa</t>
  </si>
  <si>
    <t>Apalancamiento operativo e incremento en los costos fijos</t>
  </si>
  <si>
    <t>Ventas (en unidades)</t>
  </si>
  <si>
    <t>Ingreso por ventas</t>
  </si>
  <si>
    <t>Menos costos operativos variables</t>
  </si>
  <si>
    <t>menos costos operativos fijos</t>
  </si>
  <si>
    <t>Utilidades antes de intereses e impuestos (UAII)</t>
  </si>
  <si>
    <t>Costos operativos variables= $4,50/unidad x ventas en unidades</t>
  </si>
  <si>
    <t>Caso 2</t>
  </si>
  <si>
    <t>Caso 1</t>
  </si>
  <si>
    <t>P= precio</t>
  </si>
  <si>
    <t>CV= Costo variable</t>
  </si>
  <si>
    <t>CF= Costo fijo</t>
  </si>
  <si>
    <t>Ejemplo</t>
  </si>
  <si>
    <t>Caso 1 Un incremento de 50 por ciento en las ventas</t>
  </si>
  <si>
    <t>Caso 2 Una disminución de 50 por ciento</t>
  </si>
  <si>
    <t>Cheryl’s Posters (precio de venta, P = $10 por unidad; costo variable operativo, CV = $5 por unidad; costo fijo operativo, CF = $2,500), Nivel de ventas de 1,000 unidades</t>
  </si>
  <si>
    <t>Q= cantidad</t>
  </si>
  <si>
    <t>Cálculo ingreso</t>
  </si>
  <si>
    <t>RENDIMIENTO SOBRE LA INVERSION (RSI)/ RETURN ON INVESTMENT (ROI)</t>
  </si>
  <si>
    <r>
      <t xml:space="preserve">El </t>
    </r>
    <r>
      <rPr>
        <b/>
        <sz val="12"/>
        <color theme="1"/>
        <rFont val="Arial Nova"/>
        <family val="2"/>
      </rPr>
      <t>ROI (Return on Investment o Rendimiento sobre la Inversión)</t>
    </r>
    <r>
      <rPr>
        <sz val="12"/>
        <color theme="1"/>
        <rFont val="Arial Nova"/>
        <family val="2"/>
      </rPr>
      <t xml:space="preserve"> es un indicador financiero que mide la </t>
    </r>
    <r>
      <rPr>
        <b/>
        <sz val="12"/>
        <color theme="1"/>
        <rFont val="Arial Nova"/>
        <family val="2"/>
      </rPr>
      <t>rentabilidad de una inversión</t>
    </r>
    <r>
      <rPr>
        <sz val="12"/>
        <color theme="1"/>
        <rFont val="Arial Nova"/>
        <family val="2"/>
      </rPr>
      <t xml:space="preserve"> en relación con su costo.</t>
    </r>
  </si>
  <si>
    <t>✅ Fórmula del ROI</t>
  </si>
  <si>
    <t>Interpretación</t>
  </si>
  <si>
    <r>
      <rPr>
        <b/>
        <sz val="12"/>
        <color rgb="FF0000CC"/>
        <rFont val="Arial Nova"/>
        <family val="2"/>
      </rPr>
      <t>ROI positivo:</t>
    </r>
    <r>
      <rPr>
        <sz val="12"/>
        <color theme="1"/>
        <rFont val="Arial Nova"/>
        <family val="2"/>
      </rPr>
      <t xml:space="preserve"> la inversión generó ganancias.</t>
    </r>
  </si>
  <si>
    <r>
      <rPr>
        <b/>
        <sz val="12"/>
        <color rgb="FFC00000"/>
        <rFont val="Arial Nova"/>
        <family val="2"/>
      </rPr>
      <t>ROI negativo:</t>
    </r>
    <r>
      <rPr>
        <sz val="12"/>
        <color theme="1"/>
        <rFont val="Arial Nova"/>
        <family val="2"/>
      </rPr>
      <t xml:space="preserve"> la inversión produjo pérdidas.</t>
    </r>
  </si>
  <si>
    <t>ROI=</t>
  </si>
  <si>
    <t>Ganancia neta</t>
  </si>
  <si>
    <t>x</t>
  </si>
  <si>
    <r>
      <rPr>
        <b/>
        <sz val="12"/>
        <color rgb="FF008000"/>
        <rFont val="Arial Nova"/>
        <family val="2"/>
      </rPr>
      <t>ROI alto:</t>
    </r>
    <r>
      <rPr>
        <sz val="12"/>
        <color theme="1"/>
        <rFont val="Arial Nova"/>
        <family val="2"/>
      </rPr>
      <t xml:space="preserve"> mayor eficiencia y rentabilidad.</t>
    </r>
  </si>
  <si>
    <t>Costo de la inversión</t>
  </si>
  <si>
    <t>Ingresos obtenidos</t>
  </si>
  <si>
    <t>-</t>
  </si>
  <si>
    <r>
      <t>Ganancia neta</t>
    </r>
    <r>
      <rPr>
        <sz val="12"/>
        <color theme="1"/>
        <rFont val="Arial Nova"/>
        <family val="2"/>
      </rPr>
      <t xml:space="preserve"> = ingresos obtenidos por la inversión – costos totales.</t>
    </r>
  </si>
  <si>
    <r>
      <t>Costo de la inversión</t>
    </r>
    <r>
      <rPr>
        <sz val="12"/>
        <color theme="1"/>
        <rFont val="Arial Nova"/>
        <family val="2"/>
      </rPr>
      <t xml:space="preserve"> = monto inicial invertido.</t>
    </r>
  </si>
  <si>
    <t>Si inviertes $10,000 y obtienes $13,000 al final:</t>
  </si>
  <si>
    <t>Proyecto A</t>
  </si>
  <si>
    <t>Proyecto B</t>
  </si>
  <si>
    <t>Año</t>
  </si>
  <si>
    <t>Entradas operativas de efectivo</t>
  </si>
  <si>
    <t>Esto significa que tu inversión generó un 30% de rendimiento.</t>
  </si>
  <si>
    <t>Práctica</t>
  </si>
  <si>
    <t>Ejemplo 1: Proyecto de Marketing</t>
  </si>
  <si>
    <t>Costo de la campaña: $5,000</t>
  </si>
  <si>
    <t>Ingresos generados: $8,000</t>
  </si>
  <si>
    <t>Ejemplo 2: Compra de maquinaria</t>
  </si>
  <si>
    <t>Costo de la máquina: $50,000</t>
  </si>
  <si>
    <t>Beneficio neto anual: $15,000</t>
  </si>
  <si>
    <t>Ejemplo 3: Inversión en acciones</t>
  </si>
  <si>
    <t>Esto significa que tu inversión generó un 60% de rendimiento.</t>
  </si>
  <si>
    <t>Esto significa que tu inversión generó un 70% de pérdida.</t>
  </si>
  <si>
    <t>Esto significa que tu inversión generó un 20% de rendimiento.</t>
  </si>
  <si>
    <t>Esto significa que tu inversión generó un 67% de rendimiento.</t>
  </si>
  <si>
    <t>Esto significa que tu inversión generó un 56% de rendimiento.</t>
  </si>
  <si>
    <t>Monto invertido: $20,000</t>
  </si>
  <si>
    <t>Valor final: $24,000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</si>
</sst>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[$$-409]#,##0.00"/>
  </numFmts>
  <fonts count="2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sz val="5"/>
      <name val="Arial"/>
      <family val="2"/>
    </font>
    <font>
      <b/>
      <sz val="14"/>
      <color rgb="FF0000FF"/>
      <name val="Arial"/>
      <family val="2"/>
    </font>
    <font>
      <sz val="14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sz val="11"/>
      <color rgb="FF000000"/>
      <name val="Arial Nova"/>
      <family val="2"/>
    </font>
    <font>
      <b/>
      <sz val="18"/>
      <name val="Arial Nova"/>
      <family val="2"/>
    </font>
    <font>
      <sz val="11"/>
      <name val="Arial Nova"/>
      <family val="2"/>
    </font>
    <font>
      <sz val="12"/>
      <color theme="1"/>
      <name val="Arial Nova"/>
      <family val="2"/>
    </font>
    <font>
      <b/>
      <sz val="16"/>
      <color theme="1"/>
      <name val="Arial Nova"/>
      <family val="2"/>
    </font>
    <font>
      <b/>
      <sz val="12"/>
      <color theme="1"/>
      <name val="Arial Nova"/>
      <family val="2"/>
    </font>
    <font>
      <b/>
      <sz val="12"/>
      <color rgb="FF0000CC"/>
      <name val="Arial Nova"/>
      <family val="2"/>
    </font>
    <font>
      <b/>
      <sz val="12"/>
      <color rgb="FFC00000"/>
      <name val="Arial Nova"/>
      <family val="2"/>
    </font>
    <font>
      <b/>
      <sz val="12"/>
      <color rgb="FF008000"/>
      <name val="Arial Nova"/>
      <family val="2"/>
    </font>
    <font>
      <sz val="12"/>
      <color rgb="FF0000CC"/>
      <name val="Arial Nova"/>
      <family val="2"/>
    </font>
    <font>
      <b/>
      <sz val="14"/>
      <color rgb="FF0000CC"/>
      <name val="Arial Nova"/>
      <family val="2"/>
    </font>
    <font>
      <b/>
      <sz val="12"/>
      <color rgb="FFFF0000"/>
      <name val="Arial Nova"/>
      <family val="2"/>
    </font>
    <font>
      <b/>
      <sz val="12"/>
      <color rgb="FF00CC00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B2B2B2"/>
      </bottom>
      <diagonal/>
    </border>
    <border>
      <left/>
      <right/>
      <top style="medium">
        <color indexed="64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8" fillId="3" borderId="11" applyNumberFormat="0" applyFont="0" applyAlignment="0" applyProtection="0"/>
    <xf numFmtId="43" fontId="8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0" fontId="2" fillId="0" borderId="3" xfId="0" applyNumberFormat="1" applyFont="1" applyBorder="1"/>
    <xf numFmtId="10" fontId="2" fillId="0" borderId="5" xfId="0" applyNumberFormat="1" applyFont="1" applyBorder="1"/>
    <xf numFmtId="10" fontId="2" fillId="0" borderId="8" xfId="0" applyNumberFormat="1" applyFont="1" applyBorder="1"/>
    <xf numFmtId="0" fontId="3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10" fontId="2" fillId="0" borderId="0" xfId="0" applyNumberFormat="1" applyFont="1"/>
    <xf numFmtId="0" fontId="2" fillId="0" borderId="0" xfId="0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164" fontId="9" fillId="0" borderId="0" xfId="1" applyNumberFormat="1" applyFont="1"/>
    <xf numFmtId="0" fontId="9" fillId="0" borderId="9" xfId="0" applyFont="1" applyBorder="1" applyAlignment="1">
      <alignment horizontal="center" wrapText="1"/>
    </xf>
    <xf numFmtId="0" fontId="9" fillId="0" borderId="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0" xfId="0" applyFont="1" applyBorder="1" applyAlignment="1">
      <alignment horizontal="center"/>
    </xf>
    <xf numFmtId="0" fontId="2" fillId="3" borderId="11" xfId="2" applyFont="1"/>
    <xf numFmtId="10" fontId="2" fillId="3" borderId="11" xfId="2" applyNumberFormat="1" applyFont="1"/>
    <xf numFmtId="0" fontId="3" fillId="3" borderId="11" xfId="2" applyFont="1"/>
    <xf numFmtId="0" fontId="13" fillId="0" borderId="0" xfId="0" applyFont="1"/>
    <xf numFmtId="0" fontId="13" fillId="0" borderId="0" xfId="0" applyFont="1" applyAlignment="1">
      <alignment horizontal="center"/>
    </xf>
    <xf numFmtId="0" fontId="15" fillId="0" borderId="0" xfId="0" applyFont="1"/>
    <xf numFmtId="0" fontId="13" fillId="0" borderId="0" xfId="0" applyFont="1" applyAlignment="1">
      <alignment horizontal="left"/>
    </xf>
    <xf numFmtId="43" fontId="13" fillId="0" borderId="0" xfId="3" applyFont="1"/>
    <xf numFmtId="9" fontId="13" fillId="0" borderId="0" xfId="0" applyNumberFormat="1" applyFont="1"/>
    <xf numFmtId="0" fontId="15" fillId="0" borderId="0" xfId="0" applyFont="1" applyAlignment="1">
      <alignment vertical="center"/>
    </xf>
    <xf numFmtId="0" fontId="13" fillId="3" borderId="16" xfId="2" applyFont="1" applyBorder="1" applyAlignment="1">
      <alignment horizontal="left" vertical="center"/>
    </xf>
    <xf numFmtId="0" fontId="13" fillId="3" borderId="11" xfId="2" applyFont="1" applyAlignment="1">
      <alignment horizontal="left" vertical="center"/>
    </xf>
    <xf numFmtId="0" fontId="13" fillId="3" borderId="17" xfId="2" applyFont="1" applyBorder="1" applyAlignment="1">
      <alignment horizontal="left" vertical="center"/>
    </xf>
    <xf numFmtId="0" fontId="15" fillId="0" borderId="0" xfId="0" applyFont="1" applyAlignment="1">
      <alignment horizontal="center"/>
    </xf>
    <xf numFmtId="9" fontId="15" fillId="0" borderId="0" xfId="0" applyNumberFormat="1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9" fontId="15" fillId="0" borderId="3" xfId="1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3" fillId="0" borderId="0" xfId="0" applyFont="1" applyAlignment="1">
      <alignment horizontal="left" vertical="center" indent="1"/>
    </xf>
    <xf numFmtId="9" fontId="13" fillId="3" borderId="23" xfId="2" applyNumberFormat="1" applyFont="1" applyBorder="1"/>
    <xf numFmtId="0" fontId="15" fillId="3" borderId="24" xfId="2" applyFont="1" applyBorder="1"/>
    <xf numFmtId="164" fontId="15" fillId="3" borderId="24" xfId="2" applyNumberFormat="1" applyFont="1" applyBorder="1"/>
    <xf numFmtId="0" fontId="15" fillId="3" borderId="25" xfId="2" applyFont="1" applyBorder="1"/>
    <xf numFmtId="0" fontId="13" fillId="3" borderId="16" xfId="2" applyFont="1" applyBorder="1"/>
    <xf numFmtId="0" fontId="13" fillId="3" borderId="11" xfId="2" applyFont="1"/>
    <xf numFmtId="0" fontId="13" fillId="3" borderId="17" xfId="2" applyFont="1" applyBorder="1"/>
    <xf numFmtId="0" fontId="19" fillId="3" borderId="11" xfId="2" applyFont="1"/>
    <xf numFmtId="0" fontId="19" fillId="3" borderId="17" xfId="2" applyFont="1" applyBorder="1"/>
    <xf numFmtId="165" fontId="13" fillId="0" borderId="18" xfId="0" applyNumberFormat="1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165" fontId="13" fillId="0" borderId="0" xfId="0" applyNumberFormat="1" applyFont="1" applyAlignment="1">
      <alignment horizontal="center"/>
    </xf>
    <xf numFmtId="0" fontId="13" fillId="3" borderId="19" xfId="2" applyFont="1" applyBorder="1"/>
    <xf numFmtId="0" fontId="13" fillId="3" borderId="20" xfId="2" applyFont="1" applyBorder="1"/>
    <xf numFmtId="0" fontId="13" fillId="3" borderId="21" xfId="2" applyFont="1" applyBorder="1"/>
    <xf numFmtId="9" fontId="13" fillId="0" borderId="0" xfId="1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3" borderId="16" xfId="2" applyFont="1" applyBorder="1" applyAlignment="1">
      <alignment horizontal="center"/>
    </xf>
    <xf numFmtId="0" fontId="16" fillId="3" borderId="11" xfId="2" applyFont="1"/>
    <xf numFmtId="0" fontId="16" fillId="3" borderId="17" xfId="2" applyFont="1" applyBorder="1"/>
    <xf numFmtId="0" fontId="13" fillId="0" borderId="0" xfId="0" applyFont="1" applyAlignment="1">
      <alignment horizontal="left"/>
    </xf>
    <xf numFmtId="0" fontId="15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3" fillId="0" borderId="0" xfId="0" applyFont="1" applyAlignment="1">
      <alignment horizontal="left" wrapText="1"/>
    </xf>
    <xf numFmtId="165" fontId="13" fillId="0" borderId="9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3" borderId="13" xfId="2" applyFont="1" applyBorder="1" applyAlignment="1">
      <alignment horizontal="center" vertical="center"/>
    </xf>
    <xf numFmtId="0" fontId="15" fillId="3" borderId="14" xfId="2" applyFont="1" applyBorder="1" applyAlignment="1">
      <alignment horizontal="center" vertical="center"/>
    </xf>
    <xf numFmtId="0" fontId="15" fillId="3" borderId="15" xfId="2" applyFont="1" applyBorder="1" applyAlignment="1">
      <alignment horizontal="center" vertical="center"/>
    </xf>
    <xf numFmtId="0" fontId="13" fillId="3" borderId="16" xfId="2" applyFont="1" applyBorder="1" applyAlignment="1">
      <alignment horizontal="left" vertical="center"/>
    </xf>
    <xf numFmtId="0" fontId="13" fillId="3" borderId="11" xfId="2" applyFont="1" applyAlignment="1">
      <alignment horizontal="left" vertical="center"/>
    </xf>
    <xf numFmtId="0" fontId="13" fillId="3" borderId="17" xfId="2" applyFont="1" applyBorder="1" applyAlignment="1">
      <alignment horizontal="left" vertical="center"/>
    </xf>
    <xf numFmtId="0" fontId="15" fillId="0" borderId="18" xfId="0" applyFont="1" applyBorder="1" applyAlignment="1">
      <alignment horizontal="center"/>
    </xf>
    <xf numFmtId="0" fontId="13" fillId="3" borderId="19" xfId="2" applyFont="1" applyBorder="1" applyAlignment="1">
      <alignment horizontal="left" vertical="center"/>
    </xf>
    <xf numFmtId="0" fontId="13" fillId="3" borderId="20" xfId="2" applyFont="1" applyBorder="1" applyAlignment="1">
      <alignment horizontal="left" vertical="center"/>
    </xf>
    <xf numFmtId="0" fontId="13" fillId="3" borderId="21" xfId="2" applyFont="1" applyBorder="1" applyAlignment="1">
      <alignment horizontal="left" vertical="center"/>
    </xf>
    <xf numFmtId="0" fontId="15" fillId="0" borderId="9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</cellXfs>
  <cellStyles count="4">
    <cellStyle name="Millares" xfId="3" builtinId="3"/>
    <cellStyle name="Normal" xfId="0" builtinId="0"/>
    <cellStyle name="Notas" xfId="2" builtinId="10"/>
    <cellStyle name="Porcentaje" xfId="1" builtinId="5"/>
  </cellStyles>
  <dxfs count="0"/>
  <tableStyles count="0" defaultTableStyle="TableStyleMedium2" defaultPivotStyle="PivotStyleLight16"/>
  <colors>
    <mruColors>
      <color rgb="FF0000CC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617220</xdr:colOff>
      <xdr:row>10</xdr:row>
      <xdr:rowOff>83820</xdr:rowOff>
    </xdr:from>
    <xdr:to>
      <xdr:col>3</xdr:col>
      <xdr:colOff>106680</xdr:colOff>
      <xdr:row>14</xdr:row>
      <xdr:rowOff>129540</xdr:rowOff>
    </xdr:to>
    <xdr:sp macro="" textlink="">
      <xdr:nvSpPr>
        <xdr:cNvPr id="2" name="Flecha: curvada hacia la derecha 1">
          <a:extLst>
            <a:ext uri="{FF2B5EF4-FFF2-40B4-BE49-F238E27FC236}">
              <a16:creationId xmlns:a16="http://schemas.microsoft.com/office/drawing/2014/main" id="{6D411515-C644-51DA-8A56-23B7AFA1FD7A}"/>
            </a:ext>
          </a:extLst>
        </xdr:cNvPr>
        <xdr:cNvSpPr/>
      </xdr:nvSpPr>
      <xdr:spPr>
        <a:xfrm>
          <a:off x="2202180" y="2148840"/>
          <a:ext cx="281940" cy="853440"/>
        </a:xfrm>
        <a:prstGeom prst="curvedRight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R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243840</xdr:colOff>
      <xdr:row>35</xdr:row>
      <xdr:rowOff>144780</xdr:rowOff>
    </xdr:from>
    <xdr:to>
      <xdr:col>20</xdr:col>
      <xdr:colOff>185928</xdr:colOff>
      <xdr:row>53</xdr:row>
      <xdr:rowOff>175023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116045-697A-9599-BA8A-E271EBD4B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9340" y="6858000"/>
          <a:ext cx="6281928" cy="3596403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22860</xdr:colOff>
      <xdr:row>15</xdr:row>
      <xdr:rowOff>160020</xdr:rowOff>
    </xdr:from>
    <xdr:to>
      <xdr:col>20</xdr:col>
      <xdr:colOff>450235</xdr:colOff>
      <xdr:row>33</xdr:row>
      <xdr:rowOff>305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B4F6B5-84F6-AF04-DE34-ED92C9C90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45880" y="3208020"/>
          <a:ext cx="7559695" cy="3520745"/>
        </a:xfrm>
        <a:prstGeom prst="rect">
          <a:avLst/>
        </a:prstGeom>
      </xdr:spPr>
    </xdr:pic>
    <xdr:clientData/>
  </xdr:twoCellAnchor>
  <xdr:twoCellAnchor>
    <xdr:from>
      <xdr:col>6</xdr:col>
      <xdr:colOff>327660</xdr:colOff>
      <xdr:row>29</xdr:row>
      <xdr:rowOff>30480</xdr:rowOff>
    </xdr:from>
    <xdr:to>
      <xdr:col>7</xdr:col>
      <xdr:colOff>22860</xdr:colOff>
      <xdr:row>30</xdr:row>
      <xdr:rowOff>0</xdr:rowOff>
    </xdr:to>
    <xdr:sp macro="" textlink="">
      <xdr:nvSpPr>
        <xdr:cNvPr id="4" name="Flecha: curvada hacia arriba 3">
          <a:extLst>
            <a:ext uri="{FF2B5EF4-FFF2-40B4-BE49-F238E27FC236}">
              <a16:creationId xmlns:a16="http://schemas.microsoft.com/office/drawing/2014/main" id="{CEC8DC60-5CAD-3472-AE77-E3A75432D079}"/>
            </a:ext>
          </a:extLst>
        </xdr:cNvPr>
        <xdr:cNvSpPr/>
      </xdr:nvSpPr>
      <xdr:spPr>
        <a:xfrm rot="10800000">
          <a:off x="5288280" y="5455920"/>
          <a:ext cx="487680" cy="266700"/>
        </a:xfrm>
        <a:prstGeom prst="curvedUp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114300</xdr:colOff>
      <xdr:row>29</xdr:row>
      <xdr:rowOff>30480</xdr:rowOff>
    </xdr:from>
    <xdr:to>
      <xdr:col>8</xdr:col>
      <xdr:colOff>601980</xdr:colOff>
      <xdr:row>29</xdr:row>
      <xdr:rowOff>259080</xdr:rowOff>
    </xdr:to>
    <xdr:sp macro="" textlink="">
      <xdr:nvSpPr>
        <xdr:cNvPr id="6" name="Flecha: curvada hacia abajo 5">
          <a:extLst>
            <a:ext uri="{FF2B5EF4-FFF2-40B4-BE49-F238E27FC236}">
              <a16:creationId xmlns:a16="http://schemas.microsoft.com/office/drawing/2014/main" id="{1C693CEC-0062-F524-5579-191293FAB77A}"/>
            </a:ext>
          </a:extLst>
        </xdr:cNvPr>
        <xdr:cNvSpPr/>
      </xdr:nvSpPr>
      <xdr:spPr>
        <a:xfrm>
          <a:off x="6659880" y="5455920"/>
          <a:ext cx="487680" cy="228600"/>
        </a:xfrm>
        <a:prstGeom prst="curvedDown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R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9</xdr:row>
          <xdr:rowOff>0</xdr:rowOff>
        </xdr:from>
        <xdr:to>
          <xdr:col>7</xdr:col>
          <xdr:colOff>121920</xdr:colOff>
          <xdr:row>10</xdr:row>
          <xdr:rowOff>76200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53068</xdr:colOff>
      <xdr:row>8</xdr:row>
      <xdr:rowOff>138793</xdr:rowOff>
    </xdr:from>
    <xdr:to>
      <xdr:col>3</xdr:col>
      <xdr:colOff>331639</xdr:colOff>
      <xdr:row>20</xdr:row>
      <xdr:rowOff>85445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68" y="1710418"/>
          <a:ext cx="3000000" cy="2232652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3</xdr:row>
      <xdr:rowOff>161925</xdr:rowOff>
    </xdr:from>
    <xdr:to>
      <xdr:col>15</xdr:col>
      <xdr:colOff>732687</xdr:colOff>
      <xdr:row>11</xdr:row>
      <xdr:rowOff>85543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48425" y="771525"/>
          <a:ext cx="5904762" cy="145714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37</xdr:row>
          <xdr:rowOff>0</xdr:rowOff>
        </xdr:from>
        <xdr:to>
          <xdr:col>2</xdr:col>
          <xdr:colOff>883920</xdr:colOff>
          <xdr:row>38</xdr:row>
          <xdr:rowOff>76200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438150</xdr:colOff>
      <xdr:row>13</xdr:row>
      <xdr:rowOff>47625</xdr:rowOff>
    </xdr:from>
    <xdr:to>
      <xdr:col>14</xdr:col>
      <xdr:colOff>276225</xdr:colOff>
      <xdr:row>25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0" y="2771775"/>
          <a:ext cx="3648075" cy="2419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390525</xdr:colOff>
      <xdr:row>6</xdr:row>
      <xdr:rowOff>114300</xdr:rowOff>
    </xdr:from>
    <xdr:to>
      <xdr:col>15</xdr:col>
      <xdr:colOff>57150</xdr:colOff>
      <xdr:row>24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8525" y="1514475"/>
          <a:ext cx="4238625" cy="343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RALES ESPINOZA FERNANDA VALENTINA" id="{F0798915-E583-4DF7-AAE4-1FB890C70545}" userId="S::fernanda.morales0100@uhispano.ac.cr::ec3cedbd-9f1f-46f5-aaa3-8609e9c4c948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7" dT="2025-12-03T16:45:49.23" personId="{F0798915-E583-4DF7-AAE4-1FB890C70545}" id="{E0037522-E57F-4C2E-8FB5-10A8CC4219BB}">
    <text>Este negativo, significa salida de dinero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5" Type="http://schemas.openxmlformats.org/officeDocument/2006/relationships/oleObject" Target="../embeddings/oleObject2.bin"/><Relationship Id="rId4" Type="http://schemas.openxmlformats.org/officeDocument/2006/relationships/image" Target="../media/image3.w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E49C-3C6A-4E91-B5D0-CE128A38E639}">
  <dimension ref="C3:Q98"/>
  <sheetViews>
    <sheetView topLeftCell="B57" workbookViewId="0">
      <selection activeCell="K73" sqref="K73"/>
    </sheetView>
  </sheetViews>
  <sheetFormatPr baseColWidth="10" defaultRowHeight="15.6" x14ac:dyDescent="0.3"/>
  <cols>
    <col min="1" max="3" width="11.5546875" style="24"/>
    <col min="4" max="4" width="12.6640625" style="24" bestFit="1" customWidth="1"/>
    <col min="5" max="5" width="13.5546875" style="24" customWidth="1"/>
    <col min="6" max="6" width="13.109375" style="24" bestFit="1" customWidth="1"/>
    <col min="7" max="11" width="11.5546875" style="24"/>
    <col min="12" max="12" width="15.109375" style="24" customWidth="1"/>
    <col min="13" max="13" width="12.109375" style="24" customWidth="1"/>
    <col min="14" max="14" width="11.5546875" style="24"/>
    <col min="15" max="15" width="16.109375" style="24" customWidth="1"/>
    <col min="16" max="16" width="12.5546875" style="24" customWidth="1"/>
    <col min="17" max="16384" width="11.5546875" style="24"/>
  </cols>
  <sheetData>
    <row r="3" spans="3:16" ht="21" thickBot="1" x14ac:dyDescent="0.4">
      <c r="C3" s="68" t="s">
        <v>68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</row>
    <row r="4" spans="3:16" ht="16.2" thickTop="1" x14ac:dyDescent="0.3"/>
    <row r="6" spans="3:16" x14ac:dyDescent="0.3">
      <c r="C6" s="24" t="s">
        <v>69</v>
      </c>
    </row>
    <row r="7" spans="3:16" ht="16.2" thickBot="1" x14ac:dyDescent="0.35"/>
    <row r="8" spans="3:16" x14ac:dyDescent="0.3">
      <c r="C8" s="30" t="s">
        <v>70</v>
      </c>
      <c r="M8" s="74" t="s">
        <v>71</v>
      </c>
      <c r="N8" s="75"/>
      <c r="O8" s="75"/>
      <c r="P8" s="76"/>
    </row>
    <row r="9" spans="3:16" x14ac:dyDescent="0.3">
      <c r="C9" s="30"/>
      <c r="M9" s="31" t="s">
        <v>72</v>
      </c>
      <c r="N9" s="32"/>
      <c r="O9" s="32"/>
      <c r="P9" s="33"/>
    </row>
    <row r="10" spans="3:16" x14ac:dyDescent="0.3">
      <c r="C10" s="30"/>
      <c r="M10" s="77" t="s">
        <v>73</v>
      </c>
      <c r="N10" s="78"/>
      <c r="O10" s="78"/>
      <c r="P10" s="79"/>
    </row>
    <row r="11" spans="3:16" ht="16.2" thickBot="1" x14ac:dyDescent="0.35">
      <c r="C11" s="30" t="s">
        <v>74</v>
      </c>
      <c r="D11" s="80" t="s">
        <v>75</v>
      </c>
      <c r="E11" s="80"/>
      <c r="F11" s="34" t="s">
        <v>76</v>
      </c>
      <c r="G11" s="35">
        <v>1</v>
      </c>
      <c r="M11" s="81" t="s">
        <v>77</v>
      </c>
      <c r="N11" s="82"/>
      <c r="O11" s="82"/>
      <c r="P11" s="83"/>
    </row>
    <row r="12" spans="3:16" x14ac:dyDescent="0.3">
      <c r="D12" s="84" t="s">
        <v>78</v>
      </c>
      <c r="E12" s="84"/>
      <c r="F12" s="34"/>
      <c r="G12" s="34"/>
    </row>
    <row r="14" spans="3:16" ht="16.2" thickBot="1" x14ac:dyDescent="0.35"/>
    <row r="15" spans="3:16" x14ac:dyDescent="0.3">
      <c r="C15" s="36" t="s">
        <v>74</v>
      </c>
      <c r="D15" s="72" t="s">
        <v>79</v>
      </c>
      <c r="E15" s="72"/>
      <c r="F15" s="37" t="s">
        <v>80</v>
      </c>
      <c r="G15" s="72" t="s">
        <v>78</v>
      </c>
      <c r="H15" s="72"/>
      <c r="I15" s="38" t="s">
        <v>76</v>
      </c>
      <c r="J15" s="39">
        <v>1</v>
      </c>
    </row>
    <row r="16" spans="3:16" ht="16.2" thickBot="1" x14ac:dyDescent="0.35">
      <c r="C16" s="40"/>
      <c r="D16" s="41"/>
      <c r="E16" s="41" t="s">
        <v>78</v>
      </c>
      <c r="F16" s="41"/>
      <c r="G16" s="41"/>
      <c r="H16" s="41"/>
      <c r="I16" s="41"/>
      <c r="J16" s="42"/>
    </row>
    <row r="18" spans="3:16" x14ac:dyDescent="0.3">
      <c r="C18" s="43"/>
    </row>
    <row r="19" spans="3:16" x14ac:dyDescent="0.3">
      <c r="C19" s="73" t="s">
        <v>81</v>
      </c>
      <c r="D19" s="73"/>
      <c r="E19" s="73"/>
      <c r="F19" s="73"/>
      <c r="G19" s="73"/>
      <c r="H19" s="73"/>
    </row>
    <row r="20" spans="3:16" x14ac:dyDescent="0.3">
      <c r="C20" s="73" t="s">
        <v>82</v>
      </c>
      <c r="D20" s="73"/>
      <c r="E20" s="73"/>
      <c r="F20" s="73"/>
      <c r="G20" s="73"/>
      <c r="H20" s="73"/>
    </row>
    <row r="23" spans="3:16" x14ac:dyDescent="0.3">
      <c r="C23" s="26" t="s">
        <v>62</v>
      </c>
    </row>
    <row r="24" spans="3:16" ht="16.2" thickBot="1" x14ac:dyDescent="0.35"/>
    <row r="25" spans="3:16" x14ac:dyDescent="0.3">
      <c r="C25" s="24" t="s">
        <v>83</v>
      </c>
      <c r="M25" s="44"/>
      <c r="N25" s="45" t="s">
        <v>84</v>
      </c>
      <c r="O25" s="46"/>
      <c r="P25" s="47" t="s">
        <v>85</v>
      </c>
    </row>
    <row r="26" spans="3:16" ht="16.2" thickBot="1" x14ac:dyDescent="0.35">
      <c r="M26" s="63" t="s">
        <v>86</v>
      </c>
      <c r="N26" s="49" t="s">
        <v>87</v>
      </c>
      <c r="O26" s="49"/>
      <c r="P26" s="50"/>
    </row>
    <row r="27" spans="3:16" x14ac:dyDescent="0.3">
      <c r="C27" s="36" t="s">
        <v>74</v>
      </c>
      <c r="D27" s="72" t="s">
        <v>79</v>
      </c>
      <c r="E27" s="72"/>
      <c r="F27" s="37" t="s">
        <v>80</v>
      </c>
      <c r="G27" s="72" t="s">
        <v>78</v>
      </c>
      <c r="H27" s="72"/>
      <c r="I27" s="38" t="s">
        <v>76</v>
      </c>
      <c r="J27" s="39">
        <v>1</v>
      </c>
      <c r="M27" s="48"/>
      <c r="N27" s="64">
        <v>-42000</v>
      </c>
      <c r="O27" s="51"/>
      <c r="P27" s="65">
        <v>-45000</v>
      </c>
    </row>
    <row r="28" spans="3:16" ht="16.2" thickBot="1" x14ac:dyDescent="0.35">
      <c r="C28" s="40"/>
      <c r="D28" s="41"/>
      <c r="E28" s="41" t="s">
        <v>78</v>
      </c>
      <c r="F28" s="41"/>
      <c r="G28" s="41"/>
      <c r="H28" s="41"/>
      <c r="I28" s="41"/>
      <c r="J28" s="42"/>
      <c r="M28" s="48">
        <v>1</v>
      </c>
      <c r="N28" s="49">
        <v>14000</v>
      </c>
      <c r="O28" s="49"/>
      <c r="P28" s="50">
        <v>28000</v>
      </c>
    </row>
    <row r="29" spans="3:16" x14ac:dyDescent="0.3">
      <c r="M29" s="48">
        <v>2</v>
      </c>
      <c r="N29" s="49">
        <v>14000</v>
      </c>
      <c r="O29" s="49"/>
      <c r="P29" s="50">
        <v>12000</v>
      </c>
    </row>
    <row r="30" spans="3:16" x14ac:dyDescent="0.3">
      <c r="C30" s="24" t="s">
        <v>74</v>
      </c>
      <c r="D30" s="53"/>
      <c r="E30" s="54" t="s">
        <v>80</v>
      </c>
      <c r="F30" s="53"/>
      <c r="G30" s="55" t="s">
        <v>76</v>
      </c>
      <c r="H30" s="35">
        <v>1</v>
      </c>
      <c r="M30" s="48">
        <v>3</v>
      </c>
      <c r="N30" s="49">
        <v>14000</v>
      </c>
      <c r="O30" s="49"/>
      <c r="P30" s="50">
        <v>10000</v>
      </c>
    </row>
    <row r="31" spans="3:16" x14ac:dyDescent="0.3">
      <c r="D31" s="70"/>
      <c r="E31" s="70"/>
      <c r="F31" s="70"/>
      <c r="G31" s="25"/>
      <c r="H31" s="25"/>
      <c r="M31" s="48">
        <v>4</v>
      </c>
      <c r="N31" s="49">
        <v>14000</v>
      </c>
      <c r="O31" s="49"/>
      <c r="P31" s="50">
        <v>10000</v>
      </c>
    </row>
    <row r="32" spans="3:16" ht="16.2" thickBot="1" x14ac:dyDescent="0.35">
      <c r="D32" s="25"/>
      <c r="E32" s="25"/>
      <c r="F32" s="25"/>
      <c r="G32" s="25"/>
      <c r="H32" s="25"/>
      <c r="M32" s="56">
        <v>5</v>
      </c>
      <c r="N32" s="57">
        <v>14000</v>
      </c>
      <c r="O32" s="57"/>
      <c r="P32" s="58">
        <v>10000</v>
      </c>
    </row>
    <row r="33" spans="3:17" x14ac:dyDescent="0.3">
      <c r="C33" s="24" t="s">
        <v>74</v>
      </c>
      <c r="D33" s="53"/>
      <c r="E33" s="25" t="s">
        <v>76</v>
      </c>
      <c r="F33" s="59">
        <v>1</v>
      </c>
      <c r="G33" s="25"/>
      <c r="H33" s="25"/>
      <c r="N33" s="24">
        <f>SUM(N28:N32)</f>
        <v>70000</v>
      </c>
      <c r="P33" s="24">
        <f>SUM(P28:P32)</f>
        <v>70000</v>
      </c>
    </row>
    <row r="34" spans="3:17" x14ac:dyDescent="0.3">
      <c r="D34" s="55"/>
      <c r="E34" s="25"/>
      <c r="F34" s="25"/>
      <c r="G34" s="25"/>
      <c r="H34" s="25"/>
      <c r="L34" s="26" t="s">
        <v>84</v>
      </c>
    </row>
    <row r="35" spans="3:17" x14ac:dyDescent="0.3">
      <c r="D35" s="25"/>
      <c r="E35" s="25"/>
      <c r="F35" s="25"/>
      <c r="G35" s="25"/>
      <c r="H35" s="25"/>
      <c r="L35" s="24" t="s">
        <v>74</v>
      </c>
      <c r="M35" s="53"/>
      <c r="N35" s="54" t="s">
        <v>80</v>
      </c>
      <c r="O35" s="53"/>
      <c r="P35" s="55" t="s">
        <v>76</v>
      </c>
      <c r="Q35" s="35">
        <v>1</v>
      </c>
    </row>
    <row r="36" spans="3:17" x14ac:dyDescent="0.3">
      <c r="C36" s="24" t="s">
        <v>74</v>
      </c>
      <c r="D36" s="55"/>
      <c r="E36" s="25" t="s">
        <v>76</v>
      </c>
      <c r="F36" s="59">
        <v>1</v>
      </c>
      <c r="G36" s="25"/>
      <c r="H36" s="25"/>
      <c r="M36" s="70"/>
      <c r="N36" s="70"/>
      <c r="O36" s="70"/>
      <c r="P36" s="25"/>
      <c r="Q36" s="25"/>
    </row>
    <row r="37" spans="3:17" x14ac:dyDescent="0.3">
      <c r="D37" s="25"/>
      <c r="E37" s="25"/>
      <c r="F37" s="25"/>
      <c r="G37" s="25"/>
      <c r="H37" s="25"/>
      <c r="M37" s="25"/>
      <c r="N37" s="25"/>
      <c r="O37" s="25"/>
      <c r="P37" s="25"/>
      <c r="Q37" s="25"/>
    </row>
    <row r="38" spans="3:17" x14ac:dyDescent="0.3">
      <c r="C38" s="24" t="s">
        <v>74</v>
      </c>
      <c r="D38" s="59"/>
      <c r="E38" s="25"/>
      <c r="F38" s="25"/>
      <c r="G38" s="25"/>
      <c r="H38" s="25"/>
      <c r="L38" s="24" t="s">
        <v>74</v>
      </c>
      <c r="M38" s="53"/>
      <c r="N38" s="25" t="s">
        <v>76</v>
      </c>
      <c r="O38" s="59">
        <v>1</v>
      </c>
      <c r="P38" s="25"/>
      <c r="Q38" s="25"/>
    </row>
    <row r="39" spans="3:17" x14ac:dyDescent="0.3">
      <c r="D39" s="25"/>
      <c r="E39" s="25"/>
      <c r="F39" s="25"/>
      <c r="G39" s="25"/>
      <c r="H39" s="25"/>
      <c r="M39" s="55"/>
      <c r="N39" s="25"/>
      <c r="O39" s="25"/>
      <c r="P39" s="25"/>
      <c r="Q39" s="25"/>
    </row>
    <row r="40" spans="3:17" x14ac:dyDescent="0.3">
      <c r="C40" s="24" t="s">
        <v>88</v>
      </c>
      <c r="M40" s="25"/>
      <c r="N40" s="25"/>
      <c r="O40" s="25"/>
      <c r="P40" s="25"/>
      <c r="Q40" s="25"/>
    </row>
    <row r="41" spans="3:17" x14ac:dyDescent="0.3">
      <c r="L41" s="24" t="s">
        <v>74</v>
      </c>
      <c r="M41" s="55"/>
      <c r="N41" s="25" t="s">
        <v>76</v>
      </c>
      <c r="O41" s="59">
        <v>1</v>
      </c>
      <c r="P41" s="25"/>
      <c r="Q41" s="25"/>
    </row>
    <row r="42" spans="3:17" x14ac:dyDescent="0.3">
      <c r="M42" s="25"/>
      <c r="N42" s="25"/>
      <c r="O42" s="25"/>
      <c r="P42" s="25"/>
      <c r="Q42" s="25"/>
    </row>
    <row r="43" spans="3:17" ht="17.399999999999999" x14ac:dyDescent="0.3">
      <c r="C43" s="71" t="s">
        <v>89</v>
      </c>
      <c r="D43" s="71"/>
      <c r="E43" s="71"/>
      <c r="L43" s="24" t="s">
        <v>74</v>
      </c>
      <c r="M43" s="59"/>
      <c r="N43" s="25"/>
      <c r="O43" s="25"/>
      <c r="P43" s="25"/>
      <c r="Q43" s="25"/>
    </row>
    <row r="45" spans="3:17" x14ac:dyDescent="0.3">
      <c r="C45" s="26" t="s">
        <v>90</v>
      </c>
      <c r="L45" s="24" t="s">
        <v>100</v>
      </c>
    </row>
    <row r="47" spans="3:17" x14ac:dyDescent="0.3">
      <c r="C47" s="66" t="s">
        <v>91</v>
      </c>
      <c r="D47" s="66"/>
      <c r="E47" s="66"/>
      <c r="L47" s="26" t="s">
        <v>85</v>
      </c>
    </row>
    <row r="48" spans="3:17" x14ac:dyDescent="0.3">
      <c r="C48" s="66" t="s">
        <v>92</v>
      </c>
      <c r="D48" s="66"/>
      <c r="E48" s="66"/>
      <c r="L48" s="24" t="s">
        <v>74</v>
      </c>
      <c r="M48" s="53"/>
      <c r="N48" s="54" t="s">
        <v>80</v>
      </c>
      <c r="O48" s="53"/>
      <c r="P48" s="55" t="s">
        <v>76</v>
      </c>
      <c r="Q48" s="35">
        <v>1</v>
      </c>
    </row>
    <row r="49" spans="3:17" x14ac:dyDescent="0.3">
      <c r="M49" s="70"/>
      <c r="N49" s="70"/>
      <c r="O49" s="70"/>
      <c r="P49" s="25"/>
      <c r="Q49" s="25"/>
    </row>
    <row r="50" spans="3:17" x14ac:dyDescent="0.3">
      <c r="C50" s="24" t="s">
        <v>74</v>
      </c>
      <c r="D50" s="53"/>
      <c r="E50" s="54" t="s">
        <v>80</v>
      </c>
      <c r="F50" s="53"/>
      <c r="G50" s="55" t="s">
        <v>76</v>
      </c>
      <c r="H50" s="35">
        <v>1</v>
      </c>
      <c r="M50" s="25"/>
      <c r="N50" s="25"/>
      <c r="O50" s="25"/>
      <c r="P50" s="25"/>
      <c r="Q50" s="25"/>
    </row>
    <row r="51" spans="3:17" x14ac:dyDescent="0.3">
      <c r="D51" s="70"/>
      <c r="E51" s="70"/>
      <c r="F51" s="70"/>
      <c r="G51" s="25"/>
      <c r="H51" s="25"/>
      <c r="L51" s="24" t="s">
        <v>74</v>
      </c>
      <c r="M51" s="53"/>
      <c r="N51" s="25" t="s">
        <v>76</v>
      </c>
      <c r="O51" s="59">
        <v>1</v>
      </c>
      <c r="P51" s="25"/>
      <c r="Q51" s="25"/>
    </row>
    <row r="52" spans="3:17" x14ac:dyDescent="0.3">
      <c r="D52" s="25"/>
      <c r="E52" s="25"/>
      <c r="F52" s="25"/>
      <c r="G52" s="25"/>
      <c r="H52" s="25"/>
      <c r="M52" s="55"/>
      <c r="N52" s="25"/>
      <c r="O52" s="25"/>
      <c r="P52" s="25"/>
      <c r="Q52" s="25"/>
    </row>
    <row r="53" spans="3:17" x14ac:dyDescent="0.3">
      <c r="C53" s="24" t="s">
        <v>74</v>
      </c>
      <c r="D53" s="53"/>
      <c r="E53" s="25" t="s">
        <v>76</v>
      </c>
      <c r="F53" s="59">
        <v>1</v>
      </c>
      <c r="G53" s="25"/>
      <c r="H53" s="25"/>
      <c r="M53" s="25"/>
      <c r="N53" s="25"/>
      <c r="O53" s="25"/>
      <c r="P53" s="25"/>
      <c r="Q53" s="25"/>
    </row>
    <row r="54" spans="3:17" x14ac:dyDescent="0.3">
      <c r="D54" s="55"/>
      <c r="E54" s="25"/>
      <c r="F54" s="25"/>
      <c r="G54" s="25"/>
      <c r="H54" s="25"/>
      <c r="L54" s="24" t="s">
        <v>74</v>
      </c>
      <c r="M54" s="55"/>
      <c r="N54" s="25" t="s">
        <v>76</v>
      </c>
      <c r="O54" s="59">
        <f>+O51</f>
        <v>1</v>
      </c>
      <c r="P54" s="25"/>
      <c r="Q54" s="25"/>
    </row>
    <row r="55" spans="3:17" x14ac:dyDescent="0.3">
      <c r="D55" s="25"/>
      <c r="E55" s="25"/>
      <c r="F55" s="25"/>
      <c r="G55" s="25"/>
      <c r="H55" s="25"/>
      <c r="M55" s="25"/>
      <c r="N55" s="25"/>
      <c r="O55" s="25"/>
      <c r="P55" s="25"/>
      <c r="Q55" s="25"/>
    </row>
    <row r="56" spans="3:17" x14ac:dyDescent="0.3">
      <c r="C56" s="24" t="s">
        <v>74</v>
      </c>
      <c r="D56" s="55"/>
      <c r="E56" s="25" t="s">
        <v>76</v>
      </c>
      <c r="F56" s="59">
        <v>1</v>
      </c>
      <c r="G56" s="25"/>
      <c r="H56" s="25"/>
      <c r="L56" s="24" t="s">
        <v>74</v>
      </c>
      <c r="M56" s="59"/>
      <c r="N56" s="25"/>
      <c r="O56" s="25"/>
      <c r="P56" s="25"/>
      <c r="Q56" s="25"/>
    </row>
    <row r="57" spans="3:17" x14ac:dyDescent="0.3">
      <c r="D57" s="25"/>
      <c r="E57" s="25"/>
      <c r="F57" s="25"/>
      <c r="G57" s="25"/>
      <c r="H57" s="25"/>
    </row>
    <row r="58" spans="3:17" x14ac:dyDescent="0.3">
      <c r="C58" s="24" t="s">
        <v>74</v>
      </c>
      <c r="D58" s="59"/>
      <c r="E58" s="61"/>
      <c r="F58" s="25"/>
      <c r="G58" s="25"/>
      <c r="H58" s="25"/>
      <c r="L58" s="24" t="s">
        <v>101</v>
      </c>
    </row>
    <row r="59" spans="3:17" ht="16.2" thickBot="1" x14ac:dyDescent="0.35">
      <c r="D59" s="25"/>
      <c r="E59" s="25"/>
      <c r="F59" s="25"/>
      <c r="G59" s="25"/>
      <c r="H59" s="25"/>
    </row>
    <row r="60" spans="3:17" x14ac:dyDescent="0.3">
      <c r="C60" s="24" t="s">
        <v>97</v>
      </c>
      <c r="M60" s="44"/>
      <c r="N60" s="45" t="s">
        <v>84</v>
      </c>
      <c r="O60" s="46"/>
      <c r="P60" s="47" t="s">
        <v>85</v>
      </c>
    </row>
    <row r="61" spans="3:17" x14ac:dyDescent="0.3">
      <c r="M61" s="48" t="s">
        <v>86</v>
      </c>
      <c r="N61" s="49" t="s">
        <v>87</v>
      </c>
      <c r="O61" s="49"/>
      <c r="P61" s="50"/>
    </row>
    <row r="62" spans="3:17" x14ac:dyDescent="0.3">
      <c r="M62" s="48"/>
      <c r="N62" s="51">
        <v>-98000</v>
      </c>
      <c r="O62" s="51"/>
      <c r="P62" s="52">
        <v>-110000</v>
      </c>
    </row>
    <row r="63" spans="3:17" x14ac:dyDescent="0.3">
      <c r="C63" s="26"/>
      <c r="M63" s="48">
        <v>1</v>
      </c>
      <c r="N63" s="49">
        <v>25000</v>
      </c>
      <c r="O63" s="49"/>
      <c r="P63" s="50">
        <v>25000</v>
      </c>
    </row>
    <row r="64" spans="3:17" x14ac:dyDescent="0.3">
      <c r="M64" s="48">
        <v>2</v>
      </c>
      <c r="N64" s="49">
        <v>25000</v>
      </c>
      <c r="O64" s="49"/>
      <c r="P64" s="50">
        <v>35000</v>
      </c>
    </row>
    <row r="65" spans="3:16" x14ac:dyDescent="0.3">
      <c r="C65" s="26" t="s">
        <v>93</v>
      </c>
      <c r="M65" s="48">
        <v>3</v>
      </c>
      <c r="N65" s="49">
        <v>25000</v>
      </c>
      <c r="O65" s="49"/>
      <c r="P65" s="50">
        <v>30000</v>
      </c>
    </row>
    <row r="66" spans="3:16" x14ac:dyDescent="0.3">
      <c r="M66" s="48">
        <v>4</v>
      </c>
      <c r="N66" s="49">
        <v>25000</v>
      </c>
      <c r="O66" s="49"/>
      <c r="P66" s="50">
        <v>30000</v>
      </c>
    </row>
    <row r="67" spans="3:16" ht="16.2" thickBot="1" x14ac:dyDescent="0.35">
      <c r="C67" s="66" t="s">
        <v>94</v>
      </c>
      <c r="D67" s="66"/>
      <c r="E67" s="66"/>
      <c r="M67" s="56">
        <v>5</v>
      </c>
      <c r="N67" s="57">
        <v>25000</v>
      </c>
      <c r="O67" s="57"/>
      <c r="P67" s="58">
        <v>40000</v>
      </c>
    </row>
    <row r="68" spans="3:16" x14ac:dyDescent="0.3">
      <c r="C68" s="66" t="s">
        <v>95</v>
      </c>
      <c r="D68" s="66"/>
      <c r="E68" s="66"/>
    </row>
    <row r="70" spans="3:16" x14ac:dyDescent="0.3">
      <c r="C70" s="24" t="s">
        <v>74</v>
      </c>
      <c r="D70" s="53"/>
      <c r="E70" s="54" t="s">
        <v>80</v>
      </c>
      <c r="F70" s="53"/>
      <c r="G70" s="55" t="s">
        <v>76</v>
      </c>
      <c r="H70" s="35">
        <v>1</v>
      </c>
    </row>
    <row r="71" spans="3:16" x14ac:dyDescent="0.3">
      <c r="D71" s="70"/>
      <c r="E71" s="70"/>
      <c r="F71" s="70"/>
      <c r="G71" s="25"/>
      <c r="H71" s="25"/>
    </row>
    <row r="72" spans="3:16" x14ac:dyDescent="0.3">
      <c r="D72" s="25"/>
      <c r="E72" s="25"/>
      <c r="F72" s="25"/>
      <c r="G72" s="25"/>
      <c r="H72" s="25"/>
    </row>
    <row r="73" spans="3:16" x14ac:dyDescent="0.3">
      <c r="C73" s="24" t="s">
        <v>74</v>
      </c>
      <c r="D73" s="53"/>
      <c r="E73" s="25" t="s">
        <v>76</v>
      </c>
      <c r="F73" s="59">
        <v>1</v>
      </c>
      <c r="G73" s="25"/>
      <c r="H73" s="25"/>
    </row>
    <row r="74" spans="3:16" x14ac:dyDescent="0.3">
      <c r="D74" s="55"/>
      <c r="E74" s="25"/>
      <c r="F74" s="25"/>
      <c r="G74" s="25"/>
      <c r="H74" s="25"/>
    </row>
    <row r="75" spans="3:16" x14ac:dyDescent="0.3">
      <c r="D75" s="25"/>
      <c r="E75" s="25"/>
      <c r="F75" s="25"/>
      <c r="G75" s="25"/>
      <c r="H75" s="25"/>
    </row>
    <row r="76" spans="3:16" x14ac:dyDescent="0.3">
      <c r="C76" s="24" t="s">
        <v>74</v>
      </c>
      <c r="D76" s="55"/>
      <c r="E76" s="25" t="s">
        <v>76</v>
      </c>
      <c r="F76" s="59">
        <v>1</v>
      </c>
      <c r="G76" s="25"/>
      <c r="H76" s="25"/>
    </row>
    <row r="77" spans="3:16" x14ac:dyDescent="0.3">
      <c r="D77" s="25"/>
      <c r="E77" s="25"/>
      <c r="F77" s="25"/>
      <c r="G77" s="25"/>
      <c r="H77" s="25"/>
    </row>
    <row r="78" spans="3:16" x14ac:dyDescent="0.3">
      <c r="C78" s="24" t="s">
        <v>74</v>
      </c>
      <c r="D78" s="59"/>
      <c r="E78" s="60"/>
      <c r="F78" s="25"/>
      <c r="G78" s="25"/>
      <c r="H78" s="25"/>
    </row>
    <row r="79" spans="3:16" x14ac:dyDescent="0.3">
      <c r="D79" s="25"/>
      <c r="E79" s="25"/>
      <c r="F79" s="25"/>
      <c r="G79" s="25"/>
      <c r="H79" s="25"/>
    </row>
    <row r="80" spans="3:16" x14ac:dyDescent="0.3">
      <c r="C80" s="24" t="s">
        <v>98</v>
      </c>
    </row>
    <row r="83" spans="3:8" x14ac:dyDescent="0.3">
      <c r="C83" s="26" t="s">
        <v>96</v>
      </c>
    </row>
    <row r="85" spans="3:8" x14ac:dyDescent="0.3">
      <c r="C85" s="66" t="s">
        <v>102</v>
      </c>
      <c r="D85" s="66"/>
      <c r="E85" s="66"/>
    </row>
    <row r="86" spans="3:8" x14ac:dyDescent="0.3">
      <c r="C86" s="66" t="s">
        <v>103</v>
      </c>
      <c r="D86" s="66"/>
      <c r="E86" s="66"/>
    </row>
    <row r="88" spans="3:8" x14ac:dyDescent="0.3">
      <c r="C88" s="24" t="s">
        <v>74</v>
      </c>
      <c r="D88" s="53"/>
      <c r="E88" s="54" t="s">
        <v>80</v>
      </c>
      <c r="F88" s="53"/>
      <c r="G88" s="55" t="s">
        <v>76</v>
      </c>
      <c r="H88" s="35">
        <v>1</v>
      </c>
    </row>
    <row r="89" spans="3:8" x14ac:dyDescent="0.3">
      <c r="D89" s="70"/>
      <c r="E89" s="70"/>
      <c r="F89" s="70"/>
      <c r="G89" s="25"/>
      <c r="H89" s="25"/>
    </row>
    <row r="90" spans="3:8" x14ac:dyDescent="0.3">
      <c r="D90" s="25"/>
      <c r="E90" s="25"/>
      <c r="F90" s="25"/>
      <c r="G90" s="25"/>
      <c r="H90" s="25"/>
    </row>
    <row r="91" spans="3:8" x14ac:dyDescent="0.3">
      <c r="C91" s="24" t="s">
        <v>74</v>
      </c>
      <c r="D91" s="53"/>
      <c r="E91" s="25" t="s">
        <v>76</v>
      </c>
      <c r="F91" s="59">
        <v>1</v>
      </c>
      <c r="G91" s="25"/>
      <c r="H91" s="25"/>
    </row>
    <row r="92" spans="3:8" x14ac:dyDescent="0.3">
      <c r="D92" s="55"/>
      <c r="E92" s="25"/>
      <c r="F92" s="25"/>
      <c r="G92" s="25"/>
      <c r="H92" s="25"/>
    </row>
    <row r="93" spans="3:8" x14ac:dyDescent="0.3">
      <c r="D93" s="25"/>
      <c r="E93" s="25"/>
      <c r="F93" s="25"/>
      <c r="G93" s="25"/>
      <c r="H93" s="25"/>
    </row>
    <row r="94" spans="3:8" x14ac:dyDescent="0.3">
      <c r="C94" s="24" t="s">
        <v>74</v>
      </c>
      <c r="D94" s="55"/>
      <c r="E94" s="25" t="s">
        <v>76</v>
      </c>
      <c r="F94" s="59">
        <v>1</v>
      </c>
      <c r="G94" s="25"/>
      <c r="H94" s="25"/>
    </row>
    <row r="95" spans="3:8" x14ac:dyDescent="0.3">
      <c r="D95" s="25"/>
      <c r="E95" s="25"/>
      <c r="F95" s="25"/>
      <c r="G95" s="25"/>
      <c r="H95" s="25"/>
    </row>
    <row r="96" spans="3:8" x14ac:dyDescent="0.3">
      <c r="C96" s="24" t="s">
        <v>74</v>
      </c>
      <c r="D96" s="59"/>
      <c r="E96" s="62"/>
      <c r="F96" s="25"/>
      <c r="G96" s="25"/>
      <c r="H96" s="25"/>
    </row>
    <row r="97" spans="3:8" x14ac:dyDescent="0.3">
      <c r="D97" s="25"/>
      <c r="E97" s="25"/>
      <c r="F97" s="25"/>
      <c r="G97" s="25"/>
      <c r="H97" s="25"/>
    </row>
    <row r="98" spans="3:8" x14ac:dyDescent="0.3">
      <c r="C98" s="24" t="s">
        <v>99</v>
      </c>
    </row>
  </sheetData>
  <mergeCells count="25">
    <mergeCell ref="D12:E12"/>
    <mergeCell ref="C3:O3"/>
    <mergeCell ref="M8:P8"/>
    <mergeCell ref="M10:P10"/>
    <mergeCell ref="D11:E11"/>
    <mergeCell ref="M11:P11"/>
    <mergeCell ref="D15:E15"/>
    <mergeCell ref="G15:H15"/>
    <mergeCell ref="C19:H19"/>
    <mergeCell ref="C20:H20"/>
    <mergeCell ref="D27:E27"/>
    <mergeCell ref="G27:H27"/>
    <mergeCell ref="D51:F51"/>
    <mergeCell ref="D71:F71"/>
    <mergeCell ref="D31:F31"/>
    <mergeCell ref="M36:O36"/>
    <mergeCell ref="C43:E43"/>
    <mergeCell ref="C47:E47"/>
    <mergeCell ref="C48:E48"/>
    <mergeCell ref="M49:O49"/>
    <mergeCell ref="D89:F89"/>
    <mergeCell ref="C67:E67"/>
    <mergeCell ref="C68:E68"/>
    <mergeCell ref="C85:E85"/>
    <mergeCell ref="C86:E8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992D-2F05-4471-B6BD-6AB88C158963}">
  <sheetPr codeName="Hoja1"/>
  <dimension ref="C3:M41"/>
  <sheetViews>
    <sheetView tabSelected="1" topLeftCell="B6" workbookViewId="0">
      <selection activeCell="J27" sqref="J27"/>
    </sheetView>
  </sheetViews>
  <sheetFormatPr baseColWidth="10" defaultRowHeight="15.6" x14ac:dyDescent="0.3"/>
  <cols>
    <col min="1" max="5" width="11.5546875" style="24"/>
    <col min="6" max="6" width="14.5546875" style="24" customWidth="1"/>
    <col min="7" max="16384" width="11.5546875" style="24"/>
  </cols>
  <sheetData>
    <row r="3" spans="3:13" ht="21" thickBot="1" x14ac:dyDescent="0.4">
      <c r="C3" s="68" t="s">
        <v>48</v>
      </c>
      <c r="D3" s="68"/>
      <c r="E3" s="68"/>
      <c r="F3" s="68"/>
      <c r="G3" s="68"/>
      <c r="H3" s="68"/>
      <c r="I3" s="68"/>
      <c r="J3" s="68"/>
      <c r="K3" s="68"/>
      <c r="L3" s="68"/>
      <c r="M3" s="68"/>
    </row>
    <row r="4" spans="3:13" ht="16.2" thickTop="1" x14ac:dyDescent="0.3"/>
    <row r="5" spans="3:13" x14ac:dyDescent="0.3">
      <c r="C5" s="69" t="s">
        <v>49</v>
      </c>
      <c r="D5" s="69"/>
      <c r="E5" s="69"/>
      <c r="F5" s="69"/>
      <c r="G5" s="69"/>
      <c r="H5" s="69"/>
      <c r="I5" s="69"/>
      <c r="J5" s="69"/>
      <c r="K5" s="69"/>
      <c r="L5" s="69"/>
      <c r="M5" s="69"/>
    </row>
    <row r="6" spans="3:13" x14ac:dyDescent="0.3"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8" spans="3:13" x14ac:dyDescent="0.3">
      <c r="C8" s="66" t="s">
        <v>59</v>
      </c>
      <c r="D8" s="66"/>
    </row>
    <row r="9" spans="3:13" x14ac:dyDescent="0.3">
      <c r="C9" s="66" t="s">
        <v>60</v>
      </c>
      <c r="D9" s="66"/>
    </row>
    <row r="10" spans="3:13" x14ac:dyDescent="0.3">
      <c r="C10" s="66" t="s">
        <v>61</v>
      </c>
      <c r="D10" s="66"/>
    </row>
    <row r="11" spans="3:13" x14ac:dyDescent="0.3">
      <c r="C11" s="66" t="s">
        <v>66</v>
      </c>
      <c r="D11" s="66"/>
    </row>
    <row r="12" spans="3:13" x14ac:dyDescent="0.3">
      <c r="C12" s="27"/>
      <c r="D12" s="27"/>
    </row>
    <row r="13" spans="3:13" x14ac:dyDescent="0.3">
      <c r="C13" s="27"/>
      <c r="D13" s="27"/>
    </row>
    <row r="14" spans="3:13" x14ac:dyDescent="0.3">
      <c r="C14" s="26" t="s">
        <v>62</v>
      </c>
    </row>
    <row r="15" spans="3:13" x14ac:dyDescent="0.3">
      <c r="C15" s="69" t="s">
        <v>65</v>
      </c>
      <c r="D15" s="69"/>
      <c r="E15" s="69"/>
      <c r="F15" s="69"/>
      <c r="G15" s="69"/>
      <c r="H15" s="69"/>
      <c r="I15" s="69"/>
    </row>
    <row r="16" spans="3:13" x14ac:dyDescent="0.3">
      <c r="C16" s="69"/>
      <c r="D16" s="69"/>
      <c r="E16" s="69"/>
      <c r="F16" s="69"/>
      <c r="G16" s="69"/>
      <c r="H16" s="69"/>
      <c r="I16" s="69"/>
    </row>
    <row r="18" spans="3:9" x14ac:dyDescent="0.3">
      <c r="C18" s="26" t="s">
        <v>63</v>
      </c>
    </row>
    <row r="20" spans="3:9" x14ac:dyDescent="0.3">
      <c r="C20" s="26" t="s">
        <v>64</v>
      </c>
    </row>
    <row r="26" spans="3:9" ht="16.2" thickBot="1" x14ac:dyDescent="0.35">
      <c r="C26" s="67" t="s">
        <v>50</v>
      </c>
      <c r="D26" s="67"/>
      <c r="E26" s="67"/>
      <c r="F26" s="67"/>
      <c r="G26" s="67"/>
      <c r="H26" s="67"/>
      <c r="I26" s="67"/>
    </row>
    <row r="27" spans="3:9" ht="16.2" thickTop="1" x14ac:dyDescent="0.3"/>
    <row r="28" spans="3:9" x14ac:dyDescent="0.3">
      <c r="G28" s="24" t="s">
        <v>57</v>
      </c>
      <c r="I28" s="24" t="s">
        <v>58</v>
      </c>
    </row>
    <row r="29" spans="3:9" x14ac:dyDescent="0.3">
      <c r="G29" s="29"/>
      <c r="I29" s="29"/>
    </row>
    <row r="30" spans="3:9" ht="23.4" customHeight="1" x14ac:dyDescent="0.3">
      <c r="H30" s="28"/>
    </row>
    <row r="31" spans="3:9" x14ac:dyDescent="0.3">
      <c r="C31" s="66" t="s">
        <v>51</v>
      </c>
      <c r="D31" s="66"/>
      <c r="E31" s="66"/>
      <c r="F31" s="66"/>
    </row>
    <row r="32" spans="3:9" x14ac:dyDescent="0.3">
      <c r="C32" s="66" t="s">
        <v>52</v>
      </c>
      <c r="D32" s="66"/>
      <c r="E32" s="66"/>
      <c r="F32" s="66"/>
    </row>
    <row r="34" spans="3:6" x14ac:dyDescent="0.3">
      <c r="C34" s="66" t="s">
        <v>53</v>
      </c>
      <c r="D34" s="66"/>
      <c r="E34" s="66"/>
      <c r="F34" s="66"/>
    </row>
    <row r="35" spans="3:6" x14ac:dyDescent="0.3">
      <c r="C35" s="66" t="s">
        <v>54</v>
      </c>
      <c r="D35" s="66"/>
      <c r="E35" s="66"/>
      <c r="F35" s="66"/>
    </row>
    <row r="37" spans="3:6" x14ac:dyDescent="0.3">
      <c r="C37" s="66" t="s">
        <v>55</v>
      </c>
      <c r="D37" s="66"/>
      <c r="E37" s="66"/>
      <c r="F37" s="66"/>
    </row>
    <row r="40" spans="3:6" x14ac:dyDescent="0.3">
      <c r="C40" s="24" t="s">
        <v>56</v>
      </c>
    </row>
    <row r="41" spans="3:6" x14ac:dyDescent="0.3">
      <c r="C41" s="24" t="s">
        <v>67</v>
      </c>
    </row>
  </sheetData>
  <mergeCells count="13">
    <mergeCell ref="C3:M3"/>
    <mergeCell ref="C5:M6"/>
    <mergeCell ref="C15:I16"/>
    <mergeCell ref="C31:F31"/>
    <mergeCell ref="C32:F32"/>
    <mergeCell ref="C34:F34"/>
    <mergeCell ref="C35:F35"/>
    <mergeCell ref="C37:F37"/>
    <mergeCell ref="C8:D8"/>
    <mergeCell ref="C9:D9"/>
    <mergeCell ref="C10:D10"/>
    <mergeCell ref="C11:D11"/>
    <mergeCell ref="C26:I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C8A0-FD81-4093-8224-34B55A58C46A}">
  <sheetPr codeName="Hoja2"/>
  <dimension ref="A3:J48"/>
  <sheetViews>
    <sheetView topLeftCell="A42" zoomScale="140" zoomScaleNormal="140" workbookViewId="0">
      <selection activeCell="A3" sqref="A3:J3"/>
    </sheetView>
  </sheetViews>
  <sheetFormatPr baseColWidth="10" defaultColWidth="11.44140625" defaultRowHeight="15" x14ac:dyDescent="0.25"/>
  <cols>
    <col min="1" max="1" width="11.44140625" style="1"/>
    <col min="2" max="2" width="15.109375" style="1" customWidth="1"/>
    <col min="3" max="3" width="14.33203125" style="1" customWidth="1"/>
    <col min="4" max="4" width="16.33203125" style="1" customWidth="1"/>
    <col min="5" max="5" width="11.44140625" style="1"/>
    <col min="6" max="6" width="13.44140625" style="1" customWidth="1"/>
    <col min="7" max="16384" width="11.44140625" style="1"/>
  </cols>
  <sheetData>
    <row r="3" spans="1:10" ht="17.399999999999999" x14ac:dyDescent="0.25">
      <c r="A3" s="91" t="s">
        <v>0</v>
      </c>
      <c r="B3" s="91"/>
      <c r="C3" s="91"/>
      <c r="D3" s="91"/>
      <c r="E3" s="91"/>
      <c r="F3" s="91"/>
      <c r="G3" s="91"/>
      <c r="H3" s="91"/>
      <c r="I3" s="91"/>
      <c r="J3" s="91"/>
    </row>
    <row r="5" spans="1:10" x14ac:dyDescent="0.25">
      <c r="A5" s="1" t="s">
        <v>1</v>
      </c>
    </row>
    <row r="8" spans="1:10" ht="15.6" x14ac:dyDescent="0.25">
      <c r="A8" s="92" t="s">
        <v>2</v>
      </c>
      <c r="B8" s="92"/>
      <c r="C8" s="92"/>
      <c r="E8" s="2" t="s">
        <v>3</v>
      </c>
    </row>
    <row r="9" spans="1:10" x14ac:dyDescent="0.25">
      <c r="E9" s="3"/>
    </row>
    <row r="10" spans="1:10" x14ac:dyDescent="0.25">
      <c r="E10" s="2" t="s">
        <v>4</v>
      </c>
    </row>
    <row r="15" spans="1:10" x14ac:dyDescent="0.25">
      <c r="F15" s="1" t="s">
        <v>14</v>
      </c>
      <c r="G15" s="1" t="s">
        <v>15</v>
      </c>
    </row>
    <row r="16" spans="1:10" x14ac:dyDescent="0.25">
      <c r="F16" s="1" t="s">
        <v>16</v>
      </c>
      <c r="G16" s="1" t="s">
        <v>17</v>
      </c>
    </row>
    <row r="17" spans="1:7" x14ac:dyDescent="0.25">
      <c r="F17" s="1" t="s">
        <v>18</v>
      </c>
      <c r="G17" s="1" t="s">
        <v>19</v>
      </c>
    </row>
    <row r="18" spans="1:7" x14ac:dyDescent="0.25">
      <c r="F18" s="1" t="s">
        <v>20</v>
      </c>
      <c r="G18" s="1" t="s">
        <v>21</v>
      </c>
    </row>
    <row r="19" spans="1:7" x14ac:dyDescent="0.25">
      <c r="F19" s="1" t="s">
        <v>22</v>
      </c>
      <c r="G19" s="1" t="s">
        <v>23</v>
      </c>
    </row>
    <row r="20" spans="1:7" x14ac:dyDescent="0.25">
      <c r="F20" s="1" t="s">
        <v>24</v>
      </c>
      <c r="G20" s="1" t="s">
        <v>25</v>
      </c>
    </row>
    <row r="21" spans="1:7" x14ac:dyDescent="0.25">
      <c r="F21" s="1" t="s">
        <v>26</v>
      </c>
      <c r="G21" s="1" t="s">
        <v>27</v>
      </c>
    </row>
    <row r="22" spans="1:7" ht="15.6" thickBot="1" x14ac:dyDescent="0.3">
      <c r="A22" s="1" t="s">
        <v>28</v>
      </c>
    </row>
    <row r="23" spans="1:7" x14ac:dyDescent="0.25">
      <c r="A23" s="85" t="s">
        <v>5</v>
      </c>
      <c r="B23" s="86"/>
      <c r="C23" s="86"/>
      <c r="D23" s="4">
        <v>6.2899999999999998E-2</v>
      </c>
    </row>
    <row r="24" spans="1:7" x14ac:dyDescent="0.25">
      <c r="A24" s="87" t="s">
        <v>6</v>
      </c>
      <c r="B24" s="88"/>
      <c r="C24" s="88"/>
      <c r="D24" s="5">
        <v>8.3699999999999997E-2</v>
      </c>
    </row>
    <row r="25" spans="1:7" x14ac:dyDescent="0.25">
      <c r="A25" s="87" t="s">
        <v>7</v>
      </c>
      <c r="B25" s="88"/>
      <c r="C25" s="88"/>
      <c r="D25" s="5">
        <v>0.14499999999999999</v>
      </c>
    </row>
    <row r="26" spans="1:7" ht="15.6" thickBot="1" x14ac:dyDescent="0.3">
      <c r="A26" s="89" t="s">
        <v>8</v>
      </c>
      <c r="B26" s="90"/>
      <c r="C26" s="90"/>
      <c r="D26" s="6">
        <v>0.1762</v>
      </c>
    </row>
    <row r="29" spans="1:7" x14ac:dyDescent="0.25">
      <c r="A29" s="1" t="s">
        <v>9</v>
      </c>
    </row>
    <row r="30" spans="1:7" ht="15.6" thickBot="1" x14ac:dyDescent="0.3"/>
    <row r="31" spans="1:7" x14ac:dyDescent="0.25">
      <c r="A31" s="85" t="s">
        <v>10</v>
      </c>
      <c r="B31" s="86"/>
      <c r="C31" s="86"/>
      <c r="D31" s="4">
        <v>0.4</v>
      </c>
    </row>
    <row r="32" spans="1:7" x14ac:dyDescent="0.25">
      <c r="A32" s="87" t="s">
        <v>29</v>
      </c>
      <c r="B32" s="88"/>
      <c r="C32" s="88"/>
      <c r="D32" s="5">
        <v>0.1</v>
      </c>
    </row>
    <row r="33" spans="1:9" ht="15.6" thickBot="1" x14ac:dyDescent="0.3">
      <c r="A33" s="89" t="s">
        <v>11</v>
      </c>
      <c r="B33" s="90"/>
      <c r="C33" s="90"/>
      <c r="D33" s="6">
        <v>0.5</v>
      </c>
    </row>
    <row r="34" spans="1:9" x14ac:dyDescent="0.25">
      <c r="A34" s="10"/>
      <c r="B34" s="10"/>
      <c r="C34" s="10"/>
      <c r="D34" s="11">
        <f>SUM(D31:D33)</f>
        <v>1</v>
      </c>
    </row>
    <row r="36" spans="1:9" ht="15.6" x14ac:dyDescent="0.3">
      <c r="A36" s="7" t="s">
        <v>12</v>
      </c>
    </row>
    <row r="37" spans="1:9" ht="17.399999999999999" x14ac:dyDescent="0.3">
      <c r="A37" s="8"/>
      <c r="H37" s="1" t="s">
        <v>14</v>
      </c>
      <c r="I37" s="1" t="s">
        <v>15</v>
      </c>
    </row>
    <row r="38" spans="1:9" x14ac:dyDescent="0.25">
      <c r="H38" s="1" t="s">
        <v>16</v>
      </c>
      <c r="I38" s="1" t="s">
        <v>17</v>
      </c>
    </row>
    <row r="39" spans="1:9" x14ac:dyDescent="0.25">
      <c r="H39" s="1" t="s">
        <v>18</v>
      </c>
      <c r="I39" s="1" t="s">
        <v>19</v>
      </c>
    </row>
    <row r="40" spans="1:9" x14ac:dyDescent="0.25">
      <c r="A40" s="1" t="s">
        <v>14</v>
      </c>
      <c r="B40" s="1" t="s">
        <v>30</v>
      </c>
      <c r="C40" s="12" t="s">
        <v>31</v>
      </c>
      <c r="D40" s="1" t="s">
        <v>32</v>
      </c>
      <c r="E40" s="1" t="s">
        <v>31</v>
      </c>
      <c r="F40" s="1" t="s">
        <v>33</v>
      </c>
      <c r="H40" s="1" t="s">
        <v>34</v>
      </c>
      <c r="I40" s="1" t="s">
        <v>21</v>
      </c>
    </row>
    <row r="41" spans="1:9" x14ac:dyDescent="0.25">
      <c r="C41" s="12"/>
      <c r="H41" s="1" t="s">
        <v>22</v>
      </c>
      <c r="I41" s="1" t="s">
        <v>23</v>
      </c>
    </row>
    <row r="42" spans="1:9" x14ac:dyDescent="0.25">
      <c r="A42" s="1" t="s">
        <v>14</v>
      </c>
      <c r="C42" s="12" t="s">
        <v>31</v>
      </c>
      <c r="E42" s="1" t="s">
        <v>31</v>
      </c>
      <c r="H42" s="1" t="s">
        <v>24</v>
      </c>
      <c r="I42" s="1" t="s">
        <v>25</v>
      </c>
    </row>
    <row r="43" spans="1:9" x14ac:dyDescent="0.25">
      <c r="H43" s="1" t="s">
        <v>26</v>
      </c>
      <c r="I43" s="1" t="s">
        <v>27</v>
      </c>
    </row>
    <row r="44" spans="1:9" x14ac:dyDescent="0.25">
      <c r="A44" s="1" t="s">
        <v>14</v>
      </c>
      <c r="C44" s="12" t="s">
        <v>31</v>
      </c>
      <c r="E44" s="1" t="s">
        <v>31</v>
      </c>
    </row>
    <row r="46" spans="1:9" x14ac:dyDescent="0.25">
      <c r="A46" s="1" t="s">
        <v>14</v>
      </c>
    </row>
    <row r="48" spans="1:9" ht="15.6" x14ac:dyDescent="0.3">
      <c r="A48" s="21" t="s">
        <v>14</v>
      </c>
      <c r="B48" s="22">
        <f>+B46+D46+F46</f>
        <v>0</v>
      </c>
      <c r="C48" s="23" t="s">
        <v>35</v>
      </c>
      <c r="D48" s="21"/>
      <c r="E48" s="21"/>
      <c r="F48" s="21"/>
    </row>
  </sheetData>
  <mergeCells count="9">
    <mergeCell ref="A31:C31"/>
    <mergeCell ref="A32:C32"/>
    <mergeCell ref="A33:C33"/>
    <mergeCell ref="A3:J3"/>
    <mergeCell ref="A8:C8"/>
    <mergeCell ref="A23:C23"/>
    <mergeCell ref="A24:C24"/>
    <mergeCell ref="A25:C25"/>
    <mergeCell ref="A26:C26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2049" r:id="rId3">
          <objectPr defaultSize="0" autoPict="0" r:id="rId4">
            <anchor moveWithCells="1" sizeWithCells="1">
              <from>
                <xdr:col>4</xdr:col>
                <xdr:colOff>0</xdr:colOff>
                <xdr:row>9</xdr:row>
                <xdr:rowOff>0</xdr:rowOff>
              </from>
              <to>
                <xdr:col>7</xdr:col>
                <xdr:colOff>121920</xdr:colOff>
                <xdr:row>10</xdr:row>
                <xdr:rowOff>76200</xdr:rowOff>
              </to>
            </anchor>
          </objectPr>
        </oleObject>
      </mc:Choice>
      <mc:Fallback>
        <oleObject progId="Equation.3" shapeId="2049" r:id="rId3"/>
      </mc:Fallback>
    </mc:AlternateContent>
    <mc:AlternateContent xmlns:mc="http://schemas.openxmlformats.org/markup-compatibility/2006">
      <mc:Choice Requires="x14">
        <oleObject progId="Equation.3" shapeId="2050" r:id="rId5">
          <objectPr defaultSize="0" autoPict="0" r:id="rId4">
            <anchor moveWithCells="1" sizeWithCells="1">
              <from>
                <xdr:col>0</xdr:col>
                <xdr:colOff>0</xdr:colOff>
                <xdr:row>37</xdr:row>
                <xdr:rowOff>0</xdr:rowOff>
              </from>
              <to>
                <xdr:col>2</xdr:col>
                <xdr:colOff>883920</xdr:colOff>
                <xdr:row>38</xdr:row>
                <xdr:rowOff>76200</xdr:rowOff>
              </to>
            </anchor>
          </objectPr>
        </oleObject>
      </mc:Choice>
      <mc:Fallback>
        <oleObject progId="Equation.3" shapeId="2050" r:id="rId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CFBA-4F98-4DB9-A4D4-216F3C8C03FD}">
  <sheetPr codeName="Hoja3"/>
  <dimension ref="A3:K22"/>
  <sheetViews>
    <sheetView workbookViewId="0">
      <selection activeCell="B28" sqref="B28"/>
    </sheetView>
  </sheetViews>
  <sheetFormatPr baseColWidth="10" defaultColWidth="11.44140625" defaultRowHeight="13.8" x14ac:dyDescent="0.25"/>
  <cols>
    <col min="1" max="3" width="11.44140625" style="13"/>
    <col min="4" max="4" width="14.109375" style="13" customWidth="1"/>
    <col min="5" max="5" width="11.44140625" style="13"/>
    <col min="6" max="6" width="17.88671875" style="13" customWidth="1"/>
    <col min="7" max="16384" width="11.44140625" style="13"/>
  </cols>
  <sheetData>
    <row r="3" spans="1:11" ht="22.8" x14ac:dyDescent="0.25">
      <c r="A3" s="93" t="s">
        <v>13</v>
      </c>
      <c r="B3" s="93"/>
      <c r="C3" s="93"/>
      <c r="D3" s="93"/>
      <c r="E3" s="93"/>
      <c r="F3" s="93"/>
      <c r="G3" s="93"/>
      <c r="H3" s="93"/>
      <c r="I3" s="93"/>
      <c r="J3" s="93"/>
      <c r="K3" s="93"/>
    </row>
    <row r="4" spans="1:11" ht="22.8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22.8" x14ac:dyDescent="0.25">
      <c r="A5" s="14"/>
      <c r="B5" s="15" t="s">
        <v>41</v>
      </c>
      <c r="C5" s="14"/>
      <c r="D5" s="14"/>
      <c r="E5" s="14"/>
      <c r="F5" s="14"/>
      <c r="G5" s="14"/>
      <c r="H5" s="14"/>
      <c r="I5" s="14"/>
      <c r="J5" s="14"/>
      <c r="K5" s="14"/>
    </row>
    <row r="7" spans="1:11" ht="18" x14ac:dyDescent="0.35">
      <c r="B7" s="13" t="s">
        <v>37</v>
      </c>
      <c r="I7" s="9"/>
    </row>
    <row r="8" spans="1:11" x14ac:dyDescent="0.25">
      <c r="B8" s="13" t="s">
        <v>38</v>
      </c>
    </row>
    <row r="9" spans="1:11" x14ac:dyDescent="0.25">
      <c r="B9" s="13" t="s">
        <v>39</v>
      </c>
    </row>
    <row r="10" spans="1:11" x14ac:dyDescent="0.25">
      <c r="B10" s="13" t="s">
        <v>40</v>
      </c>
    </row>
    <row r="12" spans="1:11" x14ac:dyDescent="0.25">
      <c r="B12" s="13" t="s">
        <v>47</v>
      </c>
    </row>
    <row r="15" spans="1:11" ht="27.6" x14ac:dyDescent="0.25">
      <c r="B15" s="99" t="s">
        <v>36</v>
      </c>
      <c r="C15" s="99"/>
      <c r="D15" s="17" t="s">
        <v>43</v>
      </c>
      <c r="E15" s="18" t="s">
        <v>42</v>
      </c>
      <c r="F15" s="17" t="s">
        <v>45</v>
      </c>
      <c r="G15" s="94" t="s">
        <v>46</v>
      </c>
    </row>
    <row r="16" spans="1:11" x14ac:dyDescent="0.25">
      <c r="B16" s="100"/>
      <c r="C16" s="100"/>
      <c r="D16" s="97">
        <v>1</v>
      </c>
      <c r="E16" s="97">
        <v>2</v>
      </c>
      <c r="F16" s="19" t="s">
        <v>44</v>
      </c>
      <c r="G16" s="95"/>
    </row>
    <row r="17" spans="2:7" ht="14.4" thickBot="1" x14ac:dyDescent="0.3">
      <c r="B17" s="101"/>
      <c r="C17" s="101"/>
      <c r="D17" s="98"/>
      <c r="E17" s="98"/>
      <c r="F17" s="20">
        <v>3</v>
      </c>
      <c r="G17" s="96"/>
    </row>
    <row r="18" spans="2:7" ht="14.4" thickTop="1" x14ac:dyDescent="0.25">
      <c r="E18" s="16"/>
      <c r="G18" s="16"/>
    </row>
    <row r="19" spans="2:7" x14ac:dyDescent="0.25">
      <c r="E19" s="16"/>
      <c r="G19" s="16"/>
    </row>
    <row r="20" spans="2:7" x14ac:dyDescent="0.25">
      <c r="E20" s="16"/>
      <c r="G20" s="16"/>
    </row>
    <row r="21" spans="2:7" x14ac:dyDescent="0.25">
      <c r="E21" s="16"/>
      <c r="G21" s="16"/>
    </row>
    <row r="22" spans="2:7" x14ac:dyDescent="0.25">
      <c r="E22" s="16"/>
      <c r="G22" s="16"/>
    </row>
  </sheetData>
  <mergeCells count="5">
    <mergeCell ref="A3:K3"/>
    <mergeCell ref="G15:G17"/>
    <mergeCell ref="D16:D17"/>
    <mergeCell ref="E16:E17"/>
    <mergeCell ref="B15:C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ROI</vt:lpstr>
      <vt:lpstr>APALANCAMIENTO FINANCIERO</vt:lpstr>
      <vt:lpstr>CPPC</vt:lpstr>
      <vt:lpstr>ESQUEMA DE PONDERACION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Morales</dc:creator>
  <cp:lastModifiedBy>MORALES ESPINOZA FERNANDA VALENTINA</cp:lastModifiedBy>
  <dcterms:created xsi:type="dcterms:W3CDTF">2023-06-01T01:35:23Z</dcterms:created>
  <dcterms:modified xsi:type="dcterms:W3CDTF">2026-03-11T16:06:36Z</dcterms:modified>
</cp:coreProperties>
</file>