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14187626aa6b/Documentos/Universidad Hispanoamerica - Archivos/Finanzas/"/>
    </mc:Choice>
  </mc:AlternateContent>
  <xr:revisionPtr revIDLastSave="1" documentId="13_ncr:1_{E6F24E61-6658-4723-B6F6-4718B1B5797F}" xr6:coauthVersionLast="47" xr6:coauthVersionMax="47" xr10:uidLastSave="{269DA9AC-833C-49F5-977B-A65C537C8546}"/>
  <bookViews>
    <workbookView xWindow="-108" yWindow="-108" windowWidth="23976" windowHeight="14016" activeTab="1" xr2:uid="{F05BFD52-5EC8-4F53-9B7F-C1754FC24003}"/>
  </bookViews>
  <sheets>
    <sheet name="TEMA2 Entradas y Salidas" sheetId="2" r:id="rId1"/>
    <sheet name="TEMA2 FLUJO EFEC VS INGRESO C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2" i="3" l="1"/>
  <c r="Q72" i="3"/>
  <c r="Q71" i="3"/>
  <c r="Q68" i="3"/>
  <c r="P60" i="3"/>
  <c r="P63" i="3" s="1"/>
  <c r="P54" i="3"/>
  <c r="P37" i="3"/>
  <c r="P29" i="3"/>
  <c r="P32" i="3"/>
  <c r="P23" i="3"/>
  <c r="C32" i="3"/>
  <c r="C23" i="3"/>
  <c r="D47" i="2"/>
  <c r="D29" i="2"/>
  <c r="D39" i="2"/>
  <c r="Q73" i="3" l="1"/>
</calcChain>
</file>

<file path=xl/sharedStrings.xml><?xml version="1.0" encoding="utf-8"?>
<sst xmlns="http://schemas.openxmlformats.org/spreadsheetml/2006/main" count="96" uniqueCount="51">
  <si>
    <t>FLUJOS DE EFECTIVO: Entrada y Salidas</t>
  </si>
  <si>
    <t>Según la información estudiada de flujos de efectivo, determinar entradas y salidas de efectivo:</t>
  </si>
  <si>
    <t>Es normal que Jane planee, supervise y evalúe el estado de sus finanzas personales a partir de los flujos de efectivo que tiene en un periodo determinado, por lo general cada mes. Jane tiene una cuenta de ahorros; su banco otorga créditos con un interés de 6 por ciento anual, pero también ofrece inversiones a corto plazo con tasas de 5 por ciento. Los flujos de efectivo de Jane durante agosto fueron los siguientes:</t>
  </si>
  <si>
    <t>Rubro</t>
  </si>
  <si>
    <t>Entrada de efectiva</t>
  </si>
  <si>
    <t>Salida de efectivo</t>
  </si>
  <si>
    <t>Ropa</t>
  </si>
  <si>
    <t>Intereses recibidos</t>
  </si>
  <si>
    <t>Comida fuera de casa</t>
  </si>
  <si>
    <t>Comestibles</t>
  </si>
  <si>
    <t>Salario</t>
  </si>
  <si>
    <t>Pago del automóvil</t>
  </si>
  <si>
    <t>Servicios</t>
  </si>
  <si>
    <t>Hipoteca</t>
  </si>
  <si>
    <t xml:space="preserve">Gasolina </t>
  </si>
  <si>
    <t>1. Determine el total de entradas y salidas de efectivo de Jane.</t>
  </si>
  <si>
    <r>
      <t xml:space="preserve">2. Determine el </t>
    </r>
    <r>
      <rPr>
        <b/>
        <i/>
        <sz val="12"/>
        <color rgb="FF22190A"/>
        <rFont val="Arial"/>
      </rPr>
      <t xml:space="preserve">flujo neto de efectivo </t>
    </r>
    <r>
      <rPr>
        <b/>
        <sz val="12"/>
        <color rgb="FF22190A"/>
        <rFont val="Arial"/>
      </rPr>
      <t>para el mes de agosto.</t>
    </r>
  </si>
  <si>
    <t>3. Si hubiera un déficit, ¿cuáles serían algunas de las opciones disponibles para Jane?</t>
  </si>
  <si>
    <t>4. Si hubiera un excedente, ¿cuál sería una estrategia prudente a poner en práctica?</t>
  </si>
  <si>
    <t>Flujo de efectivo versus ingreso contable</t>
  </si>
  <si>
    <t>Cálculo del enfoque contable y financiero</t>
  </si>
  <si>
    <t> </t>
  </si>
  <si>
    <t>CASO 1</t>
  </si>
  <si>
    <t>CASO 2</t>
  </si>
  <si>
    <t xml:space="preserve">Inversiones Costa Rica al cierre de año vendió un total 100 automóviles, por un valor total de $2,000,000, monto por cobrar a los clientes. Considerar que la empresa pagó al proveedor de los vehículos el importe del costo que fueron $1,100,000. </t>
  </si>
  <si>
    <t>Inversiones Costa Rica al cierre de año vendió un total 100 automóviles, por un valor total de $2,000,000. Las ventas fueron un 30% de contado y un 70% de crédito. Considerar que la empresa pagó al proveedor de los vehículos el importe del costo que fueron $1,100,000.</t>
  </si>
  <si>
    <t xml:space="preserve">1. Determine el Enfoque Contable y el Enfoque Financiero </t>
  </si>
  <si>
    <t xml:space="preserve">2. Interprete los resultados </t>
  </si>
  <si>
    <t>Enfoque contable (Base de acumulación)</t>
  </si>
  <si>
    <t>CASO 3</t>
  </si>
  <si>
    <t>Inversiones Costa Rica al cierre de año vendió un total 100 automóviles, por un valor total de $2,000,000. Las ventas fueron un 30% de contado y un 70% de crédito. Considerar que la empresa pagó al proveedor de los vehículos el importe del costo que fueron $1,100,000. 30% de contado y un 70% crédito</t>
  </si>
  <si>
    <t xml:space="preserve">Total entrada de efectivo </t>
  </si>
  <si>
    <t>Total flujo neto de efectivo</t>
  </si>
  <si>
    <t>Gastar menos en ropa</t>
  </si>
  <si>
    <t>Gastar menos en comida fuera de casa</t>
  </si>
  <si>
    <t>Pedir un prestamo al banco (credito)</t>
  </si>
  <si>
    <t>Revisar sus cuentas por cobrar</t>
  </si>
  <si>
    <t>Estado de resultados de Inversiones Costa Rica correspondiente al año que termina el 31 de diciembre 2024</t>
  </si>
  <si>
    <t>Entradas de efectivo</t>
  </si>
  <si>
    <t>Salidas de efectivo</t>
  </si>
  <si>
    <t>menos</t>
  </si>
  <si>
    <t>Flujo neto de efectivo</t>
  </si>
  <si>
    <t>Ingreso de ventas</t>
  </si>
  <si>
    <t>Costo</t>
  </si>
  <si>
    <t>Utilidad neta</t>
  </si>
  <si>
    <t xml:space="preserve">Ventas: </t>
  </si>
  <si>
    <t>Contado</t>
  </si>
  <si>
    <t>Credito</t>
  </si>
  <si>
    <t>Contado       30%</t>
  </si>
  <si>
    <t>Credito         70%</t>
  </si>
  <si>
    <t>Costos: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</si>
</sst>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₡&quot;* #,##0.00_-;\-&quot;₡&quot;* #,##0.00_-;_-&quot;₡&quot;* &quot;-&quot;??_-;_-@_-"/>
    <numFmt numFmtId="164" formatCode="_-[$$-409]* #,##0.00_ ;_-[$$-409]* \-#,##0.00\ ;_-[$$-409]* &quot;-&quot;??_ ;_-@_ "/>
    <numFmt numFmtId="165" formatCode="_-[$$-5C0A]* #,##0.00_-;\-[$$-5C0A]* #,##0.00_-;_-[$$-5C0A]* &quot;-&quot;??_-;_-@_-"/>
  </numFmts>
  <fonts count="25" x14ac:knownFonts="1">
    <font>
      <sz val="11"/>
      <color theme="1"/>
      <name val="Aptos Narrow"/>
      <family val="2"/>
      <scheme val="minor"/>
    </font>
    <font>
      <b/>
      <sz val="20"/>
      <color theme="1"/>
      <name val="Arial"/>
    </font>
    <font>
      <sz val="12"/>
      <color theme="1"/>
      <name val="Arial"/>
    </font>
    <font>
      <b/>
      <sz val="18"/>
      <color rgb="FF22190A"/>
      <name val="Arial"/>
    </font>
    <font>
      <sz val="12"/>
      <color rgb="FF22190A"/>
      <name val="Arial"/>
    </font>
    <font>
      <b/>
      <sz val="12"/>
      <color theme="1"/>
      <name val="Arial"/>
    </font>
    <font>
      <b/>
      <sz val="12"/>
      <color rgb="FF22190A"/>
      <name val="Arial"/>
    </font>
    <font>
      <b/>
      <sz val="12"/>
      <color theme="0"/>
      <name val="Arial"/>
    </font>
    <font>
      <b/>
      <i/>
      <sz val="12"/>
      <color rgb="FF22190A"/>
      <name val="Arial"/>
    </font>
    <font>
      <sz val="12"/>
      <color rgb="FF22190A"/>
      <name val="Arial"/>
      <family val="2"/>
    </font>
    <font>
      <b/>
      <sz val="20"/>
      <color rgb="FF000000"/>
      <name val="Arial Nova"/>
    </font>
    <font>
      <sz val="12"/>
      <color theme="1"/>
      <name val="Arial Nova"/>
    </font>
    <font>
      <sz val="12"/>
      <color rgb="FF000000"/>
      <name val="Arial Nova"/>
    </font>
    <font>
      <sz val="11"/>
      <color rgb="FF006100"/>
      <name val="Aptos Narrow"/>
      <scheme val="minor"/>
    </font>
    <font>
      <b/>
      <sz val="12"/>
      <color rgb="FF000000"/>
      <name val="Arial Nova"/>
    </font>
    <font>
      <sz val="11"/>
      <color theme="1"/>
      <name val="Aptos Narrow"/>
      <scheme val="minor"/>
    </font>
    <font>
      <b/>
      <sz val="12"/>
      <color theme="1"/>
      <name val="Arial Nova"/>
    </font>
    <font>
      <sz val="12"/>
      <color rgb="FF006100"/>
      <name val="Arial Nova"/>
    </font>
    <font>
      <b/>
      <sz val="12"/>
      <color theme="1"/>
      <name val="Arial Nova"/>
      <family val="2"/>
    </font>
    <font>
      <sz val="12"/>
      <color theme="1"/>
      <name val="Arial Nova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rial Nova"/>
      <family val="2"/>
    </font>
    <font>
      <b/>
      <sz val="12"/>
      <name val="Arial Nova"/>
      <family val="2"/>
    </font>
    <font>
      <sz val="12"/>
      <color rgb="FFFF0000"/>
      <name val="Arial Nova"/>
      <family val="2"/>
    </font>
    <font>
      <sz val="12"/>
      <color theme="9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8ADECA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3" fillId="2" borderId="0" applyNumberFormat="0" applyBorder="0" applyAlignment="0" applyProtection="0"/>
    <xf numFmtId="0" fontId="15" fillId="3" borderId="0" applyNumberFormat="0" applyBorder="0" applyAlignment="0" applyProtection="0"/>
    <xf numFmtId="44" fontId="20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6" fillId="0" borderId="0" xfId="0" applyFont="1"/>
    <xf numFmtId="0" fontId="7" fillId="4" borderId="2" xfId="0" applyFont="1" applyFill="1" applyBorder="1" applyAlignment="1">
      <alignment vertical="center"/>
    </xf>
    <xf numFmtId="0" fontId="2" fillId="0" borderId="3" xfId="0" applyFont="1" applyBorder="1" applyAlignment="1">
      <alignment horizontal="left"/>
    </xf>
    <xf numFmtId="164" fontId="2" fillId="0" borderId="2" xfId="0" applyNumberFormat="1" applyFont="1" applyBorder="1"/>
    <xf numFmtId="0" fontId="7" fillId="4" borderId="4" xfId="0" applyFont="1" applyFill="1" applyBorder="1" applyAlignment="1">
      <alignment vertical="center"/>
    </xf>
    <xf numFmtId="164" fontId="2" fillId="0" borderId="4" xfId="0" applyNumberFormat="1" applyFont="1" applyBorder="1"/>
    <xf numFmtId="0" fontId="2" fillId="0" borderId="5" xfId="0" applyFont="1" applyBorder="1" applyAlignment="1">
      <alignment horizontal="left"/>
    </xf>
    <xf numFmtId="164" fontId="2" fillId="0" borderId="6" xfId="0" applyNumberFormat="1" applyFont="1" applyBorder="1"/>
    <xf numFmtId="164" fontId="2" fillId="0" borderId="7" xfId="0" applyNumberFormat="1" applyFont="1" applyBorder="1"/>
    <xf numFmtId="0" fontId="9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16" fillId="0" borderId="0" xfId="0" applyFont="1"/>
    <xf numFmtId="0" fontId="21" fillId="0" borderId="0" xfId="0" applyFont="1"/>
    <xf numFmtId="0" fontId="19" fillId="0" borderId="0" xfId="0" applyFont="1"/>
    <xf numFmtId="0" fontId="22" fillId="0" borderId="0" xfId="0" applyFont="1"/>
    <xf numFmtId="164" fontId="11" fillId="0" borderId="0" xfId="3" applyNumberFormat="1" applyFont="1"/>
    <xf numFmtId="164" fontId="11" fillId="0" borderId="0" xfId="0" applyNumberFormat="1" applyFont="1"/>
    <xf numFmtId="164" fontId="23" fillId="0" borderId="0" xfId="0" applyNumberFormat="1" applyFont="1"/>
    <xf numFmtId="165" fontId="11" fillId="0" borderId="0" xfId="0" applyNumberFormat="1" applyFont="1"/>
    <xf numFmtId="165" fontId="11" fillId="0" borderId="7" xfId="0" applyNumberFormat="1" applyFont="1" applyBorder="1"/>
    <xf numFmtId="9" fontId="11" fillId="0" borderId="0" xfId="0" applyNumberFormat="1" applyFont="1"/>
    <xf numFmtId="164" fontId="24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8" fillId="5" borderId="8" xfId="2" applyFont="1" applyFill="1" applyBorder="1" applyAlignment="1">
      <alignment horizontal="center"/>
    </xf>
    <xf numFmtId="0" fontId="18" fillId="5" borderId="9" xfId="2" applyFont="1" applyFill="1" applyBorder="1" applyAlignment="1">
      <alignment horizontal="center"/>
    </xf>
    <xf numFmtId="0" fontId="18" fillId="5" borderId="10" xfId="2" applyFont="1" applyFill="1" applyBorder="1" applyAlignment="1">
      <alignment horizontal="center"/>
    </xf>
    <xf numFmtId="0" fontId="19" fillId="5" borderId="11" xfId="2" applyFont="1" applyFill="1" applyBorder="1" applyAlignment="1">
      <alignment horizontal="left" wrapText="1"/>
    </xf>
    <xf numFmtId="0" fontId="19" fillId="5" borderId="0" xfId="2" applyFont="1" applyFill="1" applyBorder="1" applyAlignment="1">
      <alignment horizontal="left" wrapText="1"/>
    </xf>
    <xf numFmtId="0" fontId="19" fillId="5" borderId="12" xfId="2" applyFont="1" applyFill="1" applyBorder="1" applyAlignment="1">
      <alignment horizontal="left" wrapText="1"/>
    </xf>
    <xf numFmtId="0" fontId="19" fillId="5" borderId="13" xfId="2" applyFont="1" applyFill="1" applyBorder="1" applyAlignment="1">
      <alignment horizontal="left" wrapText="1"/>
    </xf>
    <xf numFmtId="0" fontId="19" fillId="5" borderId="14" xfId="2" applyFont="1" applyFill="1" applyBorder="1" applyAlignment="1">
      <alignment horizontal="left" wrapText="1"/>
    </xf>
    <xf numFmtId="0" fontId="19" fillId="5" borderId="15" xfId="2" applyFont="1" applyFill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14" fillId="2" borderId="8" xfId="1" applyFont="1" applyBorder="1" applyAlignment="1">
      <alignment horizontal="center"/>
    </xf>
    <xf numFmtId="0" fontId="14" fillId="2" borderId="9" xfId="1" applyFont="1" applyBorder="1" applyAlignment="1">
      <alignment horizontal="center"/>
    </xf>
    <xf numFmtId="0" fontId="14" fillId="2" borderId="10" xfId="1" applyFont="1" applyBorder="1" applyAlignment="1">
      <alignment horizontal="center"/>
    </xf>
    <xf numFmtId="0" fontId="16" fillId="3" borderId="8" xfId="2" applyFont="1" applyBorder="1" applyAlignment="1">
      <alignment horizontal="center"/>
    </xf>
    <xf numFmtId="0" fontId="16" fillId="3" borderId="9" xfId="2" applyFont="1" applyBorder="1" applyAlignment="1">
      <alignment horizontal="center"/>
    </xf>
    <xf numFmtId="0" fontId="16" fillId="3" borderId="10" xfId="2" applyFont="1" applyBorder="1" applyAlignment="1">
      <alignment horizontal="center"/>
    </xf>
    <xf numFmtId="0" fontId="17" fillId="2" borderId="11" xfId="1" applyFont="1" applyBorder="1" applyAlignment="1">
      <alignment horizontal="left" wrapText="1"/>
    </xf>
    <xf numFmtId="0" fontId="17" fillId="2" borderId="0" xfId="1" applyFont="1" applyBorder="1" applyAlignment="1">
      <alignment horizontal="left" wrapText="1"/>
    </xf>
    <xf numFmtId="0" fontId="17" fillId="2" borderId="12" xfId="1" applyFont="1" applyBorder="1" applyAlignment="1">
      <alignment horizontal="left" wrapText="1"/>
    </xf>
    <xf numFmtId="0" fontId="17" fillId="2" borderId="13" xfId="1" applyFont="1" applyBorder="1" applyAlignment="1">
      <alignment horizontal="left" wrapText="1"/>
    </xf>
    <xf numFmtId="0" fontId="17" fillId="2" borderId="14" xfId="1" applyFont="1" applyBorder="1" applyAlignment="1">
      <alignment horizontal="left" wrapText="1"/>
    </xf>
    <xf numFmtId="0" fontId="17" fillId="2" borderId="15" xfId="1" applyFont="1" applyBorder="1" applyAlignment="1">
      <alignment horizontal="left" wrapText="1"/>
    </xf>
    <xf numFmtId="0" fontId="11" fillId="3" borderId="11" xfId="2" applyFont="1" applyBorder="1" applyAlignment="1">
      <alignment horizontal="left" wrapText="1"/>
    </xf>
    <xf numFmtId="0" fontId="11" fillId="3" borderId="0" xfId="2" applyFont="1" applyBorder="1" applyAlignment="1">
      <alignment horizontal="left" wrapText="1"/>
    </xf>
    <xf numFmtId="0" fontId="11" fillId="3" borderId="12" xfId="2" applyFont="1" applyBorder="1" applyAlignment="1">
      <alignment horizontal="left" wrapText="1"/>
    </xf>
    <xf numFmtId="0" fontId="11" fillId="3" borderId="13" xfId="2" applyFont="1" applyBorder="1" applyAlignment="1">
      <alignment horizontal="left" wrapText="1"/>
    </xf>
    <xf numFmtId="0" fontId="11" fillId="3" borderId="14" xfId="2" applyFont="1" applyBorder="1" applyAlignment="1">
      <alignment horizontal="left" wrapText="1"/>
    </xf>
    <xf numFmtId="0" fontId="11" fillId="3" borderId="15" xfId="2" applyFont="1" applyBorder="1" applyAlignment="1">
      <alignment horizontal="left" wrapText="1"/>
    </xf>
  </cellXfs>
  <cellStyles count="4">
    <cellStyle name="40% - Énfasis4 2" xfId="2" xr:uid="{70FE8697-86A1-47FB-A676-52C805F0930A}"/>
    <cellStyle name="Bueno 2" xfId="1" xr:uid="{37CE1777-5225-42E5-920C-A72621F56FAC}"/>
    <cellStyle name="Moneda" xfId="3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1C741-EF40-4CAB-9D46-C03E269583B0}" name="Tabla33" displayName="Tabla33" ref="C12:E21" totalsRowShown="0" headerRowDxfId="4" dataDxfId="3">
  <autoFilter ref="C12:E21" xr:uid="{1998A820-4D29-4342-881E-65CC0E5DA8BA}"/>
  <tableColumns count="3">
    <tableColumn id="1" xr3:uid="{692EA38B-4387-4638-A1DA-863B09DA8451}" name="Rubro" dataDxfId="2"/>
    <tableColumn id="4" xr3:uid="{D4657734-94D6-4195-A7E2-1B699C0AC37C}" name="Entrada de efectiva" dataDxfId="1"/>
    <tableColumn id="5" xr3:uid="{EE8E22E3-1EC1-432E-AD0E-6A3BD5DF4347}" name="Salida de efectiv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04FB-AF9D-4B34-AED4-7EAD589F5628}">
  <dimension ref="B3:M59"/>
  <sheetViews>
    <sheetView topLeftCell="A42" zoomScaleNormal="100" workbookViewId="0">
      <selection activeCell="C56" sqref="C56"/>
    </sheetView>
  </sheetViews>
  <sheetFormatPr baseColWidth="10" defaultColWidth="9.109375" defaultRowHeight="15.75" customHeight="1" x14ac:dyDescent="0.25"/>
  <cols>
    <col min="1" max="2" width="9.109375" style="1"/>
    <col min="3" max="3" width="94" style="1" bestFit="1" customWidth="1"/>
    <col min="4" max="4" width="25" style="1" customWidth="1"/>
    <col min="5" max="5" width="23.109375" style="1" customWidth="1"/>
    <col min="6" max="16384" width="9.109375" style="1"/>
  </cols>
  <sheetData>
    <row r="3" spans="2:13" ht="23.25" customHeight="1" thickBot="1" x14ac:dyDescent="0.3">
      <c r="B3" s="31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2:13" ht="23.4" thickTop="1" x14ac:dyDescent="0.4">
      <c r="D4" s="2"/>
      <c r="E4" s="2"/>
      <c r="F4" s="2"/>
      <c r="G4" s="2"/>
      <c r="H4" s="2"/>
      <c r="I4" s="2"/>
      <c r="J4" s="2"/>
    </row>
    <row r="5" spans="2:13" ht="23.25" customHeight="1" x14ac:dyDescent="0.25">
      <c r="B5" s="32" t="s">
        <v>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7" spans="2:13" ht="15.75" customHeight="1" x14ac:dyDescent="0.25">
      <c r="B7" s="33" t="s">
        <v>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2:13" ht="15" x14ac:dyDescent="0.25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</row>
    <row r="9" spans="2:13" ht="15" x14ac:dyDescent="0.25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2:13" ht="15" x14ac:dyDescent="0.2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</row>
    <row r="12" spans="2:13" ht="15.6" x14ac:dyDescent="0.25">
      <c r="C12" s="4" t="s">
        <v>3</v>
      </c>
      <c r="D12" s="4" t="s">
        <v>4</v>
      </c>
      <c r="E12" s="4" t="s">
        <v>5</v>
      </c>
    </row>
    <row r="13" spans="2:13" ht="15" x14ac:dyDescent="0.25">
      <c r="C13" s="3" t="s">
        <v>6</v>
      </c>
      <c r="D13" s="5"/>
      <c r="E13" s="5">
        <v>1000</v>
      </c>
    </row>
    <row r="14" spans="2:13" ht="15" x14ac:dyDescent="0.25">
      <c r="C14" s="3" t="s">
        <v>7</v>
      </c>
      <c r="D14" s="5">
        <v>450</v>
      </c>
      <c r="E14" s="5"/>
    </row>
    <row r="15" spans="2:13" ht="15" x14ac:dyDescent="0.25">
      <c r="C15" s="3" t="s">
        <v>8</v>
      </c>
      <c r="D15" s="5"/>
      <c r="E15" s="5">
        <v>500</v>
      </c>
    </row>
    <row r="16" spans="2:13" ht="15" x14ac:dyDescent="0.25">
      <c r="C16" s="3" t="s">
        <v>9</v>
      </c>
      <c r="D16" s="5"/>
      <c r="E16" s="5">
        <v>800</v>
      </c>
    </row>
    <row r="17" spans="3:5" ht="15" x14ac:dyDescent="0.25">
      <c r="C17" s="3" t="s">
        <v>10</v>
      </c>
      <c r="D17" s="5">
        <v>4500</v>
      </c>
      <c r="E17" s="5"/>
    </row>
    <row r="18" spans="3:5" ht="15" x14ac:dyDescent="0.25">
      <c r="C18" s="3" t="s">
        <v>11</v>
      </c>
      <c r="D18" s="5"/>
      <c r="E18" s="5">
        <v>355</v>
      </c>
    </row>
    <row r="19" spans="3:5" ht="15" x14ac:dyDescent="0.25">
      <c r="C19" s="3" t="s">
        <v>12</v>
      </c>
      <c r="D19" s="5"/>
      <c r="E19" s="5">
        <v>280</v>
      </c>
    </row>
    <row r="20" spans="3:5" ht="15" x14ac:dyDescent="0.25">
      <c r="C20" s="3" t="s">
        <v>13</v>
      </c>
      <c r="D20" s="5"/>
      <c r="E20" s="5">
        <v>1200</v>
      </c>
    </row>
    <row r="21" spans="3:5" ht="15" x14ac:dyDescent="0.25">
      <c r="C21" s="3" t="s">
        <v>14</v>
      </c>
      <c r="D21" s="5"/>
      <c r="E21" s="5">
        <v>222</v>
      </c>
    </row>
    <row r="24" spans="3:5" ht="15.75" customHeight="1" x14ac:dyDescent="0.3">
      <c r="C24" s="6" t="s">
        <v>15</v>
      </c>
    </row>
    <row r="26" spans="3:5" ht="15.75" customHeight="1" x14ac:dyDescent="0.25">
      <c r="C26" s="7" t="s">
        <v>4</v>
      </c>
    </row>
    <row r="27" spans="3:5" ht="15.75" customHeight="1" x14ac:dyDescent="0.25">
      <c r="C27" s="8" t="s">
        <v>7</v>
      </c>
      <c r="D27" s="9">
        <v>450</v>
      </c>
    </row>
    <row r="28" spans="3:5" ht="15.75" customHeight="1" x14ac:dyDescent="0.25">
      <c r="C28" s="8" t="s">
        <v>11</v>
      </c>
      <c r="D28" s="9">
        <v>4500</v>
      </c>
    </row>
    <row r="29" spans="3:5" ht="15.75" customHeight="1" x14ac:dyDescent="0.25">
      <c r="C29" s="1" t="s">
        <v>31</v>
      </c>
      <c r="D29" s="5">
        <f>D27+D28</f>
        <v>4950</v>
      </c>
    </row>
    <row r="31" spans="3:5" ht="15.75" customHeight="1" x14ac:dyDescent="0.25">
      <c r="C31" s="10" t="s">
        <v>5</v>
      </c>
    </row>
    <row r="32" spans="3:5" ht="15.75" customHeight="1" x14ac:dyDescent="0.25">
      <c r="C32" s="8" t="s">
        <v>6</v>
      </c>
      <c r="D32" s="11">
        <v>1000</v>
      </c>
    </row>
    <row r="33" spans="3:4" ht="15.75" customHeight="1" x14ac:dyDescent="0.25">
      <c r="C33" s="8" t="s">
        <v>8</v>
      </c>
      <c r="D33" s="11">
        <v>500</v>
      </c>
    </row>
    <row r="34" spans="3:4" ht="15.75" customHeight="1" x14ac:dyDescent="0.25">
      <c r="C34" s="8" t="s">
        <v>9</v>
      </c>
      <c r="D34" s="11">
        <v>800</v>
      </c>
    </row>
    <row r="35" spans="3:4" ht="15.75" customHeight="1" x14ac:dyDescent="0.25">
      <c r="C35" s="8" t="s">
        <v>11</v>
      </c>
      <c r="D35" s="11">
        <v>355</v>
      </c>
    </row>
    <row r="36" spans="3:4" ht="15.75" customHeight="1" x14ac:dyDescent="0.25">
      <c r="C36" s="8" t="s">
        <v>12</v>
      </c>
      <c r="D36" s="11">
        <v>280</v>
      </c>
    </row>
    <row r="37" spans="3:4" ht="15.75" customHeight="1" x14ac:dyDescent="0.25">
      <c r="C37" s="8" t="s">
        <v>13</v>
      </c>
      <c r="D37" s="11">
        <v>1200</v>
      </c>
    </row>
    <row r="38" spans="3:4" ht="15.75" customHeight="1" x14ac:dyDescent="0.25">
      <c r="C38" s="12" t="s">
        <v>14</v>
      </c>
      <c r="D38" s="13">
        <v>222</v>
      </c>
    </row>
    <row r="39" spans="3:4" ht="15.75" customHeight="1" x14ac:dyDescent="0.25">
      <c r="C39" s="1" t="s">
        <v>31</v>
      </c>
      <c r="D39" s="5">
        <f>SUM(D32:D38)</f>
        <v>4357</v>
      </c>
    </row>
    <row r="40" spans="3:4" ht="15.75" customHeight="1" x14ac:dyDescent="0.25">
      <c r="C40" s="3"/>
    </row>
    <row r="42" spans="3:4" ht="15.75" customHeight="1" x14ac:dyDescent="0.3">
      <c r="C42" s="6" t="s">
        <v>16</v>
      </c>
    </row>
    <row r="44" spans="3:4" ht="15.75" customHeight="1" x14ac:dyDescent="0.25">
      <c r="D44" s="5"/>
    </row>
    <row r="45" spans="3:4" ht="15.75" customHeight="1" x14ac:dyDescent="0.25">
      <c r="C45" s="1" t="s">
        <v>31</v>
      </c>
      <c r="D45" s="5">
        <v>4950</v>
      </c>
    </row>
    <row r="46" spans="3:4" ht="15.75" customHeight="1" x14ac:dyDescent="0.25">
      <c r="C46" s="1" t="s">
        <v>31</v>
      </c>
      <c r="D46" s="5">
        <v>-4357</v>
      </c>
    </row>
    <row r="47" spans="3:4" ht="15.75" customHeight="1" x14ac:dyDescent="0.25">
      <c r="C47" s="1" t="s">
        <v>32</v>
      </c>
      <c r="D47" s="14">
        <f>D45+D46</f>
        <v>593</v>
      </c>
    </row>
    <row r="50" spans="3:3" ht="15.75" customHeight="1" x14ac:dyDescent="0.3">
      <c r="C50" s="6" t="s">
        <v>17</v>
      </c>
    </row>
    <row r="51" spans="3:3" ht="15.75" customHeight="1" x14ac:dyDescent="0.3">
      <c r="C51" s="6"/>
    </row>
    <row r="52" spans="3:3" ht="15.75" customHeight="1" x14ac:dyDescent="0.25">
      <c r="C52" s="15" t="s">
        <v>33</v>
      </c>
    </row>
    <row r="53" spans="3:3" ht="15.75" customHeight="1" x14ac:dyDescent="0.25">
      <c r="C53" s="15" t="s">
        <v>34</v>
      </c>
    </row>
    <row r="54" spans="3:3" ht="15.75" customHeight="1" x14ac:dyDescent="0.25">
      <c r="C54" s="1" t="s">
        <v>35</v>
      </c>
    </row>
    <row r="55" spans="3:3" ht="15.75" customHeight="1" x14ac:dyDescent="0.25">
      <c r="C55" s="1" t="s">
        <v>36</v>
      </c>
    </row>
    <row r="59" spans="3:3" ht="15.75" customHeight="1" x14ac:dyDescent="0.3">
      <c r="C59" s="16" t="s">
        <v>18</v>
      </c>
    </row>
  </sheetData>
  <mergeCells count="3">
    <mergeCell ref="B3:M3"/>
    <mergeCell ref="B5:M5"/>
    <mergeCell ref="B7:M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57D7-62A0-4568-B82F-2C22A305C909}">
  <dimension ref="B3:Z73"/>
  <sheetViews>
    <sheetView tabSelected="1" workbookViewId="0">
      <selection activeCell="C15" sqref="C15"/>
    </sheetView>
  </sheetViews>
  <sheetFormatPr baseColWidth="10" defaultColWidth="9.109375" defaultRowHeight="15.6" x14ac:dyDescent="0.3"/>
  <cols>
    <col min="1" max="1" width="9.109375" style="17"/>
    <col min="2" max="2" width="62.33203125" style="17" bestFit="1" customWidth="1"/>
    <col min="3" max="3" width="18.6640625" style="17" customWidth="1"/>
    <col min="4" max="13" width="9.109375" style="17"/>
    <col min="14" max="14" width="4.33203125" style="17" customWidth="1"/>
    <col min="15" max="15" width="62.33203125" style="17" bestFit="1" customWidth="1"/>
    <col min="16" max="16" width="17.109375" style="17" bestFit="1" customWidth="1"/>
    <col min="17" max="17" width="16.5546875" style="17" bestFit="1" customWidth="1"/>
    <col min="18" max="16384" width="9.109375" style="17"/>
  </cols>
  <sheetData>
    <row r="3" spans="2:26" ht="25.8" thickBot="1" x14ac:dyDescent="0.5">
      <c r="B3" s="45" t="s">
        <v>19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5" spans="2:26" ht="17.25" customHeight="1" x14ac:dyDescent="0.3">
      <c r="B5" s="17" t="s">
        <v>20</v>
      </c>
      <c r="N5" s="18" t="s">
        <v>21</v>
      </c>
    </row>
    <row r="6" spans="2:26" ht="17.25" customHeight="1" x14ac:dyDescent="0.3">
      <c r="N6" s="18"/>
    </row>
    <row r="7" spans="2:26" ht="17.25" customHeight="1" thickBot="1" x14ac:dyDescent="0.35">
      <c r="N7" s="18"/>
    </row>
    <row r="8" spans="2:26" x14ac:dyDescent="0.3">
      <c r="B8" s="46" t="s">
        <v>22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  <c r="O8" s="49" t="s">
        <v>23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1"/>
    </row>
    <row r="9" spans="2:26" ht="15.75" customHeight="1" x14ac:dyDescent="0.3">
      <c r="B9" s="52" t="s">
        <v>24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  <c r="O9" s="58" t="s">
        <v>25</v>
      </c>
      <c r="P9" s="59"/>
      <c r="Q9" s="59"/>
      <c r="R9" s="59"/>
      <c r="S9" s="59"/>
      <c r="T9" s="59"/>
      <c r="U9" s="59"/>
      <c r="V9" s="59"/>
      <c r="W9" s="59"/>
      <c r="X9" s="59"/>
      <c r="Y9" s="59"/>
      <c r="Z9" s="60"/>
    </row>
    <row r="10" spans="2:26" x14ac:dyDescent="0.3">
      <c r="B10" s="5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4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60"/>
    </row>
    <row r="11" spans="2:26" ht="16.2" thickBot="1" x14ac:dyDescent="0.35">
      <c r="B11" s="55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7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3"/>
    </row>
    <row r="12" spans="2:26" x14ac:dyDescent="0.3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5" spans="2:26" x14ac:dyDescent="0.3">
      <c r="B15" s="20" t="s">
        <v>26</v>
      </c>
      <c r="O15" s="20" t="s">
        <v>26</v>
      </c>
    </row>
    <row r="16" spans="2:26" x14ac:dyDescent="0.3">
      <c r="B16" s="20"/>
      <c r="O16" s="20"/>
    </row>
    <row r="17" spans="2:22" x14ac:dyDescent="0.3">
      <c r="B17" s="34" t="s">
        <v>28</v>
      </c>
      <c r="C17" s="34"/>
      <c r="D17" s="34"/>
      <c r="E17" s="34"/>
      <c r="F17" s="34"/>
      <c r="G17" s="34"/>
      <c r="H17" s="34"/>
      <c r="I17" s="34"/>
      <c r="O17" s="34" t="s">
        <v>28</v>
      </c>
      <c r="P17" s="34"/>
      <c r="Q17" s="34"/>
      <c r="R17" s="34"/>
      <c r="S17" s="34"/>
      <c r="T17" s="34"/>
      <c r="U17" s="34"/>
      <c r="V17" s="34"/>
    </row>
    <row r="18" spans="2:22" ht="15.6" customHeight="1" x14ac:dyDescent="0.3">
      <c r="B18" s="35" t="s">
        <v>37</v>
      </c>
      <c r="C18" s="35"/>
      <c r="D18" s="35"/>
      <c r="E18" s="35"/>
      <c r="F18" s="35"/>
      <c r="G18" s="35"/>
      <c r="H18" s="35"/>
      <c r="I18" s="35"/>
      <c r="O18" s="35" t="s">
        <v>37</v>
      </c>
      <c r="P18" s="35"/>
      <c r="Q18" s="35"/>
      <c r="R18" s="35"/>
      <c r="S18" s="35"/>
      <c r="T18" s="35"/>
      <c r="U18" s="35"/>
      <c r="V18" s="35"/>
    </row>
    <row r="19" spans="2:22" x14ac:dyDescent="0.3">
      <c r="B19" s="35"/>
      <c r="C19" s="35"/>
      <c r="D19" s="35"/>
      <c r="E19" s="35"/>
      <c r="F19" s="35"/>
      <c r="G19" s="35"/>
      <c r="H19" s="35"/>
      <c r="I19" s="35"/>
      <c r="O19" s="35"/>
      <c r="P19" s="35"/>
      <c r="Q19" s="35"/>
      <c r="R19" s="35"/>
      <c r="S19" s="35"/>
      <c r="T19" s="35"/>
      <c r="U19" s="35"/>
      <c r="V19" s="35"/>
    </row>
    <row r="20" spans="2:22" x14ac:dyDescent="0.3">
      <c r="B20" s="20" t="s">
        <v>38</v>
      </c>
      <c r="C20" s="24">
        <v>0</v>
      </c>
      <c r="O20" s="22" t="s">
        <v>42</v>
      </c>
      <c r="P20" s="25">
        <v>2000000</v>
      </c>
    </row>
    <row r="21" spans="2:22" x14ac:dyDescent="0.3">
      <c r="B21" s="21" t="s">
        <v>40</v>
      </c>
      <c r="O21" s="21" t="s">
        <v>40</v>
      </c>
      <c r="P21" s="25"/>
    </row>
    <row r="22" spans="2:22" x14ac:dyDescent="0.3">
      <c r="B22" s="23" t="s">
        <v>39</v>
      </c>
      <c r="C22" s="24">
        <v>1100000</v>
      </c>
      <c r="O22" s="22" t="s">
        <v>43</v>
      </c>
      <c r="P22" s="25">
        <v>1100000</v>
      </c>
    </row>
    <row r="23" spans="2:22" x14ac:dyDescent="0.3">
      <c r="B23" s="22" t="s">
        <v>41</v>
      </c>
      <c r="C23" s="26">
        <f>C20-C22</f>
        <v>-1100000</v>
      </c>
      <c r="O23" s="22" t="s">
        <v>44</v>
      </c>
      <c r="P23" s="25">
        <f>P20-P22</f>
        <v>900000</v>
      </c>
    </row>
    <row r="25" spans="2:22" ht="15.6" customHeight="1" x14ac:dyDescent="0.3">
      <c r="B25" s="34" t="s">
        <v>28</v>
      </c>
      <c r="C25" s="34"/>
      <c r="D25" s="34"/>
      <c r="E25" s="34"/>
      <c r="F25" s="34"/>
      <c r="G25" s="34"/>
      <c r="H25" s="34"/>
      <c r="I25" s="34"/>
      <c r="O25" s="34" t="s">
        <v>28</v>
      </c>
      <c r="P25" s="34"/>
      <c r="Q25" s="34"/>
      <c r="R25" s="34"/>
      <c r="S25" s="34"/>
      <c r="T25" s="34"/>
      <c r="U25" s="34"/>
      <c r="V25" s="34"/>
    </row>
    <row r="26" spans="2:22" x14ac:dyDescent="0.3">
      <c r="B26" s="35" t="s">
        <v>37</v>
      </c>
      <c r="C26" s="35"/>
      <c r="D26" s="35"/>
      <c r="E26" s="35"/>
      <c r="F26" s="35"/>
      <c r="G26" s="35"/>
      <c r="H26" s="35"/>
      <c r="I26" s="35"/>
      <c r="O26" s="35" t="s">
        <v>37</v>
      </c>
      <c r="P26" s="35"/>
      <c r="Q26" s="35"/>
      <c r="R26" s="35"/>
      <c r="S26" s="35"/>
      <c r="T26" s="35"/>
      <c r="U26" s="35"/>
      <c r="V26" s="35"/>
    </row>
    <row r="27" spans="2:22" x14ac:dyDescent="0.3">
      <c r="B27" s="35"/>
      <c r="C27" s="35"/>
      <c r="D27" s="35"/>
      <c r="E27" s="35"/>
      <c r="F27" s="35"/>
      <c r="G27" s="35"/>
      <c r="H27" s="35"/>
      <c r="I27" s="35"/>
      <c r="O27" s="35"/>
      <c r="P27" s="35"/>
      <c r="Q27" s="35"/>
      <c r="R27" s="35"/>
      <c r="S27" s="35"/>
      <c r="T27" s="35"/>
      <c r="U27" s="35"/>
      <c r="V27" s="35"/>
    </row>
    <row r="29" spans="2:22" x14ac:dyDescent="0.3">
      <c r="B29" s="22" t="s">
        <v>42</v>
      </c>
      <c r="C29" s="25">
        <v>2000000</v>
      </c>
      <c r="O29" s="20" t="s">
        <v>38</v>
      </c>
      <c r="P29" s="24">
        <f>P35</f>
        <v>600000</v>
      </c>
    </row>
    <row r="30" spans="2:22" x14ac:dyDescent="0.3">
      <c r="B30" s="21" t="s">
        <v>40</v>
      </c>
      <c r="C30" s="25"/>
      <c r="O30" s="21" t="s">
        <v>40</v>
      </c>
    </row>
    <row r="31" spans="2:22" x14ac:dyDescent="0.3">
      <c r="B31" s="22" t="s">
        <v>43</v>
      </c>
      <c r="C31" s="25">
        <v>1100000</v>
      </c>
      <c r="O31" s="23" t="s">
        <v>39</v>
      </c>
      <c r="P31" s="24">
        <v>1100000</v>
      </c>
    </row>
    <row r="32" spans="2:22" x14ac:dyDescent="0.3">
      <c r="B32" s="22" t="s">
        <v>44</v>
      </c>
      <c r="C32" s="25">
        <f>C29-C31</f>
        <v>900000</v>
      </c>
      <c r="O32" s="22" t="s">
        <v>41</v>
      </c>
      <c r="P32" s="26">
        <f>P29-P31</f>
        <v>-500000</v>
      </c>
    </row>
    <row r="34" spans="2:25" x14ac:dyDescent="0.3">
      <c r="O34" s="22" t="s">
        <v>45</v>
      </c>
      <c r="P34" s="27">
        <v>2000000</v>
      </c>
    </row>
    <row r="35" spans="2:25" x14ac:dyDescent="0.3">
      <c r="B35" s="20" t="s">
        <v>27</v>
      </c>
      <c r="O35" s="22" t="s">
        <v>48</v>
      </c>
      <c r="P35" s="27">
        <v>600000</v>
      </c>
    </row>
    <row r="36" spans="2:25" x14ac:dyDescent="0.3">
      <c r="O36" s="22" t="s">
        <v>49</v>
      </c>
      <c r="P36" s="28">
        <v>1400000</v>
      </c>
    </row>
    <row r="37" spans="2:25" x14ac:dyDescent="0.3">
      <c r="P37" s="27">
        <f>P35+P36</f>
        <v>2000000</v>
      </c>
    </row>
    <row r="39" spans="2:25" x14ac:dyDescent="0.3">
      <c r="O39" s="20"/>
    </row>
    <row r="41" spans="2:25" ht="16.2" thickBot="1" x14ac:dyDescent="0.35"/>
    <row r="42" spans="2:25" x14ac:dyDescent="0.3">
      <c r="O42" s="36" t="s">
        <v>29</v>
      </c>
      <c r="P42" s="37"/>
      <c r="Q42" s="37"/>
      <c r="R42" s="37"/>
      <c r="S42" s="37"/>
      <c r="T42" s="37"/>
      <c r="U42" s="37"/>
      <c r="V42" s="37"/>
      <c r="W42" s="37"/>
      <c r="X42" s="37"/>
      <c r="Y42" s="38"/>
    </row>
    <row r="43" spans="2:25" x14ac:dyDescent="0.3">
      <c r="O43" s="39" t="s">
        <v>30</v>
      </c>
      <c r="P43" s="40"/>
      <c r="Q43" s="40"/>
      <c r="R43" s="40"/>
      <c r="S43" s="40"/>
      <c r="T43" s="40"/>
      <c r="U43" s="40"/>
      <c r="V43" s="40"/>
      <c r="W43" s="40"/>
      <c r="X43" s="40"/>
      <c r="Y43" s="41"/>
    </row>
    <row r="44" spans="2:25" x14ac:dyDescent="0.3"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1"/>
    </row>
    <row r="45" spans="2:25" ht="16.2" thickBot="1" x14ac:dyDescent="0.35">
      <c r="O45" s="42"/>
      <c r="P45" s="43"/>
      <c r="Q45" s="43"/>
      <c r="R45" s="43"/>
      <c r="S45" s="43"/>
      <c r="T45" s="43"/>
      <c r="U45" s="43"/>
      <c r="V45" s="43"/>
      <c r="W45" s="43"/>
      <c r="X45" s="43"/>
      <c r="Y45" s="44"/>
    </row>
    <row r="48" spans="2:25" x14ac:dyDescent="0.3">
      <c r="O48" s="34" t="s">
        <v>28</v>
      </c>
      <c r="P48" s="34"/>
      <c r="Q48" s="34"/>
      <c r="R48" s="34"/>
      <c r="S48" s="34"/>
      <c r="T48" s="34"/>
      <c r="U48" s="34"/>
      <c r="V48" s="34"/>
    </row>
    <row r="49" spans="15:22" ht="15.6" customHeight="1" x14ac:dyDescent="0.3">
      <c r="O49" s="35" t="s">
        <v>37</v>
      </c>
      <c r="P49" s="35"/>
      <c r="Q49" s="35"/>
      <c r="R49" s="35"/>
      <c r="S49" s="35"/>
      <c r="T49" s="35"/>
      <c r="U49" s="35"/>
      <c r="V49" s="35"/>
    </row>
    <row r="50" spans="15:22" x14ac:dyDescent="0.3">
      <c r="O50" s="35"/>
      <c r="P50" s="35"/>
      <c r="Q50" s="35"/>
      <c r="R50" s="35"/>
      <c r="S50" s="35"/>
      <c r="T50" s="35"/>
      <c r="U50" s="35"/>
      <c r="V50" s="35"/>
    </row>
    <row r="51" spans="15:22" x14ac:dyDescent="0.3">
      <c r="O51" s="22" t="s">
        <v>42</v>
      </c>
      <c r="P51" s="25">
        <v>2000000</v>
      </c>
    </row>
    <row r="52" spans="15:22" x14ac:dyDescent="0.3">
      <c r="O52" s="21" t="s">
        <v>40</v>
      </c>
      <c r="P52" s="25"/>
    </row>
    <row r="53" spans="15:22" x14ac:dyDescent="0.3">
      <c r="O53" s="22" t="s">
        <v>43</v>
      </c>
      <c r="P53" s="25">
        <v>1100000</v>
      </c>
    </row>
    <row r="54" spans="15:22" x14ac:dyDescent="0.3">
      <c r="O54" s="22" t="s">
        <v>44</v>
      </c>
      <c r="P54" s="25">
        <f>P51-P53</f>
        <v>900000</v>
      </c>
    </row>
    <row r="56" spans="15:22" x14ac:dyDescent="0.3">
      <c r="O56" s="34" t="s">
        <v>28</v>
      </c>
      <c r="P56" s="34"/>
      <c r="Q56" s="34"/>
      <c r="R56" s="34"/>
      <c r="S56" s="34"/>
      <c r="T56" s="34"/>
      <c r="U56" s="34"/>
      <c r="V56" s="34"/>
    </row>
    <row r="57" spans="15:22" x14ac:dyDescent="0.3">
      <c r="O57" s="35" t="s">
        <v>37</v>
      </c>
      <c r="P57" s="35"/>
      <c r="Q57" s="35"/>
      <c r="R57" s="35"/>
      <c r="S57" s="35"/>
      <c r="T57" s="35"/>
      <c r="U57" s="35"/>
      <c r="V57" s="35"/>
    </row>
    <row r="58" spans="15:22" x14ac:dyDescent="0.3">
      <c r="O58" s="35"/>
      <c r="P58" s="35"/>
      <c r="Q58" s="35"/>
      <c r="R58" s="35"/>
      <c r="S58" s="35"/>
      <c r="T58" s="35"/>
      <c r="U58" s="35"/>
      <c r="V58" s="35"/>
    </row>
    <row r="60" spans="15:22" x14ac:dyDescent="0.3">
      <c r="O60" s="20" t="s">
        <v>38</v>
      </c>
      <c r="P60" s="24">
        <f>Q66</f>
        <v>600000</v>
      </c>
    </row>
    <row r="61" spans="15:22" x14ac:dyDescent="0.3">
      <c r="O61" s="21" t="s">
        <v>40</v>
      </c>
    </row>
    <row r="62" spans="15:22" x14ac:dyDescent="0.3">
      <c r="O62" s="23" t="s">
        <v>39</v>
      </c>
      <c r="P62" s="24">
        <f>Q71</f>
        <v>330000</v>
      </c>
    </row>
    <row r="63" spans="15:22" x14ac:dyDescent="0.3">
      <c r="O63" s="22" t="s">
        <v>41</v>
      </c>
      <c r="P63" s="30">
        <f>P60-P62</f>
        <v>270000</v>
      </c>
    </row>
    <row r="65" spans="15:17" x14ac:dyDescent="0.3">
      <c r="O65" s="22" t="s">
        <v>45</v>
      </c>
      <c r="P65" s="27">
        <v>2000000</v>
      </c>
    </row>
    <row r="66" spans="15:17" x14ac:dyDescent="0.3">
      <c r="O66" s="22" t="s">
        <v>46</v>
      </c>
      <c r="P66" s="29">
        <v>0.3</v>
      </c>
      <c r="Q66" s="27">
        <v>600000</v>
      </c>
    </row>
    <row r="67" spans="15:17" x14ac:dyDescent="0.3">
      <c r="O67" s="22" t="s">
        <v>47</v>
      </c>
      <c r="P67" s="29">
        <v>0.7</v>
      </c>
      <c r="Q67" s="28">
        <v>1400000</v>
      </c>
    </row>
    <row r="68" spans="15:17" x14ac:dyDescent="0.3">
      <c r="Q68" s="27">
        <f>Q66+Q67</f>
        <v>2000000</v>
      </c>
    </row>
    <row r="70" spans="15:17" x14ac:dyDescent="0.3">
      <c r="O70" s="22" t="s">
        <v>50</v>
      </c>
      <c r="P70" s="27">
        <v>1100000</v>
      </c>
    </row>
    <row r="71" spans="15:17" x14ac:dyDescent="0.3">
      <c r="O71" s="22" t="s">
        <v>46</v>
      </c>
      <c r="P71" s="29">
        <v>0.3</v>
      </c>
      <c r="Q71" s="27">
        <f>P70*P71</f>
        <v>330000</v>
      </c>
    </row>
    <row r="72" spans="15:17" x14ac:dyDescent="0.3">
      <c r="O72" s="22" t="s">
        <v>47</v>
      </c>
      <c r="P72" s="29">
        <v>0.7</v>
      </c>
      <c r="Q72" s="28">
        <f>P70*P72</f>
        <v>770000</v>
      </c>
    </row>
    <row r="73" spans="15:17" x14ac:dyDescent="0.3">
      <c r="Q73" s="27">
        <f>Q71+Q72</f>
        <v>1100000</v>
      </c>
    </row>
  </sheetData>
  <mergeCells count="19">
    <mergeCell ref="B3:Z3"/>
    <mergeCell ref="B8:M8"/>
    <mergeCell ref="O8:Z8"/>
    <mergeCell ref="B9:M11"/>
    <mergeCell ref="O9:Z11"/>
    <mergeCell ref="O17:V17"/>
    <mergeCell ref="O18:V19"/>
    <mergeCell ref="B17:I17"/>
    <mergeCell ref="B25:I25"/>
    <mergeCell ref="B26:I27"/>
    <mergeCell ref="O25:V25"/>
    <mergeCell ref="O26:V27"/>
    <mergeCell ref="O48:V48"/>
    <mergeCell ref="O49:V50"/>
    <mergeCell ref="O56:V56"/>
    <mergeCell ref="O57:V58"/>
    <mergeCell ref="B18:I19"/>
    <mergeCell ref="O42:Y42"/>
    <mergeCell ref="O43:Y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TEMA2 Entradas y Salidas</vt:lpstr>
      <vt:lpstr>TEMA2 FLUJO EFEC VS INGRESO 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ESPINOZA FERNANDA VALENTINA</dc:creator>
  <cp:lastModifiedBy>Alex Roblero</cp:lastModifiedBy>
  <dcterms:created xsi:type="dcterms:W3CDTF">2025-10-01T17:12:51Z</dcterms:created>
  <dcterms:modified xsi:type="dcterms:W3CDTF">2026-02-18T04:54:00Z</dcterms:modified>
</cp:coreProperties>
</file>