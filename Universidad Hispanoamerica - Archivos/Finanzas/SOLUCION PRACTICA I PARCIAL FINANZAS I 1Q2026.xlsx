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oble\Downloads\"/>
    </mc:Choice>
  </mc:AlternateContent>
  <xr:revisionPtr revIDLastSave="0" documentId="13_ncr:1_{CC337C5E-DDCF-4157-8FC6-E55D25259B83}" xr6:coauthVersionLast="47" xr6:coauthVersionMax="47" xr10:uidLastSave="{00000000-0000-0000-0000-000000000000}"/>
  <bookViews>
    <workbookView xWindow="-108" yWindow="-108" windowWidth="23976" windowHeight="14016" firstSheet="4" activeTab="6" xr2:uid="{3213F9C7-1B24-4CF0-97B0-513687EB5AAB}"/>
  </bookViews>
  <sheets>
    <sheet name="ENFOQUES" sheetId="3" r:id="rId1"/>
    <sheet name="FLUJOS ENTRADAS Y SALIDAS" sheetId="4" r:id="rId2"/>
    <sheet name="ANALISIS VERT- HORIZ" sheetId="1" r:id="rId3"/>
    <sheet name="ANALISIS VERT- HORIZ " sheetId="2" r:id="rId4"/>
    <sheet name="RAZONES FINANCIERAS" sheetId="6" r:id="rId5"/>
    <sheet name="RAZONES FINANCIERAS 2" sheetId="7" r:id="rId6"/>
    <sheet name="ANALISIS VERTICAL Y RAZONES FIN"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8" i="6" l="1"/>
  <c r="L69" i="6"/>
  <c r="N77" i="2"/>
  <c r="I60" i="1" l="1"/>
  <c r="I58" i="1"/>
  <c r="I54" i="1"/>
  <c r="I42" i="1"/>
  <c r="I38" i="1"/>
  <c r="E35" i="1"/>
  <c r="Q13" i="1"/>
  <c r="G14" i="1"/>
  <c r="D14" i="1"/>
  <c r="R152" i="8"/>
  <c r="O152" i="8"/>
  <c r="L152" i="8"/>
  <c r="R148" i="8"/>
  <c r="O148" i="8"/>
  <c r="L148" i="8"/>
  <c r="R131" i="8"/>
  <c r="O131" i="8"/>
  <c r="L131" i="8"/>
  <c r="R130" i="8"/>
  <c r="T130" i="8" s="1"/>
  <c r="O130" i="8"/>
  <c r="Q130" i="8" s="1"/>
  <c r="L130" i="8"/>
  <c r="R127" i="8"/>
  <c r="O127" i="8"/>
  <c r="Q126" i="8" s="1"/>
  <c r="L127" i="8"/>
  <c r="T126" i="8"/>
  <c r="R126" i="8"/>
  <c r="O126" i="8"/>
  <c r="L126" i="8"/>
  <c r="R124" i="8"/>
  <c r="O124" i="8"/>
  <c r="L124" i="8"/>
  <c r="R123" i="8"/>
  <c r="T123" i="8" s="1"/>
  <c r="O123" i="8"/>
  <c r="L123" i="8"/>
  <c r="L119" i="8"/>
  <c r="R115" i="8"/>
  <c r="L114" i="8"/>
  <c r="N114" i="8" s="1"/>
  <c r="M86" i="8"/>
  <c r="R138" i="8" s="1"/>
  <c r="I86" i="8"/>
  <c r="L85" i="8" s="1"/>
  <c r="E86" i="8"/>
  <c r="L138" i="8" s="1"/>
  <c r="P84" i="8"/>
  <c r="L84" i="8"/>
  <c r="L86" i="8" s="1"/>
  <c r="M80" i="8"/>
  <c r="P79" i="8" s="1"/>
  <c r="I80" i="8"/>
  <c r="L79" i="8" s="1"/>
  <c r="E80" i="8"/>
  <c r="H78" i="8" s="1"/>
  <c r="H79" i="8"/>
  <c r="P78" i="8"/>
  <c r="P80" i="8" s="1"/>
  <c r="L78" i="8"/>
  <c r="L80" i="8" s="1"/>
  <c r="M76" i="8"/>
  <c r="P75" i="8" s="1"/>
  <c r="I76" i="8"/>
  <c r="O115" i="8" s="1"/>
  <c r="E76" i="8"/>
  <c r="L115" i="8" s="1"/>
  <c r="P74" i="8"/>
  <c r="L74" i="8"/>
  <c r="M69" i="8"/>
  <c r="P69" i="8" s="1"/>
  <c r="I69" i="8"/>
  <c r="L69" i="8" s="1"/>
  <c r="E69" i="8"/>
  <c r="E70" i="8" s="1"/>
  <c r="M66" i="8"/>
  <c r="M70" i="8" s="1"/>
  <c r="I66" i="8"/>
  <c r="L65" i="8" s="1"/>
  <c r="E66" i="8"/>
  <c r="H64" i="8" s="1"/>
  <c r="H65" i="8"/>
  <c r="H63" i="8"/>
  <c r="G47" i="8"/>
  <c r="F47" i="8"/>
  <c r="E47" i="8"/>
  <c r="G41" i="8"/>
  <c r="F41" i="8"/>
  <c r="E41" i="8"/>
  <c r="G37" i="8"/>
  <c r="F37" i="8"/>
  <c r="E37" i="8"/>
  <c r="E42" i="8" s="1"/>
  <c r="G30" i="8"/>
  <c r="F30" i="8"/>
  <c r="E30" i="8"/>
  <c r="G27" i="8"/>
  <c r="F27" i="8"/>
  <c r="F31" i="8" s="1"/>
  <c r="E27" i="8"/>
  <c r="E31" i="8" s="1"/>
  <c r="N24" i="8"/>
  <c r="N28" i="8" s="1"/>
  <c r="M24" i="8"/>
  <c r="M28" i="8" s="1"/>
  <c r="L24" i="8"/>
  <c r="L28" i="8" s="1"/>
  <c r="F64" i="8" l="1"/>
  <c r="F63" i="8"/>
  <c r="L143" i="8"/>
  <c r="F65" i="8"/>
  <c r="P64" i="8"/>
  <c r="P86" i="8"/>
  <c r="E49" i="8"/>
  <c r="P85" i="8"/>
  <c r="N126" i="8"/>
  <c r="G42" i="8"/>
  <c r="G49" i="8" s="1"/>
  <c r="H66" i="8"/>
  <c r="P76" i="8"/>
  <c r="F42" i="8"/>
  <c r="F49" i="8" s="1"/>
  <c r="M81" i="8"/>
  <c r="N79" i="8" s="1"/>
  <c r="H80" i="8"/>
  <c r="N123" i="8"/>
  <c r="H69" i="8"/>
  <c r="Q123" i="8"/>
  <c r="N130" i="8"/>
  <c r="G31" i="8"/>
  <c r="R160" i="8"/>
  <c r="L31" i="8"/>
  <c r="L147" i="8"/>
  <c r="N147" i="8" s="1"/>
  <c r="M88" i="8"/>
  <c r="N78" i="8"/>
  <c r="R143" i="8"/>
  <c r="N64" i="8"/>
  <c r="R156" i="8"/>
  <c r="N68" i="8"/>
  <c r="O69" i="8" s="1"/>
  <c r="N65" i="8"/>
  <c r="N63" i="8"/>
  <c r="O66" i="8" s="1"/>
  <c r="O70" i="8" s="1"/>
  <c r="M31" i="8"/>
  <c r="O147" i="8"/>
  <c r="Q147" i="8" s="1"/>
  <c r="R147" i="8"/>
  <c r="T147" i="8" s="1"/>
  <c r="N31" i="8"/>
  <c r="L64" i="8"/>
  <c r="H74" i="8"/>
  <c r="L160" i="8"/>
  <c r="R119" i="8"/>
  <c r="O160" i="8"/>
  <c r="E81" i="8"/>
  <c r="L120" i="8"/>
  <c r="N119" i="8" s="1"/>
  <c r="H75" i="8"/>
  <c r="H85" i="8"/>
  <c r="R114" i="8"/>
  <c r="T114" i="8" s="1"/>
  <c r="O120" i="8"/>
  <c r="O138" i="8"/>
  <c r="P63" i="8"/>
  <c r="P65" i="8"/>
  <c r="I70" i="8"/>
  <c r="I81" i="8"/>
  <c r="R120" i="8"/>
  <c r="H84" i="8"/>
  <c r="O119" i="8"/>
  <c r="O114" i="8"/>
  <c r="Q114" i="8" s="1"/>
  <c r="L63" i="8"/>
  <c r="F68" i="8"/>
  <c r="G69" i="8" s="1"/>
  <c r="L156" i="8"/>
  <c r="L75" i="8"/>
  <c r="L76" i="8" s="1"/>
  <c r="G66" i="8" l="1"/>
  <c r="G70" i="8" s="1"/>
  <c r="H76" i="8"/>
  <c r="R137" i="8"/>
  <c r="T137" i="8" s="1"/>
  <c r="N74" i="8"/>
  <c r="H86" i="8"/>
  <c r="R142" i="8"/>
  <c r="T142" i="8" s="1"/>
  <c r="N75" i="8"/>
  <c r="N85" i="8"/>
  <c r="N84" i="8"/>
  <c r="T119" i="8"/>
  <c r="J63" i="8"/>
  <c r="J64" i="8"/>
  <c r="O156" i="8"/>
  <c r="J68" i="8"/>
  <c r="K69" i="8" s="1"/>
  <c r="J65" i="8"/>
  <c r="O143" i="8"/>
  <c r="N32" i="8"/>
  <c r="N33" i="8"/>
  <c r="L66" i="8"/>
  <c r="L142" i="8"/>
  <c r="N142" i="8" s="1"/>
  <c r="E88" i="8"/>
  <c r="F78" i="8"/>
  <c r="F75" i="8"/>
  <c r="L137" i="8"/>
  <c r="N137" i="8" s="1"/>
  <c r="F74" i="8"/>
  <c r="G76" i="8" s="1"/>
  <c r="G81" i="8"/>
  <c r="F79" i="8"/>
  <c r="P66" i="8"/>
  <c r="M32" i="8"/>
  <c r="M33" i="8" s="1"/>
  <c r="O81" i="8"/>
  <c r="K81" i="8"/>
  <c r="O137" i="8"/>
  <c r="Q137" i="8" s="1"/>
  <c r="J74" i="8"/>
  <c r="I88" i="8"/>
  <c r="J75" i="8"/>
  <c r="J79" i="8"/>
  <c r="O142" i="8"/>
  <c r="J78" i="8"/>
  <c r="K80" i="8" s="1"/>
  <c r="L32" i="8"/>
  <c r="L33" i="8" s="1"/>
  <c r="Q119" i="8"/>
  <c r="O80" i="8"/>
  <c r="O76" i="8" l="1"/>
  <c r="O159" i="8"/>
  <c r="Q159" i="8" s="1"/>
  <c r="O151" i="8"/>
  <c r="Q151" i="8" s="1"/>
  <c r="O155" i="8"/>
  <c r="Q155" i="8" s="1"/>
  <c r="L155" i="8"/>
  <c r="N155" i="8" s="1"/>
  <c r="L159" i="8"/>
  <c r="N159" i="8" s="1"/>
  <c r="L151" i="8"/>
  <c r="N151" i="8" s="1"/>
  <c r="R155" i="8"/>
  <c r="T155" i="8" s="1"/>
  <c r="R151" i="8"/>
  <c r="T151" i="8" s="1"/>
  <c r="R159" i="8"/>
  <c r="T159" i="8" s="1"/>
  <c r="K88" i="8"/>
  <c r="O88" i="8"/>
  <c r="Q142" i="8"/>
  <c r="J85" i="8"/>
  <c r="J84" i="8"/>
  <c r="K86" i="8" s="1"/>
  <c r="K66" i="8"/>
  <c r="K70" i="8" s="1"/>
  <c r="K76" i="8"/>
  <c r="G80" i="8"/>
  <c r="F85" i="8"/>
  <c r="F84" i="8"/>
  <c r="G86" i="8" s="1"/>
  <c r="G88" i="8" s="1"/>
  <c r="O86" i="8"/>
  <c r="G15" i="1" l="1"/>
  <c r="G16" i="1"/>
  <c r="G17" i="1"/>
  <c r="G18" i="1"/>
  <c r="G19" i="1"/>
  <c r="G20" i="1"/>
  <c r="G21" i="1"/>
  <c r="G22" i="1"/>
  <c r="G23" i="1"/>
  <c r="G24" i="1"/>
  <c r="I35" i="1"/>
  <c r="G41" i="1"/>
  <c r="E42" i="1"/>
  <c r="F39" i="1"/>
  <c r="K39" i="1"/>
  <c r="K38" i="1"/>
  <c r="K37" i="1"/>
  <c r="K36" i="1"/>
  <c r="K35" i="1"/>
  <c r="P93" i="6" l="1"/>
  <c r="L93" i="6"/>
  <c r="P89" i="6"/>
  <c r="L89" i="6"/>
  <c r="P76" i="6"/>
  <c r="L76" i="6"/>
  <c r="P73" i="6"/>
  <c r="L73" i="6"/>
  <c r="P72" i="6"/>
  <c r="R72" i="6" s="1"/>
  <c r="L72" i="6"/>
  <c r="N72" i="6" s="1"/>
  <c r="P69" i="6"/>
  <c r="P68" i="6"/>
  <c r="L68" i="6"/>
  <c r="P66" i="6"/>
  <c r="L66" i="6"/>
  <c r="P65" i="6"/>
  <c r="R65" i="6" s="1"/>
  <c r="L65" i="6"/>
  <c r="N65" i="6" s="1"/>
  <c r="L62" i="6"/>
  <c r="K40" i="6"/>
  <c r="P101" i="6" s="1"/>
  <c r="J40" i="6"/>
  <c r="L101" i="6" s="1"/>
  <c r="K33" i="6"/>
  <c r="J33" i="6"/>
  <c r="K30" i="6"/>
  <c r="P62" i="6" s="1"/>
  <c r="J30" i="6"/>
  <c r="L57" i="6" s="1"/>
  <c r="K21" i="6"/>
  <c r="J21" i="6"/>
  <c r="K17" i="6"/>
  <c r="P56" i="6" s="1"/>
  <c r="J17" i="6"/>
  <c r="L56" i="6" s="1"/>
  <c r="N56" i="6" s="1"/>
  <c r="D17" i="6"/>
  <c r="C17" i="6"/>
  <c r="D13" i="6"/>
  <c r="D18" i="6" s="1"/>
  <c r="C13" i="6"/>
  <c r="C18" i="6" s="1"/>
  <c r="O71" i="4"/>
  <c r="I71" i="4"/>
  <c r="D71" i="4"/>
  <c r="D73" i="4" s="1"/>
  <c r="O61" i="4"/>
  <c r="O73" i="4" s="1"/>
  <c r="I61" i="4"/>
  <c r="I73" i="4" s="1"/>
  <c r="D61" i="4"/>
  <c r="O51" i="4"/>
  <c r="I51" i="4"/>
  <c r="D51" i="4"/>
  <c r="O41" i="4"/>
  <c r="I41" i="4"/>
  <c r="D41" i="4"/>
  <c r="P57" i="6" l="1"/>
  <c r="R56" i="6" s="1"/>
  <c r="L61" i="6"/>
  <c r="N61" i="6" s="1"/>
  <c r="P61" i="6"/>
  <c r="R61" i="6" s="1"/>
  <c r="K34" i="6"/>
  <c r="J34" i="6"/>
  <c r="L83" i="6" s="1"/>
  <c r="N68" i="6"/>
  <c r="R68" i="6"/>
  <c r="P83" i="6"/>
  <c r="K42" i="6"/>
  <c r="C20" i="6"/>
  <c r="N88" i="6"/>
  <c r="P88" i="6"/>
  <c r="R88" i="6" s="1"/>
  <c r="D20" i="6"/>
  <c r="J22" i="6"/>
  <c r="K22" i="6"/>
  <c r="Q80" i="3"/>
  <c r="Q79" i="3"/>
  <c r="Q75" i="3"/>
  <c r="Q74" i="3"/>
  <c r="R69" i="3"/>
  <c r="R67" i="3"/>
  <c r="R70" i="3" s="1"/>
  <c r="R61" i="3"/>
  <c r="Q36" i="3"/>
  <c r="Q35" i="3"/>
  <c r="E32" i="3"/>
  <c r="R28" i="3"/>
  <c r="R31" i="3" s="1"/>
  <c r="E23" i="3"/>
  <c r="R22" i="3"/>
  <c r="J42" i="6" l="1"/>
  <c r="L84" i="6"/>
  <c r="N83" i="6" s="1"/>
  <c r="L97" i="6"/>
  <c r="L77" i="6"/>
  <c r="N76" i="6" s="1"/>
  <c r="P97" i="6"/>
  <c r="P77" i="6"/>
  <c r="R76" i="6" s="1"/>
  <c r="P84" i="6"/>
  <c r="D21" i="6"/>
  <c r="D22" i="6" s="1"/>
  <c r="C21" i="6"/>
  <c r="C22" i="6"/>
  <c r="R83" i="6"/>
  <c r="M85" i="2"/>
  <c r="I85" i="2"/>
  <c r="L84" i="2" s="1"/>
  <c r="E85" i="2"/>
  <c r="M79" i="2"/>
  <c r="P78" i="2" s="1"/>
  <c r="I79" i="2"/>
  <c r="L77" i="2" s="1"/>
  <c r="E79" i="2"/>
  <c r="H78" i="2" s="1"/>
  <c r="P77" i="2"/>
  <c r="P79" i="2" s="1"/>
  <c r="M75" i="2"/>
  <c r="I75" i="2"/>
  <c r="L74" i="2" s="1"/>
  <c r="E75" i="2"/>
  <c r="M68" i="2"/>
  <c r="P68" i="2" s="1"/>
  <c r="I68" i="2"/>
  <c r="L68" i="2" s="1"/>
  <c r="E68" i="2"/>
  <c r="H68" i="2" s="1"/>
  <c r="M65" i="2"/>
  <c r="P64" i="2" s="1"/>
  <c r="I65" i="2"/>
  <c r="E65" i="2"/>
  <c r="H64" i="2" s="1"/>
  <c r="G46" i="2"/>
  <c r="F46" i="2"/>
  <c r="E46" i="2"/>
  <c r="G40" i="2"/>
  <c r="F40" i="2"/>
  <c r="E40" i="2"/>
  <c r="G36" i="2"/>
  <c r="F36" i="2"/>
  <c r="E36" i="2"/>
  <c r="G29" i="2"/>
  <c r="F29" i="2"/>
  <c r="E29" i="2"/>
  <c r="G26" i="2"/>
  <c r="F26" i="2"/>
  <c r="E26" i="2"/>
  <c r="E30" i="2" s="1"/>
  <c r="N23" i="2"/>
  <c r="N27" i="2" s="1"/>
  <c r="M23" i="2"/>
  <c r="M27" i="2" s="1"/>
  <c r="L23" i="2"/>
  <c r="L27" i="2" s="1"/>
  <c r="H61" i="1"/>
  <c r="K58" i="1" s="1"/>
  <c r="D61" i="1"/>
  <c r="G58" i="1" s="1"/>
  <c r="S60" i="1"/>
  <c r="R60" i="1"/>
  <c r="K60" i="1"/>
  <c r="V59" i="1"/>
  <c r="T59" i="1"/>
  <c r="U59" i="1" s="1"/>
  <c r="K59" i="1"/>
  <c r="V58" i="1"/>
  <c r="T58" i="1"/>
  <c r="U58" i="1" s="1"/>
  <c r="V57" i="1"/>
  <c r="T57" i="1"/>
  <c r="U57" i="1" s="1"/>
  <c r="V53" i="1"/>
  <c r="T53" i="1"/>
  <c r="U53" i="1" s="1"/>
  <c r="H52" i="1"/>
  <c r="H55" i="1" s="1"/>
  <c r="D52" i="1"/>
  <c r="G50" i="1" s="1"/>
  <c r="S51" i="1"/>
  <c r="S54" i="1" s="1"/>
  <c r="R51" i="1"/>
  <c r="R54" i="1" s="1"/>
  <c r="R62" i="1" s="1"/>
  <c r="V50" i="1"/>
  <c r="T50" i="1"/>
  <c r="U50" i="1" s="1"/>
  <c r="V49" i="1"/>
  <c r="T49" i="1"/>
  <c r="U49" i="1" s="1"/>
  <c r="V48" i="1"/>
  <c r="T48" i="1"/>
  <c r="U48" i="1" s="1"/>
  <c r="H43" i="1"/>
  <c r="K42" i="1" s="1"/>
  <c r="D43" i="1"/>
  <c r="S42" i="1"/>
  <c r="R42" i="1"/>
  <c r="V42" i="1" s="1"/>
  <c r="V41" i="1"/>
  <c r="T41" i="1"/>
  <c r="U41" i="1" s="1"/>
  <c r="V40" i="1"/>
  <c r="T40" i="1"/>
  <c r="U40" i="1" s="1"/>
  <c r="H39" i="1"/>
  <c r="H44" i="1" s="1"/>
  <c r="D39" i="1"/>
  <c r="S38" i="1"/>
  <c r="R38" i="1"/>
  <c r="V38" i="1" s="1"/>
  <c r="V37" i="1"/>
  <c r="T37" i="1"/>
  <c r="U37" i="1" s="1"/>
  <c r="V36" i="1"/>
  <c r="T36" i="1"/>
  <c r="U36" i="1" s="1"/>
  <c r="V35" i="1"/>
  <c r="T35" i="1"/>
  <c r="U35" i="1" s="1"/>
  <c r="V34" i="1"/>
  <c r="T34" i="1"/>
  <c r="U34" i="1" s="1"/>
  <c r="R21" i="1"/>
  <c r="P21" i="1"/>
  <c r="Q21" i="1" s="1"/>
  <c r="F21" i="1"/>
  <c r="D21" i="1"/>
  <c r="O19" i="1"/>
  <c r="N19" i="1"/>
  <c r="E19" i="1"/>
  <c r="F19" i="1" s="1"/>
  <c r="C19" i="1"/>
  <c r="D19" i="1" s="1"/>
  <c r="R18" i="1"/>
  <c r="P18" i="1"/>
  <c r="Q18" i="1" s="1"/>
  <c r="F18" i="1"/>
  <c r="D18" i="1"/>
  <c r="R17" i="1"/>
  <c r="P17" i="1"/>
  <c r="Q17" i="1" s="1"/>
  <c r="F17" i="1"/>
  <c r="D17" i="1"/>
  <c r="R16" i="1"/>
  <c r="P16" i="1"/>
  <c r="Q16" i="1" s="1"/>
  <c r="F16" i="1"/>
  <c r="D16" i="1"/>
  <c r="O15" i="1"/>
  <c r="N15" i="1"/>
  <c r="N20" i="1" s="1"/>
  <c r="N22" i="1" s="1"/>
  <c r="E15" i="1"/>
  <c r="F15" i="1" s="1"/>
  <c r="C15" i="1"/>
  <c r="D15" i="1" s="1"/>
  <c r="R14" i="1"/>
  <c r="P14" i="1"/>
  <c r="Q14" i="1" s="1"/>
  <c r="F14" i="1"/>
  <c r="R13" i="1"/>
  <c r="P13" i="1"/>
  <c r="L100" i="6" l="1"/>
  <c r="N100" i="6" s="1"/>
  <c r="L92" i="6"/>
  <c r="N92" i="6" s="1"/>
  <c r="L96" i="6"/>
  <c r="N96" i="6" s="1"/>
  <c r="P92" i="6"/>
  <c r="R92" i="6" s="1"/>
  <c r="P96" i="6"/>
  <c r="R96" i="6" s="1"/>
  <c r="P100" i="6"/>
  <c r="R100" i="6" s="1"/>
  <c r="H77" i="2"/>
  <c r="P83" i="2"/>
  <c r="P84" i="2"/>
  <c r="P74" i="2"/>
  <c r="F30" i="2"/>
  <c r="G30" i="2"/>
  <c r="E41" i="2"/>
  <c r="E48" i="2" s="1"/>
  <c r="P63" i="2"/>
  <c r="L73" i="2"/>
  <c r="L75" i="2" s="1"/>
  <c r="H79" i="2"/>
  <c r="H62" i="2"/>
  <c r="M69" i="2"/>
  <c r="N63" i="2" s="1"/>
  <c r="F41" i="2"/>
  <c r="F48" i="2" s="1"/>
  <c r="P73" i="2"/>
  <c r="P75" i="2" s="1"/>
  <c r="M80" i="2"/>
  <c r="E69" i="2"/>
  <c r="H63" i="2"/>
  <c r="G41" i="2"/>
  <c r="G48" i="2" s="1"/>
  <c r="L83" i="2"/>
  <c r="L85" i="2" s="1"/>
  <c r="T42" i="1"/>
  <c r="U42" i="1" s="1"/>
  <c r="P19" i="1"/>
  <c r="Q19" i="1" s="1"/>
  <c r="T60" i="1"/>
  <c r="U60" i="1" s="1"/>
  <c r="R43" i="1"/>
  <c r="T38" i="1"/>
  <c r="U38" i="1" s="1"/>
  <c r="S43" i="1"/>
  <c r="K61" i="1"/>
  <c r="P15" i="1"/>
  <c r="Q15" i="1" s="1"/>
  <c r="G35" i="1"/>
  <c r="G37" i="1"/>
  <c r="T43" i="1"/>
  <c r="U43" i="1" s="1"/>
  <c r="D44" i="1"/>
  <c r="F43" i="1" s="1"/>
  <c r="G49" i="1"/>
  <c r="C20" i="1"/>
  <c r="C22" i="1" s="1"/>
  <c r="D22" i="1" s="1"/>
  <c r="G38" i="1"/>
  <c r="V60" i="1"/>
  <c r="O20" i="1"/>
  <c r="O22" i="1" s="1"/>
  <c r="R22" i="1" s="1"/>
  <c r="G42" i="1"/>
  <c r="G43" i="1" s="1"/>
  <c r="G36" i="1"/>
  <c r="K50" i="1"/>
  <c r="L30" i="2"/>
  <c r="M30" i="2"/>
  <c r="N30" i="2"/>
  <c r="H73" i="2"/>
  <c r="H83" i="2"/>
  <c r="M87" i="2"/>
  <c r="O80" i="2" s="1"/>
  <c r="L64" i="2"/>
  <c r="L78" i="2"/>
  <c r="L79" i="2" s="1"/>
  <c r="H74" i="2"/>
  <c r="H84" i="2"/>
  <c r="L62" i="2"/>
  <c r="P62" i="2"/>
  <c r="I69" i="2"/>
  <c r="I80" i="2"/>
  <c r="L63" i="2"/>
  <c r="E80" i="2"/>
  <c r="H63" i="1"/>
  <c r="J52" i="1" s="1"/>
  <c r="J55" i="1"/>
  <c r="I41" i="1"/>
  <c r="I36" i="1"/>
  <c r="I37" i="1"/>
  <c r="N23" i="1"/>
  <c r="N24" i="1" s="1"/>
  <c r="T54" i="1"/>
  <c r="U54" i="1" s="1"/>
  <c r="V54" i="1"/>
  <c r="S62" i="1"/>
  <c r="P22" i="1"/>
  <c r="Q22" i="1" s="1"/>
  <c r="O23" i="1"/>
  <c r="O24" i="1" s="1"/>
  <c r="J43" i="1"/>
  <c r="R15" i="1"/>
  <c r="K41" i="1"/>
  <c r="K43" i="1" s="1"/>
  <c r="D55" i="1"/>
  <c r="V51" i="1"/>
  <c r="R19" i="1"/>
  <c r="V43" i="1"/>
  <c r="K49" i="1"/>
  <c r="E20" i="1"/>
  <c r="K51" i="1"/>
  <c r="J39" i="1"/>
  <c r="J44" i="1" s="1"/>
  <c r="G60" i="1"/>
  <c r="G51" i="1"/>
  <c r="G59" i="1"/>
  <c r="G61" i="1" s="1"/>
  <c r="T51" i="1"/>
  <c r="U51" i="1" s="1"/>
  <c r="R20" i="1"/>
  <c r="P65" i="2" l="1"/>
  <c r="P85" i="2"/>
  <c r="N78" i="2"/>
  <c r="N73" i="2"/>
  <c r="H85" i="2"/>
  <c r="N67" i="2"/>
  <c r="O68" i="2" s="1"/>
  <c r="H75" i="2"/>
  <c r="H65" i="2"/>
  <c r="N64" i="2"/>
  <c r="O65" i="2" s="1"/>
  <c r="O69" i="2" s="1"/>
  <c r="F63" i="2"/>
  <c r="F64" i="2"/>
  <c r="F62" i="2"/>
  <c r="N62" i="2"/>
  <c r="N74" i="2"/>
  <c r="O79" i="2"/>
  <c r="F67" i="2"/>
  <c r="G68" i="2" s="1"/>
  <c r="P20" i="1"/>
  <c r="Q20" i="1" s="1"/>
  <c r="D20" i="1"/>
  <c r="C23" i="1"/>
  <c r="D23" i="1" s="1"/>
  <c r="E41" i="1"/>
  <c r="E36" i="1"/>
  <c r="E38" i="1"/>
  <c r="E37" i="1"/>
  <c r="E44" i="1"/>
  <c r="G39" i="1"/>
  <c r="F44" i="1"/>
  <c r="G52" i="1"/>
  <c r="E87" i="2"/>
  <c r="F77" i="2"/>
  <c r="F73" i="2"/>
  <c r="F74" i="2"/>
  <c r="F78" i="2"/>
  <c r="J63" i="2"/>
  <c r="J62" i="2"/>
  <c r="J67" i="2"/>
  <c r="K68" i="2" s="1"/>
  <c r="J64" i="2"/>
  <c r="L65" i="2"/>
  <c r="N31" i="2"/>
  <c r="N32" i="2" s="1"/>
  <c r="M31" i="2"/>
  <c r="M32" i="2" s="1"/>
  <c r="L31" i="2"/>
  <c r="L32" i="2" s="1"/>
  <c r="I87" i="2"/>
  <c r="K80" i="2" s="1"/>
  <c r="J74" i="2"/>
  <c r="J73" i="2"/>
  <c r="J77" i="2"/>
  <c r="J78" i="2"/>
  <c r="N83" i="2"/>
  <c r="N84" i="2"/>
  <c r="T62" i="1"/>
  <c r="U62" i="1" s="1"/>
  <c r="V62" i="1"/>
  <c r="K52" i="1"/>
  <c r="R23" i="1"/>
  <c r="P23" i="1"/>
  <c r="Q23" i="1" s="1"/>
  <c r="I44" i="1"/>
  <c r="D63" i="1"/>
  <c r="F55" i="1" s="1"/>
  <c r="I59" i="1"/>
  <c r="I49" i="1"/>
  <c r="I50" i="1"/>
  <c r="J61" i="1"/>
  <c r="J63" i="1" s="1"/>
  <c r="I51" i="1"/>
  <c r="F20" i="1"/>
  <c r="E22" i="1"/>
  <c r="R24" i="1"/>
  <c r="P24" i="1"/>
  <c r="Q24" i="1" s="1"/>
  <c r="K75" i="2" l="1"/>
  <c r="O75" i="2"/>
  <c r="O85" i="2"/>
  <c r="O87" i="2" s="1"/>
  <c r="G65" i="2"/>
  <c r="G69" i="2" s="1"/>
  <c r="K65" i="2"/>
  <c r="I63" i="1"/>
  <c r="C24" i="1"/>
  <c r="D24" i="1" s="1"/>
  <c r="F83" i="2"/>
  <c r="F84" i="2"/>
  <c r="J84" i="2"/>
  <c r="J83" i="2"/>
  <c r="K85" i="2" s="1"/>
  <c r="K87" i="2" s="1"/>
  <c r="K69" i="2"/>
  <c r="G80" i="2"/>
  <c r="K79" i="2"/>
  <c r="G75" i="2"/>
  <c r="G79" i="2"/>
  <c r="F22" i="1"/>
  <c r="E23" i="1"/>
  <c r="F23" i="1" s="1"/>
  <c r="E24" i="1"/>
  <c r="F24" i="1" s="1"/>
  <c r="E60" i="1"/>
  <c r="E49" i="1"/>
  <c r="E58" i="1"/>
  <c r="E50" i="1"/>
  <c r="E59" i="1"/>
  <c r="E54" i="1"/>
  <c r="E51" i="1"/>
  <c r="F52" i="1"/>
  <c r="F61" i="1"/>
  <c r="F63" i="1" s="1"/>
  <c r="E63" i="1" l="1"/>
  <c r="G85" i="2"/>
  <c r="G87" i="2"/>
</calcChain>
</file>

<file path=xl/sharedStrings.xml><?xml version="1.0" encoding="utf-8"?>
<sst xmlns="http://schemas.openxmlformats.org/spreadsheetml/2006/main" count="930" uniqueCount="360">
  <si>
    <t>ANALISIS VERTICAL Y HORIZONTAL</t>
  </si>
  <si>
    <t>Según la información de los Estados Financieros, realice los cálculos aplicando análisi vertical y horizontal, respectivamente:</t>
  </si>
  <si>
    <t>Análisis Vertical</t>
  </si>
  <si>
    <t>Análisis Horizontal</t>
  </si>
  <si>
    <t xml:space="preserve">Estado de Resultados El Inversionista S.A </t>
  </si>
  <si>
    <t>Del 1 enero al 31 de diciembre</t>
  </si>
  <si>
    <t>(En millones de colones)</t>
  </si>
  <si>
    <t>Variación</t>
  </si>
  <si>
    <t>Año 2023</t>
  </si>
  <si>
    <t>Año 2024</t>
  </si>
  <si>
    <t>AÑO 2023</t>
  </si>
  <si>
    <t>AÑO 2024</t>
  </si>
  <si>
    <t xml:space="preserve">Absoluta </t>
  </si>
  <si>
    <t>Porcentual</t>
  </si>
  <si>
    <t>Directo</t>
  </si>
  <si>
    <t>Ventas Netas</t>
  </si>
  <si>
    <t xml:space="preserve">Costo de Mercaderías Vendidas </t>
  </si>
  <si>
    <t>Utilidad Bruta</t>
  </si>
  <si>
    <t>Gastos de operación</t>
  </si>
  <si>
    <t>Gastos Administrativos y generales</t>
  </si>
  <si>
    <t>Gastos por depreciaciación</t>
  </si>
  <si>
    <t>Total gastos de operación</t>
  </si>
  <si>
    <t>Utilidad de Operación</t>
  </si>
  <si>
    <t>Gastos por intereses</t>
  </si>
  <si>
    <t>Utilidad antes de impuestos</t>
  </si>
  <si>
    <t>Impuestos 30%</t>
  </si>
  <si>
    <t>Impuestos 21.80%</t>
  </si>
  <si>
    <t>Utilidad después de impuestos</t>
  </si>
  <si>
    <t>Análisis vertical</t>
  </si>
  <si>
    <t xml:space="preserve">Balances Generales </t>
  </si>
  <si>
    <t xml:space="preserve">El Inversionista S.A </t>
  </si>
  <si>
    <t>Al 31 de diciembre</t>
  </si>
  <si>
    <t>Activos</t>
  </si>
  <si>
    <t xml:space="preserve">Activos Circulantes </t>
  </si>
  <si>
    <t>Efectivo</t>
  </si>
  <si>
    <t>Valores negociables</t>
  </si>
  <si>
    <t>Cuentas por cobrar</t>
  </si>
  <si>
    <t>Inventarios</t>
  </si>
  <si>
    <t>Total Activos circulantes</t>
  </si>
  <si>
    <t>Activos Fijos</t>
  </si>
  <si>
    <t>Activo fijos brutos</t>
  </si>
  <si>
    <t>Depreciación acumulada</t>
  </si>
  <si>
    <t>Total activos fijos</t>
  </si>
  <si>
    <t>Activo Total</t>
  </si>
  <si>
    <t>Pasivo y capital contable</t>
  </si>
  <si>
    <t>Pasivo</t>
  </si>
  <si>
    <t>Pasivo Circulante</t>
  </si>
  <si>
    <t>Cuentas por pagar</t>
  </si>
  <si>
    <t>Documento por pagar</t>
  </si>
  <si>
    <t>Otros pasivos circulantes</t>
  </si>
  <si>
    <t>Total pasivo circulante</t>
  </si>
  <si>
    <t>Pasivo a largo plazo</t>
  </si>
  <si>
    <t>Hipotecas a largo plazo</t>
  </si>
  <si>
    <t>Total pasivos</t>
  </si>
  <si>
    <t>Capital Contable</t>
  </si>
  <si>
    <t>Acciones comunes (100.000 acciones)</t>
  </si>
  <si>
    <t>Capital pagado en exceso de valor nominal</t>
  </si>
  <si>
    <t>Utilidades retenidas</t>
  </si>
  <si>
    <t>Total capital contable</t>
  </si>
  <si>
    <t>Total pasivos y capital contable</t>
  </si>
  <si>
    <t>Usted labora en el departemento de análisis de crédito del Banco Su buen Amigo S.A., como función principal es deber otorgar los criterios y análisis financieros de las diferentes compañías que solicitan crédito, a continuación, se presentan tres empresas para la solicitud de crédito con los estados financieros al 31 de diciembre 2023.</t>
  </si>
  <si>
    <t>a.</t>
  </si>
  <si>
    <t>En el caso de compañía A su solicitud de préstamo es por ¢200.0 millones para la expansión geográfica de sus actividades, el préstamo sería a 5 años plazo, y sus ventas se incrementan un 10%, la vida útil del nuevo edificio y los equipos en promedio sería a 10 años</t>
  </si>
  <si>
    <t>b.</t>
  </si>
  <si>
    <t>En el caso de compañía B su solicitud de préstamo es por ¢350.0 millones para la expansión de nuevos productos, el préstamo sería a 4 años plazo, y sus ventas se incrementan un 11%, la vida útil del nuevo equipo de producción sería a 6 años</t>
  </si>
  <si>
    <t>c.</t>
  </si>
  <si>
    <t>En el caso de compañía C su solicitud de préstamo es por ¢125.0 millones para capital de trabajo de corto plazo a utilizar en la operativa normal de la compañía, el préstamo sería a 1 años plazo, y sus ventas se incrementan un 10%, estos recursos se utilizarán para la compra de materia prima.</t>
  </si>
  <si>
    <t xml:space="preserve">Balance General </t>
  </si>
  <si>
    <t>Estado de Resultados</t>
  </si>
  <si>
    <t>(En millones de colones</t>
  </si>
  <si>
    <t>Rubros</t>
  </si>
  <si>
    <t>Empresa A</t>
  </si>
  <si>
    <t>Empresa B</t>
  </si>
  <si>
    <t>Empresa C</t>
  </si>
  <si>
    <t>ACTIVO</t>
  </si>
  <si>
    <t xml:space="preserve">Activos Corrientes </t>
  </si>
  <si>
    <t>Bancos</t>
  </si>
  <si>
    <t>Margen Bruto</t>
  </si>
  <si>
    <t>Gasto de Administración</t>
  </si>
  <si>
    <t>Gasto de Fabricación (compras)</t>
  </si>
  <si>
    <t>Total Activos corrientes</t>
  </si>
  <si>
    <t>Gasto de comercialización</t>
  </si>
  <si>
    <t>Utilidades antes de intereses e impuestos</t>
  </si>
  <si>
    <t>Bienes de Uso (neto de amortizaciones)</t>
  </si>
  <si>
    <t>Gastos Financieros</t>
  </si>
  <si>
    <t>Impuestos renta (30%)</t>
  </si>
  <si>
    <t>PASIVO</t>
  </si>
  <si>
    <t>Utilidad Neta</t>
  </si>
  <si>
    <t>Pasivo Corriente</t>
  </si>
  <si>
    <t>Cuentas y Documentos por pagar</t>
  </si>
  <si>
    <t>Impuestos Fiscales</t>
  </si>
  <si>
    <t>Total Pasivo Corriente</t>
  </si>
  <si>
    <t>Pasivo no corriente</t>
  </si>
  <si>
    <t>Deuda por pagar L.P</t>
  </si>
  <si>
    <t>Préstamo bancario L.P</t>
  </si>
  <si>
    <t>Total Pasivo Largo Plazo</t>
  </si>
  <si>
    <t>Total del Pasivo</t>
  </si>
  <si>
    <t>PATRIMONIO NETO</t>
  </si>
  <si>
    <t>Capital social</t>
  </si>
  <si>
    <t>Utilidades Acumuladas</t>
  </si>
  <si>
    <t>Total Patrimonio Neto</t>
  </si>
  <si>
    <t>Total del Pasivo más Patrimonio Neto</t>
  </si>
  <si>
    <t>Realice un análisis financiero basado en el análisis vertical de cada una de las compañías, estableciendo cuales fortalezas y debilidades financieras que muestra cada de las compañías</t>
  </si>
  <si>
    <t>Ventas</t>
  </si>
  <si>
    <t>Utilidad neta</t>
  </si>
  <si>
    <t>Flujo de efectivo versus ingreso contable</t>
  </si>
  <si>
    <t>Cálculo del enfoque contable y financiero</t>
  </si>
  <si>
    <t> </t>
  </si>
  <si>
    <t>CASO 1</t>
  </si>
  <si>
    <t>CASO 2</t>
  </si>
  <si>
    <t xml:space="preserve">Inversiones Costa Rica al cierre de año vendió un total 100 automóviles, por un valor total de $3,000,000, monto por cobrar a los clientes. Considerar que la empresa pagó al proveedor de los vehículos el importe del costo que fueron $2,200,000. </t>
  </si>
  <si>
    <t>Inversiones Costa Rica al cierre de año vendió un total 100 automóviles, por un valor total de $3,000,000. Las ventas fueron un 40% de contado y un 60% de crédito. Considerar que la empresa pagó al proveedor de los vehículos el importe del costo que fueron $2,200,000.</t>
  </si>
  <si>
    <t xml:space="preserve">1. Determine el Enfoque Contable y el Enfoque Financiero </t>
  </si>
  <si>
    <t>Enfoque contable (Base de acumulación)</t>
  </si>
  <si>
    <t>Estado de resutaldos de Inversiones Costa Rica correspondiente al año que termina el 31 de diciembre 2024</t>
  </si>
  <si>
    <t>Ingreso de ventas</t>
  </si>
  <si>
    <t>menos:</t>
  </si>
  <si>
    <t>Costos</t>
  </si>
  <si>
    <t>Enfoque financiero (base de efectivo)</t>
  </si>
  <si>
    <t>Entradas de efectivo</t>
  </si>
  <si>
    <t>salida de efectivo</t>
  </si>
  <si>
    <t>Flujo de efectivo neto:</t>
  </si>
  <si>
    <t>Contado 40%</t>
  </si>
  <si>
    <t xml:space="preserve">2. Interprete los resultados </t>
  </si>
  <si>
    <t>Crédito 60%</t>
  </si>
  <si>
    <t xml:space="preserve">En sentido contable Inversiones Costa Rica es rentable, pero en términos de flujo de efectivo real es un fracaso financiero. Su falta de flujo de efectivo se debió a la cuenta por cobrar pendiente de $3.000.000. Sin las entradas de efectivo adecuadas para cubrir sus obligaciones, la empresa no sobrevivirá, sin importar su nivel de utilidades. </t>
  </si>
  <si>
    <t>En sentido contable Inversiones Costa Rica es rentable, pero en términos de flujo de efectivo real es un fracaso financiero. Su falta de flujo de efectivo se debió a la cuenta por cobrar pendiente de $2,100.000. Sin las entradas de efectivo adecuadas para cubrir sus obligaciones, la empresa no sobrevivirá, sin importar su nivel de utilidades. A parte de que al proveedor se le cancela la totalidad del costo</t>
  </si>
  <si>
    <t>CASO 3</t>
  </si>
  <si>
    <t>Inversiones Costa Rica al cierre de año vendió un total 100 automóviles, por un valor total de $3,000,000. Las ventas fueron un 50% de contado y un 50% de crédito. Considerar que la empresa pagó al proveedor de los vehículos el importe del costo que fueron $2,200,000. 25% de contado y un 75% crédito</t>
  </si>
  <si>
    <t>Contado 50%</t>
  </si>
  <si>
    <t>Crédito 50%</t>
  </si>
  <si>
    <t>Compras (proveedor)</t>
  </si>
  <si>
    <t>Contado 25%</t>
  </si>
  <si>
    <t>Crédito 75%</t>
  </si>
  <si>
    <t>En sentido contable Inversiones Costa Rica es rentable,  en términos de flujo de efectivo real es un éxito financiero, porque es estratega cuando negocia con proveedores, las condiciones de crédito, ya que eso le permite tener flujo de efectivo disponible-</t>
  </si>
  <si>
    <t>APLICAR  ANÁLISIS VERTICAL PARA 3 EMPRESAS</t>
  </si>
  <si>
    <t>FLUJOS DE EFECTIVO: Entrada y Salidas</t>
  </si>
  <si>
    <t>Según la información estudiada de flujos de efectivo, determinar entradas y salidas de efectivo:</t>
  </si>
  <si>
    <t>NOTA: acá van hacer cuatro ejercicios, los dos primeros son didácticos, el último es un ejercicio personal que ustedes harán de sus finanzas personales, esto no me lo comparten porque es privado, pero es para que pongan en práctica la teoría, les ayudará muchísimo en determinar a dónde está la mayor parte de sus salidas, y van analizar sus propios resultados</t>
  </si>
  <si>
    <t>Ejercicio 1/ Escenario 1</t>
  </si>
  <si>
    <t>Ejercicio 2/ Escenario 2</t>
  </si>
  <si>
    <t>Ejercicio 3/ Escenario 3</t>
  </si>
  <si>
    <t xml:space="preserve">Ejercicio 4/ SU FLUJO DE EFECTIVO PERSONAL </t>
  </si>
  <si>
    <r>
      <t xml:space="preserve">Pedro Dollar, una persona asalariada, necesita de </t>
    </r>
    <r>
      <rPr>
        <b/>
        <sz val="12"/>
        <color rgb="FF22190A"/>
        <rFont val="Arial"/>
        <family val="2"/>
      </rPr>
      <t>usted como asesor financiero</t>
    </r>
    <r>
      <rPr>
        <sz val="12"/>
        <color rgb="FF22190A"/>
        <rFont val="Arial"/>
        <family val="2"/>
      </rPr>
      <t>, para que le evalue sus finanzas, y a partir de los resultados de las finanzas personales de él, usted le recomendará la mejor decisión que debe tomar. Parte de las opciones financieras son:  el banco otorga créditos con un interés de 5%, también inversiones a corto plazo con tasas de 4%. No basta solo con esas recomendaciones, hay muchas más, y se espera que usted le brinde la información más razonable posible. Los flujos de efectivo de Pedro durante Setiembre fueron los siguientes</t>
    </r>
  </si>
  <si>
    <t xml:space="preserve">En el siguiente mes Pedro Dollar, tiene el siguiente flujo de efectivo, basada en la información, proceda a realizar los cálculos y la recomendación </t>
  </si>
  <si>
    <r>
      <t xml:space="preserve">En el siguiente mes Pedro Dollar, tiene una estimación </t>
    </r>
    <r>
      <rPr>
        <b/>
        <sz val="12"/>
        <color rgb="FF22190A"/>
        <rFont val="Arial"/>
        <family val="2"/>
      </rPr>
      <t xml:space="preserve"> de flujo de efectivo</t>
    </r>
    <r>
      <rPr>
        <sz val="12"/>
        <color rgb="FF22190A"/>
        <rFont val="Arial"/>
        <family val="2"/>
      </rPr>
      <t>, basada en la información, proceda a realizar los cálculos y la recomendación:</t>
    </r>
  </si>
  <si>
    <t>Este es ejercicio lo van hacer para sus finanzas personales, para que vean en qué se les está yendo el flujo de efectivo y sino están quedando de números negativos</t>
  </si>
  <si>
    <t>Flujo de efectivo de Setiembre 2023</t>
  </si>
  <si>
    <t>Flujo de efectivo de Octubre 2023</t>
  </si>
  <si>
    <t>Flujo de efectivo proyectdo de Noviembre 2023</t>
  </si>
  <si>
    <t>Flujo de efectivo de (mes)</t>
  </si>
  <si>
    <t>Rubro</t>
  </si>
  <si>
    <t>Entrada de efectiva</t>
  </si>
  <si>
    <t>Salida de efectivo</t>
  </si>
  <si>
    <t>Viajes</t>
  </si>
  <si>
    <t>Intereses recibidos</t>
  </si>
  <si>
    <t>Servicios profesionales</t>
  </si>
  <si>
    <t>Comida fuera de casa</t>
  </si>
  <si>
    <t>Diario hogar</t>
  </si>
  <si>
    <t>Salario</t>
  </si>
  <si>
    <t>Pago del automóvil</t>
  </si>
  <si>
    <t>Servicios</t>
  </si>
  <si>
    <t>Hipoteca</t>
  </si>
  <si>
    <t xml:space="preserve">Gasolina </t>
  </si>
  <si>
    <t>1. Determine el total de entradas y salidas de efectivo de Pedro</t>
  </si>
  <si>
    <t>1. Determine el total de entradas y salidas de efectivo de usted</t>
  </si>
  <si>
    <r>
      <t xml:space="preserve">2. Determine el </t>
    </r>
    <r>
      <rPr>
        <b/>
        <i/>
        <sz val="12"/>
        <color rgb="FF22190A"/>
        <rFont val="Arial"/>
        <family val="2"/>
      </rPr>
      <t xml:space="preserve">flujo neto de efectivo </t>
    </r>
    <r>
      <rPr>
        <b/>
        <sz val="12"/>
        <color rgb="FF22190A"/>
        <rFont val="Arial"/>
        <family val="2"/>
      </rPr>
      <t>para el mes</t>
    </r>
  </si>
  <si>
    <t>Total Entradas</t>
  </si>
  <si>
    <t>3. Si hubiera un excedente o faltante, ¿cuál sería una estrategia prudente a poner en práctica?</t>
  </si>
  <si>
    <t>Salidas de efectivo</t>
  </si>
  <si>
    <t>Total Salidas</t>
  </si>
  <si>
    <r>
      <t xml:space="preserve">2. Determine el </t>
    </r>
    <r>
      <rPr>
        <b/>
        <i/>
        <sz val="12"/>
        <color rgb="FF22190A"/>
        <rFont val="Arial"/>
        <family val="2"/>
      </rPr>
      <t xml:space="preserve">flujo neto de efectivo </t>
    </r>
    <r>
      <rPr>
        <b/>
        <sz val="12"/>
        <color rgb="FF22190A"/>
        <rFont val="Arial"/>
        <family val="2"/>
      </rPr>
      <t>para el mes de Setiembre</t>
    </r>
  </si>
  <si>
    <r>
      <t xml:space="preserve">2. Determine el </t>
    </r>
    <r>
      <rPr>
        <b/>
        <i/>
        <sz val="12"/>
        <color rgb="FF22190A"/>
        <rFont val="Arial"/>
        <family val="2"/>
      </rPr>
      <t xml:space="preserve">flujo neto de efectivo </t>
    </r>
    <r>
      <rPr>
        <b/>
        <sz val="12"/>
        <color rgb="FF22190A"/>
        <rFont val="Arial"/>
        <family val="2"/>
      </rPr>
      <t>para el mes de Octubre</t>
    </r>
  </si>
  <si>
    <r>
      <t xml:space="preserve">2. Determine el </t>
    </r>
    <r>
      <rPr>
        <b/>
        <i/>
        <sz val="12"/>
        <color rgb="FF22190A"/>
        <rFont val="Arial"/>
        <family val="2"/>
      </rPr>
      <t xml:space="preserve">flujo neto de efectivo </t>
    </r>
    <r>
      <rPr>
        <b/>
        <sz val="12"/>
        <color rgb="FF22190A"/>
        <rFont val="Arial"/>
        <family val="2"/>
      </rPr>
      <t>para el mes de Noviembre</t>
    </r>
  </si>
  <si>
    <t>Flujo neto</t>
  </si>
  <si>
    <t>Cómo hay un excedente de $350.recomendaciones:</t>
  </si>
  <si>
    <t>Pedro, tiene un faltante de $400, se puede observar que el gasto mayor es en viajes.</t>
  </si>
  <si>
    <t>En este caso, Pedro está en su punto de equilibrio, no tiene excendente y faltante.</t>
  </si>
  <si>
    <t>1. Realizar una inversión, un CDLP, un ahorro automático</t>
  </si>
  <si>
    <t>Se recomienda:</t>
  </si>
  <si>
    <t>Sus entradas son iguales a sus salidas de efectivo. Por lo tante su flujo neto es de Cero</t>
  </si>
  <si>
    <t xml:space="preserve">2. Amortirzarle a la deuda sea de la hipoteca o vehículo </t>
  </si>
  <si>
    <t>1. Adquirir un crédito de corto plazo para cubrir ese faltante</t>
  </si>
  <si>
    <t xml:space="preserve">2. Dismunuir sus gastos no escenciales, que son mayores a los que sí lo son </t>
  </si>
  <si>
    <t>4. ¿Qué tiene de diferente este último flujo para que le dé el resultado que tiene en el flujo neto de efectivo? Es decir ¿qué es lo que hizo Pedro?</t>
  </si>
  <si>
    <t xml:space="preserve">Dismunuyó dos gastos que no son escenciales, los viajes y la comida fuera de casa </t>
  </si>
  <si>
    <t>Fortalezas financieras</t>
  </si>
  <si>
    <t>Debilidades Financieras</t>
  </si>
  <si>
    <t>La empresa A tiene el mayor porcentaje de la cuenta Bancos con una porción de un 9,52% con respecto al Activo Total</t>
  </si>
  <si>
    <t>Los activos fijos representan el porcentaje menor en comparación de las otras dos empresas, es decir un 33,33%  del total activo</t>
  </si>
  <si>
    <t>1. Prepare todo un informe financiero sobre los resultados deL análisis  horizontal, debe poner 3 puntos de análisis en cada Estado Financiero</t>
  </si>
  <si>
    <t>Interpretación Analisis Horizontal de Balances Generales:</t>
  </si>
  <si>
    <t>Interpretación Analisis Horizontal de Estados de Resultados:</t>
  </si>
  <si>
    <t>Interpretación Analisis Vertical de Balances Generales:</t>
  </si>
  <si>
    <t>Interpretación Analisis Vertical de Estados de Resultados:</t>
  </si>
  <si>
    <t>1. Prepare todo un informe financiero sobre los resultados deL análisis  vertical, debe poner 3 puntos de análisis en cada Estado Financiero.</t>
  </si>
  <si>
    <t>APLICAR RAZONES FINANCIERAS</t>
  </si>
  <si>
    <t xml:space="preserve">Estado de Resultados Inversiones CR S.A </t>
  </si>
  <si>
    <t>Inversiones CR S.A</t>
  </si>
  <si>
    <t>AÑO 2022</t>
  </si>
  <si>
    <t>Activo fijos Neto</t>
  </si>
  <si>
    <t>Total pasivo a Largo plazo</t>
  </si>
  <si>
    <t>RAZONES FINANCIERAS</t>
  </si>
  <si>
    <t>INDICE O RAZÓN</t>
  </si>
  <si>
    <t>Año 2022</t>
  </si>
  <si>
    <t>Promedio Industria 2022</t>
  </si>
  <si>
    <t>Promedio Industria 2023</t>
  </si>
  <si>
    <t>Actividad (activos)</t>
  </si>
  <si>
    <t xml:space="preserve">Razon circulante </t>
  </si>
  <si>
    <r>
      <t xml:space="preserve">Muestra la capacidad de una empresa para cubrir sus pasivos </t>
    </r>
    <r>
      <rPr>
        <b/>
        <sz val="11"/>
        <color theme="1"/>
        <rFont val="Arial Nova"/>
        <family val="2"/>
      </rPr>
      <t>corrientes (circulantes)</t>
    </r>
    <r>
      <rPr>
        <sz val="11"/>
        <color theme="1"/>
        <rFont val="Arial Nova"/>
        <family val="2"/>
      </rPr>
      <t xml:space="preserve"> con sus activos </t>
    </r>
    <r>
      <rPr>
        <b/>
        <sz val="11"/>
        <color theme="1"/>
        <rFont val="Arial Nova"/>
        <family val="2"/>
      </rPr>
      <t>circulantes (corrientes)</t>
    </r>
  </si>
  <si>
    <t>Activos circulantes</t>
  </si>
  <si>
    <t>Veces</t>
  </si>
  <si>
    <t>=</t>
  </si>
  <si>
    <t xml:space="preserve">Pasivos corrientes </t>
  </si>
  <si>
    <t xml:space="preserve">Razon prueba de ácido </t>
  </si>
  <si>
    <t>Permite conocer la capacidad de una empresa para cubrir sus pasivos corrientes (circulantes) con sus activos circulantes mas líquidos.</t>
  </si>
  <si>
    <t>Activos circulantes-Inventarios</t>
  </si>
  <si>
    <t>Razon rotación de inventarios</t>
  </si>
  <si>
    <t>Costo de la mercadería vendida</t>
  </si>
  <si>
    <t>Mide la liquidez de los inventarios de una empresa</t>
  </si>
  <si>
    <t>Inventario</t>
  </si>
  <si>
    <t>Razon periodo promedio de cobro</t>
  </si>
  <si>
    <t>días</t>
  </si>
  <si>
    <t>Mide el tiempo en que tarda una empresa para recuperar sus ventas a crédito</t>
  </si>
  <si>
    <t>Ventas anuales a crédito /365</t>
  </si>
  <si>
    <t>Razon periodo promedio de pago</t>
  </si>
  <si>
    <t>Mide el tiempo en que tarda una empresa para pagar sus compras a crédito</t>
  </si>
  <si>
    <t>Rotación activos total</t>
  </si>
  <si>
    <t>Mide la eficiencia con que una empresa puede emplear todos sus activos para generar ventas</t>
  </si>
  <si>
    <t>Activos totales</t>
  </si>
  <si>
    <t>Apalancamiento (endeudamiento)</t>
  </si>
  <si>
    <t>Razon endeudamiento</t>
  </si>
  <si>
    <t xml:space="preserve">Mide la proporción de una empresa en la cual utiliza deudas (pasivos) para financiar sus activos </t>
  </si>
  <si>
    <t>Pasivos totales</t>
  </si>
  <si>
    <t>%</t>
  </si>
  <si>
    <t>Rentabilidad</t>
  </si>
  <si>
    <t>Margen de utilidad bruta (UTILIDAD ANTES DE IMPUESTOS E INTERESES)</t>
  </si>
  <si>
    <t>Utilidad bruta</t>
  </si>
  <si>
    <t>Indica el porcentaje de utilidad bruta que estan generando las ventas de una empresa</t>
  </si>
  <si>
    <t>Margen de utilidad neta</t>
  </si>
  <si>
    <t>Indica el porcentaje de utilidad neta que estan generando las ventas de una empresa</t>
  </si>
  <si>
    <t xml:space="preserve">Rentabilidad sobre activos </t>
  </si>
  <si>
    <t>Mide la eficiencia total de la administración en obtener utilidades a partir de los activos disponibles de una empresa</t>
  </si>
  <si>
    <t>Activo total</t>
  </si>
  <si>
    <t xml:space="preserve">Rentabilidad sobre patrimonio </t>
  </si>
  <si>
    <t>Mide el rendimiento de la inversión de los propietarioas (dueños) Accionistas de la empresa (comunes o preferentes)</t>
  </si>
  <si>
    <t>Patrimonio Total</t>
  </si>
  <si>
    <t>1. La cuenta de Inventario representa un 27,38% del total de activos en el año 2023</t>
  </si>
  <si>
    <r>
      <t xml:space="preserve">2. La cuenta menos representantiva de los </t>
    </r>
    <r>
      <rPr>
        <b/>
        <sz val="11"/>
        <color theme="1"/>
        <rFont val="Arial Nova"/>
        <family val="2"/>
      </rPr>
      <t>activos circulantes</t>
    </r>
    <r>
      <rPr>
        <sz val="11"/>
        <color theme="1"/>
        <rFont val="Arial Nova"/>
        <family val="2"/>
      </rPr>
      <t xml:space="preserve"> para el año 2023 es el efectivo con 11,11%</t>
    </r>
  </si>
  <si>
    <r>
      <t xml:space="preserve">3. El </t>
    </r>
    <r>
      <rPr>
        <b/>
        <sz val="11"/>
        <color theme="1"/>
        <rFont val="Arial Nova"/>
        <family val="2"/>
      </rPr>
      <t>total pasivo circulantes</t>
    </r>
    <r>
      <rPr>
        <sz val="11"/>
        <color theme="1"/>
        <rFont val="Arial Nova"/>
        <family val="2"/>
      </rPr>
      <t xml:space="preserve"> representa un 65,36% del </t>
    </r>
    <r>
      <rPr>
        <b/>
        <sz val="11"/>
        <color theme="1"/>
        <rFont val="Arial Nova"/>
        <family val="2"/>
      </rPr>
      <t>TOTAL PASIVO Y CAPITAL CONTABLE</t>
    </r>
    <r>
      <rPr>
        <sz val="11"/>
        <color theme="1"/>
        <rFont val="Arial Nova"/>
        <family val="2"/>
      </rPr>
      <t xml:space="preserve"> en el año 2023, en el caso del 2024 represnta un 63,10%</t>
    </r>
  </si>
  <si>
    <t>1. El costo de mercadería vendida, disminuyó un 0,24%, es decir para el año 2023 el monto era de 2,050 y el año 2024 pasó a 2,400</t>
  </si>
  <si>
    <t>2. El total gastos de operación para el año 2023 era un 17,33% pasó en el año 2024 a un 16%, lo cual es una disminución de un 1,56%</t>
  </si>
  <si>
    <t>3. La utilidad neta  pasó de 266 (2023) a 351 (224), representando un aumento de un 1,15%</t>
  </si>
  <si>
    <t>1. Hay un incrementeo de la cuenta de Efectivo de un 18%, en el año 2023 el monto cerró en 85 y el año 2024 con 100</t>
  </si>
  <si>
    <t>2. Se da una variación absoluto de 50 en cuentas por pagar, lo que significó un aumentó del 25% de un año a otro, es decir 2023 la cuenta es por ¢200 y 2024 ¢250</t>
  </si>
  <si>
    <t>3. En cuanto a las utilidades retenedias se da un aumento del 33% del año 2023 al año 2024</t>
  </si>
  <si>
    <t>1. El costo de mercadería vendida, muestra un aumento de un 17,07%, es decir para el año 2023 el monto era de 2050 y el año 2024 pasó a 2400</t>
  </si>
  <si>
    <t>2. La ventas totales se presenta un aumento de 500 millones, ya que el año 2023 las ventas son 3,000 y el año 2024 3,500</t>
  </si>
  <si>
    <t>3. La utilidad neta  pasó de 266 (2023) a 351 (224), representando un aumento de un 31,84%</t>
  </si>
  <si>
    <t>La empresa B con un 41,18% tiene la mayor porción de bienes en uso que la empresa A que tiene 33,33%</t>
  </si>
  <si>
    <t>La empresa B con un 41,18% tiene la MENOR porción de bienes en uso que la empresa C que tiene 46,67%</t>
  </si>
  <si>
    <t xml:space="preserve">La empresa C tiene la mayor porción de cuentas por pagar con un 28,57% del TOTAL PASIVO Y TOTAL PATRIMONIO </t>
  </si>
  <si>
    <t>La empresa C tiene la mayor porción de Utilidades Acumuladas un 37,50% del TOTAL PATRIMONIO NETO</t>
  </si>
  <si>
    <t>1. La razón de su activo circulante es más alta</t>
  </si>
  <si>
    <t>1.La Razon periodo promedio de cobro es la más alta, es decir recupera en 60 días</t>
  </si>
  <si>
    <t>1. La rotación de inventarios es mayor a la empresa A</t>
  </si>
  <si>
    <t>1. El periodo de cobros es de 42 días en comparación con la empresa C que es menor</t>
  </si>
  <si>
    <t>1. Tiene el periodo de recuperaicón más bajo que las otras empresas, es de 36 días</t>
  </si>
  <si>
    <t>1. La Razon prueba de ácido es la menor  que la A, la empresa B tiene con 1,43 veces</t>
  </si>
  <si>
    <t xml:space="preserve">Prepare el informe de análisis financiero de cada una de las empresas. </t>
  </si>
  <si>
    <t>Usted es el analista de crédito del Banco El Quebrao S.A y le presentan las siguientes razones financieras de la compañía Tvfeo con el objeto de que dicha compañía dese solicitar un crédito para ampliar su planta de producción de equipo eléctrico por la suma de ¢100.0 millones, la producción podría incrementarse en un 25%, el precio de venta se mantendrá y los costos de producción pueden disminuir un 4%.</t>
  </si>
  <si>
    <t>Razón Financiera</t>
  </si>
  <si>
    <t>Promedio de la industria año 2022</t>
  </si>
  <si>
    <t>Promedio de la industria año 2023</t>
  </si>
  <si>
    <t>Razón circulante</t>
  </si>
  <si>
    <t>1.30 veces</t>
  </si>
  <si>
    <t>1.15 veces</t>
  </si>
  <si>
    <t>1.95 veces</t>
  </si>
  <si>
    <t>2.05 veces</t>
  </si>
  <si>
    <t>Razón de endeudamiento</t>
  </si>
  <si>
    <t>Periodo promedio de cobro</t>
  </si>
  <si>
    <t xml:space="preserve">45 días </t>
  </si>
  <si>
    <t>40 días</t>
  </si>
  <si>
    <t>30 días</t>
  </si>
  <si>
    <t>Razón de apalancamiento</t>
  </si>
  <si>
    <t>Rotación de activos fijos</t>
  </si>
  <si>
    <t>2.25 veces</t>
  </si>
  <si>
    <t>2.35 veces</t>
  </si>
  <si>
    <t>2.50 veces</t>
  </si>
  <si>
    <t>2.75 veces</t>
  </si>
  <si>
    <t>Rentabilidad sobre patrimonio</t>
  </si>
  <si>
    <t>Prueba de ácido</t>
  </si>
  <si>
    <t>0.70 veces</t>
  </si>
  <si>
    <t>0.65 veces</t>
  </si>
  <si>
    <t>0.85 veces</t>
  </si>
  <si>
    <t>0.95 veces</t>
  </si>
  <si>
    <t>Rotación de inventarios</t>
  </si>
  <si>
    <t>3.2 veces</t>
  </si>
  <si>
    <t>3.6 veces</t>
  </si>
  <si>
    <t>5 veces</t>
  </si>
  <si>
    <t>7 veces</t>
  </si>
  <si>
    <t>Margen de utilidad bruta</t>
  </si>
  <si>
    <t>Rotación de activo total</t>
  </si>
  <si>
    <t>1.75 veces</t>
  </si>
  <si>
    <t>1.90 veces</t>
  </si>
  <si>
    <t>Rentabilidad sobre activos</t>
  </si>
  <si>
    <t>*</t>
  </si>
  <si>
    <t>Prepare un informe de las fortalezas y debilidades de la compañía Tcfeo, en función de las razones financieras y el promedio de la industria</t>
  </si>
  <si>
    <t>Fortalezas</t>
  </si>
  <si>
    <t>Debilidades</t>
  </si>
  <si>
    <t>La razón circulante disminuyó en el año 2023, paso de 1,30 vece (2022) a 1,15 veces (2023)/ En ninguno de los dos años llegó al promedio de la industria.</t>
  </si>
  <si>
    <t>Hubo una disminución del porcentaje de deuda, paso de un 58% en el año 2022 a un 52% en el 2023/ Otra fortaleza en el año 2023 el porcentaje de deuda era de un 52% y la industria era de un 53%, es decir, no tenía tanto porcentaje de deuda como las industrias en el mercado</t>
  </si>
  <si>
    <t>En el año 2022 la razón de deuda era de un 58% no llega al promedio de industria de un 50%</t>
  </si>
  <si>
    <t>El margen de utilidad disminuyó, el año 2022 era de un 10% y pasó al año 2023 a un 8%, lo que también indica que no alcanzó el promedio de la industria, siendo de un 12% y un 14% respectivamente</t>
  </si>
  <si>
    <t>Mejoró mínimo el periodo de cobro, de pasar de 45 días en el 2022 a 40 días para el año 2023</t>
  </si>
  <si>
    <t>El periodo de recuperación de ambos periodos, aún no alcanzado la industria, que es de 30 días</t>
  </si>
  <si>
    <t>Mejoró considerablemente, ya que para el año 2022 era de un 63.35% y disminuyó a 53.45% en el año 2023</t>
  </si>
  <si>
    <t>Para la industria este índice es alto, ya que la empresa tiene un 63.35% y un 53.45% respectivamente, y la industria para el año 2022 fue de un 50% y para el año 2023 un 45%.</t>
  </si>
  <si>
    <t>Aumento la rotación de activos fijos, 2023 de 2.25 veces a un 2.35 veces en el 2023</t>
  </si>
  <si>
    <t>La rotación de activos fijos no llega a los índice de la industria , que sería 2.50 veces en el 2022 y 2.75 veces en el 2023</t>
  </si>
  <si>
    <t>Se dio un pequeño aumento, de un 2%, es decir el año 2022 fue un 9% y el año 2023 11%.</t>
  </si>
  <si>
    <t>No alcanzó los índice esperado según la industria, es decir un 15% para el 2022 y 18% para el 2023, ya que la empresa tubvo un 9% y un 11% respectivamente.</t>
  </si>
  <si>
    <t>La empresa disminuyó de un año a otro la capacidad de cubrir sus pasivos corrientes con sus activos corrientes, en el año 2022 era de un 0.70 veces no llegando a la industria que era de 0.85 veces, a pasar en el año 2023 0.65 veces, versus la industria de esa año 0.95 veces</t>
  </si>
  <si>
    <t>Hubo un aumento en la rotación del inventario, en el año 2022 estaba en 3.2 veces y 3.6 veces en 2023</t>
  </si>
  <si>
    <t>Los resultados de este índice no llegan a los promedios esperados de la industria, ya que fueron de 5 veces en el 2022 y 7 veces 2023, lo cual la empresa apenas llegó a 3.2 veces en el año 2022 y 3.6 veces en 2023.</t>
  </si>
  <si>
    <t>Se dio un aumento de 2%, cuando la empresa cerró en 2022 41% en el siguiente año aumentó a un 43%</t>
  </si>
  <si>
    <t>Los resultados de la empresa que fueron 41% del 2022 y 43% del 2023, no fueron suficiente para llegar al promedio de la industria del 50%</t>
  </si>
  <si>
    <t>Este índice presentó una ligera mejora, el año 2022 1.75 veces a 1.90 veces para el año 2023</t>
  </si>
  <si>
    <t>El resultado de la rotación del activo total de la empresa, no llegan a los resultados de la industria, que eran de 2.25 veces en cada año</t>
  </si>
  <si>
    <t>Se dio un ligero aumento en este índice pasando de 3% a un 3.10%</t>
  </si>
  <si>
    <t>Para la industria el índice no es sufiente, ya que el margen es de un 4% y 5% para la rentabilidad de activas, lo cual la empresa no llega.</t>
  </si>
  <si>
    <t>Emita su recomendación con relación a otorgar el crédito sí o no a la compañía Tvfeo.</t>
  </si>
  <si>
    <t>No se recomienda, ya que sus índices no llegan o se acercan al promedio de la indisutria 2022 58% y la industria 50%, adicional que una de las principales razones financieras, como lo es razón de endeudamiento y apalancamiento está un poco alta en comparación con la industria, pero sobre todo el periodo de recuperación influye en que al no recuperar rápido dinero, no pueda amortizar deuda o que pueda invertir en inventarios por ejemplo. ( año 2022)</t>
  </si>
  <si>
    <t>Se recomendaría para el año 2023 porque el porcentaje de endeudamiento es por 52% y la industria es por 53%, mejoró el periodo promedio de cobro a 40 días, pero la industria está en 30 días en el año 2023</t>
  </si>
  <si>
    <t>Que recomendación le brindaría a la compañía Tvfeo, para mejorar su situación financiera</t>
  </si>
  <si>
    <t>Revisar sus gastos, luego trabajar en mejorar el periodo de recuperación de cobro para poder tener más flujo, revisar la rotación del inventario, cuáles productos tiene poca rotabilidad, de esta forma pueda mejorar los índices.</t>
  </si>
  <si>
    <t>APLICAR  ANÁLISIS VERTICAL, RAZONES FINANCIERAS E INTERPRETACIÓN</t>
  </si>
  <si>
    <t>Cálcule las tazones solicitadas anteriormente, prepare el informe de análisis financiero de cada una de las empresas</t>
  </si>
  <si>
    <t>Muestra la capacidad de una empresa para cubrir sus pasivos corrientes (circulantes) con sus activos circulantes (corrientes)</t>
  </si>
  <si>
    <t>Ventas anuales a crédito/360</t>
  </si>
  <si>
    <t>Mide la duración promedio en que se tarda en pagar una compra a crédito</t>
  </si>
  <si>
    <t>Razon apalancamiento</t>
  </si>
  <si>
    <t xml:space="preserve">Mide la relación de pasivos a patrimonio y evalúa cuanto financian terceros en relación a los dueños </t>
  </si>
  <si>
    <t>2. Tiene el menor grado de apalancamiento financiero, con un 88% con relación a las otras emprseass</t>
  </si>
  <si>
    <t>2. Razon circulante es la menor con 2,29</t>
  </si>
  <si>
    <t>En caso de determinar debilidades de las diferentes empresas, elabore recomendaciones y de qué forma se podrían aplicar dichas recomendaciones</t>
  </si>
  <si>
    <t>Recomendaciones</t>
  </si>
  <si>
    <t>Cómo se podrían aplicar</t>
  </si>
  <si>
    <t>Revisar con el equipo de cuentas por cobrar, el ser óptimos para recuperar en menor tiempo los dineros</t>
  </si>
  <si>
    <t>Clasificar el comportamiento de crédito de clientes, así como las condiciones, ser eficaz en los cobros así como eficiente</t>
  </si>
  <si>
    <t>Analizar cuáles partidas de los pasivos está consumiendo gran parte de sus pasivos circulantes, si hay fuga de gastos. O sí las cuentas por cobrar están más altas que no permitan tener tanto flujo de dinero para cubrir los pasivos circulantes.</t>
  </si>
  <si>
    <t xml:space="preserve">Generalmente se propone presupuestos para poder aplicar, y se puede trabajar en proyecciones y estimaciones. </t>
  </si>
  <si>
    <t>Con base en los aspectos anteriores emita criterio como analista financiero con relación a la toma de decisiones de otorgar crédito a cada una de las empresas del caso en análisis</t>
  </si>
  <si>
    <t>Decisión</t>
  </si>
  <si>
    <t>Criterio</t>
  </si>
  <si>
    <t>Sujeto a revisión del periodo actual para poder aprobar crédito</t>
  </si>
  <si>
    <t xml:space="preserve">Las 3 empresas tienen una RAZON DE ENDEUDAMIENTO igual un 52%, la diferencia con esta empresa A, es que su periodo de recuperación es muy alto y su rotación de inventarios es menor, eso lo que hace que se ponga en riesgo la capacidad de pago de las obligaciones. Aunque se incremente las ventas al 10%, si no mejora la recuperación de las cuentas por cobrar y rotación de inventario, eso afectaría </t>
  </si>
  <si>
    <t xml:space="preserve">La RAZON DE ENDEUDAMIENTO  es igual  a la empresa C con un 47%, la diferencia con esta empresa B, esta tiene el segundo periodo de recuperación más alto, y segunda mayor rotación de inventario. </t>
  </si>
  <si>
    <t>Se recomienda</t>
  </si>
  <si>
    <t>Las 3 empresas tienen una RAZON DE ENDEUDAMIENTO igual un 47%, la diferencia con esta empresa C, es que su periodo recuperación es de solo 36 días, su rentabilidad sobre patrimonio es la más alta, al igual que la de activos, tiene la más alta rotación de inventario, se debe manejar a discreción el resultado de la Razón Circulante, tal como se comentó en los puntos anteriores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</si>
</sst>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3" formatCode="_-* #,##0.00_-;\-* #,##0.00_-;_-* &quot;-&quot;??_-;_-@_-"/>
    <numFmt numFmtId="164" formatCode="0_);\(0\)"/>
    <numFmt numFmtId="165" formatCode="_-* #,##0_-;\-* #,##0_-;_-* &quot;-&quot;??_-;_-@_-"/>
    <numFmt numFmtId="166" formatCode="_-[$$-540A]* #,##0.00_ ;_-[$$-540A]* \-#,##0.00\ ;_-[$$-540A]* &quot;-&quot;??_ ;_-@_ "/>
    <numFmt numFmtId="167" formatCode="_-[$$-409]* #,##0.00_ ;_-[$$-409]* \-#,##0.00\ ;_-[$$-409]* &quot;-&quot;??_ ;_-@_ "/>
    <numFmt numFmtId="168" formatCode="0.0%"/>
    <numFmt numFmtId="169" formatCode="_-* #,##0.0_-;\-* #,##0.0_-;_-* &quot;-&quot;??_-;_-@_-"/>
  </numFmts>
  <fonts count="41"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theme="1"/>
      <name val="Arial Nova"/>
      <family val="2"/>
    </font>
    <font>
      <b/>
      <sz val="16"/>
      <name val="Arial Nova"/>
      <family val="2"/>
    </font>
    <font>
      <sz val="12"/>
      <color theme="1"/>
      <name val="Arial Nova"/>
      <family val="2"/>
    </font>
    <font>
      <b/>
      <sz val="14"/>
      <color theme="1"/>
      <name val="Arial Nova"/>
      <family val="2"/>
    </font>
    <font>
      <b/>
      <sz val="11"/>
      <color theme="1"/>
      <name val="Arial Nova"/>
      <family val="2"/>
    </font>
    <font>
      <sz val="11"/>
      <color rgb="FF000000"/>
      <name val="Arial Nova"/>
      <family val="2"/>
    </font>
    <font>
      <sz val="11"/>
      <name val="Arial Nova"/>
      <family val="2"/>
    </font>
    <font>
      <sz val="11"/>
      <color rgb="FFFF0000"/>
      <name val="Arial Nova"/>
      <family val="2"/>
    </font>
    <font>
      <b/>
      <sz val="11"/>
      <color rgb="FF000000"/>
      <name val="Arial Nova"/>
      <family val="2"/>
    </font>
    <font>
      <b/>
      <sz val="11"/>
      <name val="Arial Nova"/>
      <family val="2"/>
    </font>
    <font>
      <sz val="11"/>
      <color rgb="FF0000CC"/>
      <name val="Arial Nova"/>
      <family val="2"/>
    </font>
    <font>
      <b/>
      <sz val="16"/>
      <color theme="1"/>
      <name val="Arial Nova"/>
      <family val="2"/>
    </font>
    <font>
      <b/>
      <sz val="12"/>
      <color theme="1"/>
      <name val="Arial Nova"/>
      <family val="2"/>
    </font>
    <font>
      <b/>
      <i/>
      <sz val="11"/>
      <color theme="1"/>
      <name val="Arial Nova"/>
      <family val="2"/>
    </font>
    <font>
      <b/>
      <sz val="12"/>
      <color rgb="FF000000"/>
      <name val="Arial Nova"/>
      <family val="2"/>
    </font>
    <font>
      <b/>
      <sz val="14"/>
      <name val="Arial Nova"/>
      <family val="2"/>
    </font>
    <font>
      <b/>
      <sz val="11"/>
      <color rgb="FF0000CC"/>
      <name val="Arial Nova"/>
      <family val="2"/>
    </font>
    <font>
      <b/>
      <i/>
      <sz val="11"/>
      <color rgb="FF000000"/>
      <name val="Arial Nova"/>
      <family val="2"/>
    </font>
    <font>
      <b/>
      <sz val="20"/>
      <color rgb="FF000000"/>
      <name val="Arial Nova"/>
      <family val="2"/>
    </font>
    <font>
      <sz val="12"/>
      <color rgb="FF000000"/>
      <name val="Arial Nova"/>
      <family val="2"/>
    </font>
    <font>
      <sz val="12"/>
      <color rgb="FF006100"/>
      <name val="Arial Nova"/>
      <family val="2"/>
    </font>
    <font>
      <sz val="12"/>
      <color rgb="FFFF0000"/>
      <name val="Arial Nova"/>
      <family val="2"/>
    </font>
    <font>
      <b/>
      <sz val="20"/>
      <color theme="1"/>
      <name val="Arial"/>
      <family val="2"/>
    </font>
    <font>
      <sz val="12"/>
      <color theme="1"/>
      <name val="Arial"/>
      <family val="2"/>
    </font>
    <font>
      <b/>
      <sz val="18"/>
      <color rgb="FF22190A"/>
      <name val="Arial"/>
      <family val="2"/>
    </font>
    <font>
      <b/>
      <sz val="12"/>
      <color theme="1"/>
      <name val="Arial"/>
      <family val="2"/>
    </font>
    <font>
      <b/>
      <sz val="12"/>
      <color rgb="FF0000CC"/>
      <name val="Arial Nova"/>
      <family val="2"/>
    </font>
    <font>
      <b/>
      <sz val="12"/>
      <color rgb="FF6600FF"/>
      <name val="Arial Nova"/>
      <family val="2"/>
    </font>
    <font>
      <b/>
      <sz val="12"/>
      <color rgb="FF008000"/>
      <name val="Arial Nova"/>
      <family val="2"/>
    </font>
    <font>
      <sz val="12"/>
      <color rgb="FF22190A"/>
      <name val="Arial"/>
      <family val="2"/>
    </font>
    <font>
      <b/>
      <sz val="12"/>
      <color rgb="FF22190A"/>
      <name val="Arial"/>
      <family val="2"/>
    </font>
    <font>
      <b/>
      <i/>
      <sz val="12"/>
      <color rgb="FF22190A"/>
      <name val="Arial"/>
      <family val="2"/>
    </font>
    <font>
      <b/>
      <sz val="14"/>
      <color rgb="FF0000CC"/>
      <name val="Arial Nova"/>
      <family val="2"/>
    </font>
    <font>
      <sz val="11"/>
      <color rgb="FF9C0006"/>
      <name val="Aptos Narrow"/>
      <family val="2"/>
      <scheme val="minor"/>
    </font>
    <font>
      <sz val="10"/>
      <name val="Arial"/>
    </font>
    <font>
      <sz val="10"/>
      <name val="Arial"/>
      <family val="2"/>
    </font>
    <font>
      <b/>
      <sz val="24"/>
      <color theme="1"/>
      <name val="Arial Nova"/>
      <family val="2"/>
    </font>
    <font>
      <sz val="11"/>
      <color rgb="FF9C0006"/>
      <name val="Arial Nova"/>
      <family val="2"/>
    </font>
  </fonts>
  <fills count="17">
    <fill>
      <patternFill patternType="none"/>
    </fill>
    <fill>
      <patternFill patternType="gray125"/>
    </fill>
    <fill>
      <patternFill patternType="solid">
        <fgColor rgb="FFC6EFCE"/>
      </patternFill>
    </fill>
    <fill>
      <patternFill patternType="solid">
        <fgColor theme="7" tint="0.59999389629810485"/>
        <bgColor indexed="65"/>
      </patternFill>
    </fill>
    <fill>
      <patternFill patternType="solid">
        <fgColor rgb="FFCCFF66"/>
        <bgColor indexed="64"/>
      </patternFill>
    </fill>
    <fill>
      <patternFill patternType="solid">
        <fgColor rgb="FFCCCCFF"/>
        <bgColor indexed="64"/>
      </patternFill>
    </fill>
    <fill>
      <patternFill patternType="solid">
        <fgColor rgb="FFCCFF99"/>
        <bgColor indexed="64"/>
      </patternFill>
    </fill>
    <fill>
      <patternFill patternType="solid">
        <fgColor rgb="FFCCFFFF"/>
        <bgColor indexed="64"/>
      </patternFill>
    </fill>
    <fill>
      <patternFill patternType="solid">
        <fgColor rgb="FF99FFCC"/>
        <bgColor indexed="64"/>
      </patternFill>
    </fill>
    <fill>
      <patternFill patternType="solid">
        <fgColor rgb="FFCCFFCC"/>
        <bgColor indexed="64"/>
      </patternFill>
    </fill>
    <fill>
      <patternFill patternType="solid">
        <fgColor rgb="FFCCECFF"/>
        <bgColor indexed="64"/>
      </patternFill>
    </fill>
    <fill>
      <patternFill patternType="solid">
        <fgColor rgb="FFFF99CC"/>
        <bgColor indexed="64"/>
      </patternFill>
    </fill>
    <fill>
      <patternFill patternType="solid">
        <fgColor rgb="FF8ADECA"/>
        <bgColor indexed="64"/>
      </patternFill>
    </fill>
    <fill>
      <patternFill patternType="solid">
        <fgColor rgb="FFFFFF00"/>
        <bgColor indexed="64"/>
      </patternFill>
    </fill>
    <fill>
      <patternFill patternType="solid">
        <fgColor theme="7" tint="0.79998168889431442"/>
        <bgColor theme="7" tint="0.79998168889431442"/>
      </patternFill>
    </fill>
    <fill>
      <patternFill patternType="solid">
        <fgColor rgb="FFFFFFCC"/>
      </patternFill>
    </fill>
    <fill>
      <patternFill patternType="solid">
        <fgColor rgb="FFFFC7CE"/>
      </patternFill>
    </fill>
  </fills>
  <borders count="60">
    <border>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indexed="64"/>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rgb="FF000000"/>
      </top>
      <bottom style="double">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theme="4"/>
      </left>
      <right/>
      <top style="thin">
        <color theme="4"/>
      </top>
      <bottom/>
      <diagonal/>
    </border>
    <border>
      <left/>
      <right/>
      <top style="thin">
        <color theme="4"/>
      </top>
      <bottom/>
      <diagonal/>
    </border>
    <border>
      <left style="thin">
        <color theme="7"/>
      </left>
      <right style="thin">
        <color theme="7"/>
      </right>
      <top style="thin">
        <color theme="7"/>
      </top>
      <bottom style="thin">
        <color theme="7"/>
      </bottom>
      <diagonal/>
    </border>
    <border>
      <left style="thin">
        <color theme="9"/>
      </left>
      <right/>
      <top style="thin">
        <color theme="9"/>
      </top>
      <bottom/>
      <diagonal/>
    </border>
    <border>
      <left/>
      <right/>
      <top style="thin">
        <color theme="9"/>
      </top>
      <bottom/>
      <diagonal/>
    </border>
    <border>
      <left/>
      <right style="thin">
        <color theme="4"/>
      </right>
      <top style="thin">
        <color theme="4"/>
      </top>
      <bottom/>
      <diagonal/>
    </border>
    <border>
      <left/>
      <right style="thin">
        <color theme="9"/>
      </right>
      <top style="thin">
        <color theme="9"/>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auto="1"/>
      </top>
      <bottom/>
      <diagonal/>
    </border>
    <border>
      <left/>
      <right style="medium">
        <color indexed="64"/>
      </right>
      <top style="thin">
        <color auto="1"/>
      </top>
      <bottom/>
      <diagonal/>
    </border>
    <border>
      <left style="thin">
        <color auto="1"/>
      </left>
      <right/>
      <top style="double">
        <color indexed="64"/>
      </top>
      <bottom/>
      <diagonal/>
    </border>
    <border>
      <left/>
      <right/>
      <top style="double">
        <color indexed="64"/>
      </top>
      <bottom/>
      <diagonal/>
    </border>
    <border>
      <left/>
      <right style="thin">
        <color auto="1"/>
      </right>
      <top style="double">
        <color indexed="64"/>
      </top>
      <bottom/>
      <diagonal/>
    </border>
  </borders>
  <cellStyleXfs count="15">
    <xf numFmtId="0" fontId="0" fillId="0" borderId="0"/>
    <xf numFmtId="9"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1" fillId="0" borderId="0"/>
    <xf numFmtId="41"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15" borderId="48" applyNumberFormat="0" applyFont="0" applyAlignment="0" applyProtection="0"/>
    <xf numFmtId="0" fontId="36" fillId="16" borderId="0" applyNumberFormat="0" applyBorder="0" applyAlignment="0" applyProtection="0"/>
    <xf numFmtId="0" fontId="37" fillId="0" borderId="0"/>
    <xf numFmtId="9" fontId="38" fillId="0" borderId="0" applyFont="0" applyFill="0" applyBorder="0" applyAlignment="0" applyProtection="0"/>
    <xf numFmtId="41" fontId="37" fillId="0" borderId="0" applyFont="0" applyFill="0" applyBorder="0" applyAlignment="0" applyProtection="0"/>
    <xf numFmtId="43" fontId="37" fillId="0" borderId="0" applyFont="0" applyFill="0" applyBorder="0" applyAlignment="0" applyProtection="0"/>
    <xf numFmtId="0" fontId="38" fillId="0" borderId="0"/>
  </cellStyleXfs>
  <cellXfs count="798">
    <xf numFmtId="0" fontId="0" fillId="0" borderId="0" xfId="0"/>
    <xf numFmtId="0" fontId="3" fillId="0" borderId="0" xfId="4" applyFont="1"/>
    <xf numFmtId="0" fontId="6" fillId="0" borderId="0" xfId="4" applyFont="1"/>
    <xf numFmtId="0" fontId="7" fillId="0" borderId="0" xfId="4" applyFont="1" applyAlignment="1">
      <alignment horizontal="center"/>
    </xf>
    <xf numFmtId="0" fontId="3" fillId="0" borderId="0" xfId="4" applyFont="1" applyAlignment="1">
      <alignment horizontal="center"/>
    </xf>
    <xf numFmtId="0" fontId="7" fillId="0" borderId="0" xfId="4" applyFont="1"/>
    <xf numFmtId="0" fontId="3" fillId="0" borderId="1" xfId="4" applyFont="1" applyBorder="1"/>
    <xf numFmtId="0" fontId="7" fillId="0" borderId="4" xfId="4" applyFont="1" applyBorder="1" applyAlignment="1">
      <alignment horizontal="center"/>
    </xf>
    <xf numFmtId="0" fontId="7" fillId="0" borderId="5" xfId="4" applyFont="1" applyBorder="1" applyAlignment="1">
      <alignment horizontal="center"/>
    </xf>
    <xf numFmtId="0" fontId="7" fillId="0" borderId="6" xfId="4" applyFont="1" applyBorder="1" applyAlignment="1">
      <alignment horizontal="center"/>
    </xf>
    <xf numFmtId="0" fontId="7" fillId="0" borderId="6" xfId="4" applyFont="1" applyBorder="1"/>
    <xf numFmtId="41" fontId="7" fillId="0" borderId="6" xfId="5" applyFont="1" applyBorder="1"/>
    <xf numFmtId="9" fontId="7" fillId="0" borderId="7" xfId="6" applyFont="1" applyBorder="1" applyAlignment="1">
      <alignment horizontal="center"/>
    </xf>
    <xf numFmtId="9" fontId="7" fillId="0" borderId="0" xfId="6" applyFont="1" applyBorder="1" applyAlignment="1">
      <alignment horizontal="center"/>
    </xf>
    <xf numFmtId="1" fontId="7" fillId="0" borderId="0" xfId="5" applyNumberFormat="1" applyFont="1" applyBorder="1" applyAlignment="1">
      <alignment horizontal="center"/>
    </xf>
    <xf numFmtId="41" fontId="7" fillId="0" borderId="6" xfId="4" applyNumberFormat="1" applyFont="1" applyBorder="1"/>
    <xf numFmtId="10" fontId="7" fillId="0" borderId="0" xfId="6" applyNumberFormat="1" applyFont="1" applyBorder="1" applyAlignment="1">
      <alignment horizontal="center"/>
    </xf>
    <xf numFmtId="10" fontId="7" fillId="0" borderId="0" xfId="6" applyNumberFormat="1" applyFont="1"/>
    <xf numFmtId="0" fontId="8" fillId="0" borderId="6" xfId="4" applyFont="1" applyBorder="1"/>
    <xf numFmtId="41" fontId="3" fillId="0" borderId="6" xfId="5" applyFont="1" applyBorder="1"/>
    <xf numFmtId="10" fontId="3" fillId="0" borderId="8" xfId="6" applyNumberFormat="1" applyFont="1" applyBorder="1" applyAlignment="1">
      <alignment horizontal="center"/>
    </xf>
    <xf numFmtId="9" fontId="9" fillId="0" borderId="7" xfId="6" applyFont="1" applyBorder="1" applyAlignment="1">
      <alignment horizontal="center"/>
    </xf>
    <xf numFmtId="10" fontId="10" fillId="0" borderId="0" xfId="6" applyNumberFormat="1" applyFont="1" applyBorder="1" applyAlignment="1">
      <alignment horizontal="center"/>
    </xf>
    <xf numFmtId="10" fontId="3" fillId="0" borderId="0" xfId="6" applyNumberFormat="1" applyFont="1" applyBorder="1" applyAlignment="1">
      <alignment horizontal="center"/>
    </xf>
    <xf numFmtId="164" fontId="3" fillId="0" borderId="0" xfId="5" applyNumberFormat="1" applyFont="1" applyBorder="1" applyAlignment="1">
      <alignment horizontal="center"/>
    </xf>
    <xf numFmtId="41" fontId="3" fillId="0" borderId="6" xfId="4" applyNumberFormat="1" applyFont="1" applyBorder="1"/>
    <xf numFmtId="10" fontId="3" fillId="0" borderId="0" xfId="6" applyNumberFormat="1" applyFont="1"/>
    <xf numFmtId="41" fontId="7" fillId="0" borderId="1" xfId="5" applyFont="1" applyBorder="1"/>
    <xf numFmtId="10" fontId="3" fillId="0" borderId="7" xfId="6" applyNumberFormat="1" applyFont="1" applyBorder="1" applyAlignment="1">
      <alignment horizontal="center"/>
    </xf>
    <xf numFmtId="9" fontId="9" fillId="0" borderId="5" xfId="6" applyFont="1" applyBorder="1" applyAlignment="1">
      <alignment horizontal="center"/>
    </xf>
    <xf numFmtId="1" fontId="3" fillId="0" borderId="0" xfId="5" applyNumberFormat="1" applyFont="1" applyBorder="1" applyAlignment="1">
      <alignment horizontal="center"/>
    </xf>
    <xf numFmtId="0" fontId="11" fillId="0" borderId="6" xfId="4" applyFont="1" applyBorder="1"/>
    <xf numFmtId="41" fontId="7" fillId="0" borderId="2" xfId="5" applyFont="1" applyBorder="1"/>
    <xf numFmtId="10" fontId="3" fillId="0" borderId="3" xfId="6" applyNumberFormat="1" applyFont="1" applyBorder="1" applyAlignment="1">
      <alignment horizontal="center"/>
    </xf>
    <xf numFmtId="41" fontId="12" fillId="0" borderId="2" xfId="5" applyFont="1" applyBorder="1"/>
    <xf numFmtId="9" fontId="9" fillId="0" borderId="3" xfId="6" applyFont="1" applyBorder="1" applyAlignment="1">
      <alignment horizontal="center"/>
    </xf>
    <xf numFmtId="10" fontId="3" fillId="0" borderId="5" xfId="6" applyNumberFormat="1" applyFont="1" applyBorder="1" applyAlignment="1">
      <alignment horizontal="center"/>
    </xf>
    <xf numFmtId="41" fontId="12" fillId="0" borderId="1" xfId="5" applyFont="1" applyBorder="1"/>
    <xf numFmtId="10" fontId="13" fillId="0" borderId="0" xfId="6" applyNumberFormat="1" applyFont="1" applyBorder="1" applyAlignment="1">
      <alignment horizontal="center"/>
    </xf>
    <xf numFmtId="9" fontId="9" fillId="0" borderId="8" xfId="6" applyFont="1" applyBorder="1" applyAlignment="1">
      <alignment horizontal="center"/>
    </xf>
    <xf numFmtId="0" fontId="7" fillId="0" borderId="9" xfId="4" applyFont="1" applyBorder="1"/>
    <xf numFmtId="9" fontId="3" fillId="0" borderId="8" xfId="6" applyFont="1" applyBorder="1" applyAlignment="1">
      <alignment horizontal="center"/>
    </xf>
    <xf numFmtId="9" fontId="3" fillId="0" borderId="0" xfId="4" applyNumberFormat="1" applyFont="1" applyAlignment="1">
      <alignment horizontal="center"/>
    </xf>
    <xf numFmtId="9" fontId="3" fillId="0" borderId="0" xfId="6" applyFont="1"/>
    <xf numFmtId="0" fontId="14" fillId="0" borderId="0" xfId="4" applyFont="1"/>
    <xf numFmtId="0" fontId="15" fillId="5" borderId="0" xfId="4" applyFont="1" applyFill="1"/>
    <xf numFmtId="0" fontId="3" fillId="5" borderId="0" xfId="4" applyFont="1" applyFill="1"/>
    <xf numFmtId="0" fontId="7" fillId="0" borderId="1" xfId="4" applyFont="1" applyBorder="1" applyAlignment="1">
      <alignment horizontal="center"/>
    </xf>
    <xf numFmtId="0" fontId="3" fillId="0" borderId="6" xfId="4" applyFont="1" applyBorder="1" applyAlignment="1">
      <alignment horizontal="center"/>
    </xf>
    <xf numFmtId="0" fontId="3" fillId="0" borderId="7" xfId="4" applyFont="1" applyBorder="1" applyAlignment="1">
      <alignment horizontal="center"/>
    </xf>
    <xf numFmtId="0" fontId="3" fillId="0" borderId="7" xfId="4" applyFont="1" applyBorder="1"/>
    <xf numFmtId="0" fontId="3" fillId="0" borderId="6" xfId="4" applyFont="1" applyBorder="1"/>
    <xf numFmtId="165" fontId="3" fillId="0" borderId="6" xfId="7" applyNumberFormat="1" applyFont="1" applyFill="1" applyBorder="1"/>
    <xf numFmtId="165" fontId="3" fillId="0" borderId="0" xfId="7" applyNumberFormat="1" applyFont="1" applyFill="1" applyBorder="1"/>
    <xf numFmtId="165" fontId="3" fillId="0" borderId="0" xfId="4" applyNumberFormat="1" applyFont="1"/>
    <xf numFmtId="10" fontId="3" fillId="0" borderId="0" xfId="6" applyNumberFormat="1" applyFont="1" applyFill="1" applyBorder="1"/>
    <xf numFmtId="43" fontId="3" fillId="0" borderId="0" xfId="7" applyFont="1" applyFill="1" applyBorder="1"/>
    <xf numFmtId="10" fontId="3" fillId="0" borderId="7" xfId="6" applyNumberFormat="1" applyFont="1" applyFill="1" applyBorder="1"/>
    <xf numFmtId="165" fontId="9" fillId="0" borderId="6" xfId="7" applyNumberFormat="1" applyFont="1" applyFill="1" applyBorder="1"/>
    <xf numFmtId="165" fontId="9" fillId="0" borderId="0" xfId="7" applyNumberFormat="1" applyFont="1" applyFill="1" applyBorder="1"/>
    <xf numFmtId="10" fontId="9" fillId="0" borderId="0" xfId="6" applyNumberFormat="1" applyFont="1" applyFill="1" applyBorder="1"/>
    <xf numFmtId="43" fontId="9" fillId="0" borderId="0" xfId="7" applyFont="1" applyFill="1" applyBorder="1"/>
    <xf numFmtId="165" fontId="3" fillId="0" borderId="9" xfId="7" applyNumberFormat="1" applyFont="1" applyFill="1" applyBorder="1"/>
    <xf numFmtId="165" fontId="3" fillId="0" borderId="10" xfId="7" applyNumberFormat="1" applyFont="1" applyFill="1" applyBorder="1"/>
    <xf numFmtId="10" fontId="3" fillId="0" borderId="10" xfId="6" applyNumberFormat="1" applyFont="1" applyFill="1" applyBorder="1"/>
    <xf numFmtId="10" fontId="3" fillId="0" borderId="8" xfId="6" applyNumberFormat="1" applyFont="1" applyFill="1" applyBorder="1"/>
    <xf numFmtId="165" fontId="7" fillId="0" borderId="2" xfId="7" applyNumberFormat="1" applyFont="1" applyFill="1" applyBorder="1"/>
    <xf numFmtId="165" fontId="16" fillId="0" borderId="3" xfId="7" applyNumberFormat="1" applyFont="1" applyFill="1" applyBorder="1"/>
    <xf numFmtId="165" fontId="7" fillId="0" borderId="0" xfId="4" applyNumberFormat="1" applyFont="1"/>
    <xf numFmtId="9" fontId="7" fillId="0" borderId="0" xfId="6" applyFont="1"/>
    <xf numFmtId="0" fontId="16" fillId="0" borderId="0" xfId="4" applyFont="1"/>
    <xf numFmtId="10" fontId="16" fillId="0" borderId="12" xfId="6" applyNumberFormat="1" applyFont="1" applyFill="1" applyBorder="1"/>
    <xf numFmtId="165" fontId="16" fillId="0" borderId="12" xfId="7" applyNumberFormat="1" applyFont="1" applyFill="1" applyBorder="1"/>
    <xf numFmtId="10" fontId="16" fillId="0" borderId="3" xfId="6" applyNumberFormat="1" applyFont="1" applyFill="1" applyBorder="1"/>
    <xf numFmtId="165" fontId="3" fillId="0" borderId="1" xfId="7" applyNumberFormat="1" applyFont="1" applyFill="1" applyBorder="1"/>
    <xf numFmtId="165" fontId="3" fillId="0" borderId="5" xfId="7" applyNumberFormat="1" applyFont="1" applyFill="1" applyBorder="1"/>
    <xf numFmtId="10" fontId="3" fillId="0" borderId="4" xfId="6" applyNumberFormat="1" applyFont="1" applyFill="1" applyBorder="1"/>
    <xf numFmtId="43" fontId="3" fillId="0" borderId="4" xfId="7" applyFont="1" applyFill="1" applyBorder="1"/>
    <xf numFmtId="10" fontId="3" fillId="0" borderId="5" xfId="6" applyNumberFormat="1" applyFont="1" applyFill="1" applyBorder="1"/>
    <xf numFmtId="165" fontId="3" fillId="0" borderId="4" xfId="7" applyNumberFormat="1" applyFont="1" applyFill="1" applyBorder="1"/>
    <xf numFmtId="165" fontId="3" fillId="0" borderId="6" xfId="4" applyNumberFormat="1" applyFont="1" applyBorder="1"/>
    <xf numFmtId="165" fontId="10" fillId="0" borderId="9" xfId="4" applyNumberFormat="1" applyFont="1" applyBorder="1"/>
    <xf numFmtId="165" fontId="10" fillId="0" borderId="10" xfId="4" applyNumberFormat="1" applyFont="1" applyBorder="1"/>
    <xf numFmtId="0" fontId="10" fillId="0" borderId="0" xfId="4" applyFont="1"/>
    <xf numFmtId="165" fontId="7" fillId="0" borderId="2" xfId="4" applyNumberFormat="1" applyFont="1" applyBorder="1"/>
    <xf numFmtId="10" fontId="7" fillId="0" borderId="12" xfId="6" applyNumberFormat="1" applyFont="1" applyFill="1" applyBorder="1"/>
    <xf numFmtId="10" fontId="7" fillId="0" borderId="3" xfId="6" applyNumberFormat="1" applyFont="1" applyFill="1" applyBorder="1"/>
    <xf numFmtId="165" fontId="7" fillId="5" borderId="6" xfId="4" applyNumberFormat="1" applyFont="1" applyFill="1" applyBorder="1"/>
    <xf numFmtId="165" fontId="7" fillId="5" borderId="13" xfId="4" applyNumberFormat="1" applyFont="1" applyFill="1" applyBorder="1"/>
    <xf numFmtId="0" fontId="7" fillId="5" borderId="0" xfId="4" applyFont="1" applyFill="1"/>
    <xf numFmtId="10" fontId="7" fillId="5" borderId="0" xfId="4" applyNumberFormat="1" applyFont="1" applyFill="1"/>
    <xf numFmtId="9" fontId="7" fillId="5" borderId="0" xfId="4" applyNumberFormat="1" applyFont="1" applyFill="1"/>
    <xf numFmtId="9" fontId="3" fillId="5" borderId="7" xfId="4" applyNumberFormat="1" applyFont="1" applyFill="1" applyBorder="1"/>
    <xf numFmtId="0" fontId="3" fillId="0" borderId="13" xfId="4" applyFont="1" applyBorder="1"/>
    <xf numFmtId="9" fontId="7" fillId="0" borderId="4" xfId="4" applyNumberFormat="1" applyFont="1" applyBorder="1"/>
    <xf numFmtId="0" fontId="3" fillId="0" borderId="5" xfId="4" applyFont="1" applyBorder="1"/>
    <xf numFmtId="0" fontId="15" fillId="6" borderId="0" xfId="4" applyFont="1" applyFill="1"/>
    <xf numFmtId="0" fontId="3" fillId="0" borderId="4" xfId="4" applyFont="1" applyBorder="1"/>
    <xf numFmtId="165" fontId="3" fillId="0" borderId="7" xfId="7" applyNumberFormat="1" applyFont="1" applyFill="1" applyBorder="1"/>
    <xf numFmtId="43" fontId="3" fillId="0" borderId="10" xfId="7" applyFont="1" applyFill="1" applyBorder="1"/>
    <xf numFmtId="43" fontId="7" fillId="0" borderId="2" xfId="7" applyFont="1" applyFill="1" applyBorder="1"/>
    <xf numFmtId="43" fontId="12" fillId="0" borderId="3" xfId="7" applyFont="1" applyFill="1" applyBorder="1"/>
    <xf numFmtId="10" fontId="12" fillId="0" borderId="12" xfId="6" applyNumberFormat="1" applyFont="1" applyFill="1" applyBorder="1"/>
    <xf numFmtId="43" fontId="12" fillId="0" borderId="12" xfId="7" applyFont="1" applyFill="1" applyBorder="1"/>
    <xf numFmtId="10" fontId="12" fillId="0" borderId="3" xfId="6" applyNumberFormat="1" applyFont="1" applyFill="1" applyBorder="1"/>
    <xf numFmtId="43" fontId="3" fillId="0" borderId="1" xfId="7" applyFont="1" applyFill="1" applyBorder="1"/>
    <xf numFmtId="43" fontId="9" fillId="0" borderId="5" xfId="7" applyFont="1" applyFill="1" applyBorder="1"/>
    <xf numFmtId="10" fontId="9" fillId="0" borderId="4" xfId="6" applyNumberFormat="1" applyFont="1" applyFill="1" applyBorder="1"/>
    <xf numFmtId="43" fontId="9" fillId="0" borderId="4" xfId="7" applyFont="1" applyFill="1" applyBorder="1"/>
    <xf numFmtId="10" fontId="9" fillId="0" borderId="5" xfId="6" applyNumberFormat="1" applyFont="1" applyFill="1" applyBorder="1"/>
    <xf numFmtId="165" fontId="3" fillId="0" borderId="9" xfId="7" applyNumberFormat="1" applyFont="1" applyBorder="1"/>
    <xf numFmtId="165" fontId="3" fillId="0" borderId="8" xfId="7" applyNumberFormat="1" applyFont="1" applyBorder="1"/>
    <xf numFmtId="0" fontId="8" fillId="0" borderId="0" xfId="4" applyFont="1"/>
    <xf numFmtId="10" fontId="3" fillId="0" borderId="10" xfId="6" applyNumberFormat="1" applyFont="1" applyBorder="1"/>
    <xf numFmtId="43" fontId="3" fillId="0" borderId="10" xfId="7" applyFont="1" applyBorder="1"/>
    <xf numFmtId="165" fontId="3" fillId="0" borderId="10" xfId="7" applyNumberFormat="1" applyFont="1" applyBorder="1"/>
    <xf numFmtId="10" fontId="3" fillId="0" borderId="8" xfId="6" applyNumberFormat="1" applyFont="1" applyBorder="1"/>
    <xf numFmtId="165" fontId="7" fillId="6" borderId="9" xfId="7" applyNumberFormat="1" applyFont="1" applyFill="1" applyBorder="1"/>
    <xf numFmtId="165" fontId="7" fillId="6" borderId="8" xfId="7" applyNumberFormat="1" applyFont="1" applyFill="1" applyBorder="1"/>
    <xf numFmtId="0" fontId="11" fillId="6" borderId="0" xfId="4" applyFont="1" applyFill="1"/>
    <xf numFmtId="0" fontId="7" fillId="6" borderId="0" xfId="4" applyFont="1" applyFill="1"/>
    <xf numFmtId="0" fontId="7" fillId="6" borderId="10" xfId="4" applyFont="1" applyFill="1" applyBorder="1"/>
    <xf numFmtId="10" fontId="12" fillId="6" borderId="10" xfId="6" applyNumberFormat="1" applyFont="1" applyFill="1" applyBorder="1"/>
    <xf numFmtId="165" fontId="7" fillId="6" borderId="10" xfId="7" applyNumberFormat="1" applyFont="1" applyFill="1" applyBorder="1"/>
    <xf numFmtId="10" fontId="7" fillId="6" borderId="10" xfId="6" applyNumberFormat="1" applyFont="1" applyFill="1" applyBorder="1"/>
    <xf numFmtId="10" fontId="7" fillId="6" borderId="8" xfId="7" applyNumberFormat="1" applyFont="1" applyFill="1" applyBorder="1"/>
    <xf numFmtId="0" fontId="11" fillId="0" borderId="0" xfId="4" applyFont="1"/>
    <xf numFmtId="165" fontId="3" fillId="0" borderId="6" xfId="7" applyNumberFormat="1" applyFont="1" applyBorder="1"/>
    <xf numFmtId="165" fontId="3" fillId="0" borderId="7" xfId="7" applyNumberFormat="1" applyFont="1" applyBorder="1"/>
    <xf numFmtId="165" fontId="3" fillId="0" borderId="0" xfId="7" applyNumberFormat="1" applyFont="1" applyBorder="1"/>
    <xf numFmtId="10" fontId="3" fillId="0" borderId="0" xfId="6" applyNumberFormat="1" applyFont="1" applyBorder="1"/>
    <xf numFmtId="10" fontId="3" fillId="0" borderId="0" xfId="7" applyNumberFormat="1" applyFont="1" applyBorder="1"/>
    <xf numFmtId="43" fontId="3" fillId="0" borderId="1" xfId="7" applyFont="1" applyBorder="1"/>
    <xf numFmtId="43" fontId="3" fillId="0" borderId="5" xfId="7" applyFont="1" applyBorder="1"/>
    <xf numFmtId="0" fontId="17" fillId="7" borderId="0" xfId="4" applyFont="1" applyFill="1" applyAlignment="1">
      <alignment horizontal="justify" vertical="center"/>
    </xf>
    <xf numFmtId="43" fontId="3" fillId="0" borderId="4" xfId="7" applyFont="1" applyBorder="1"/>
    <xf numFmtId="10" fontId="3" fillId="0" borderId="4" xfId="6" applyNumberFormat="1" applyFont="1" applyBorder="1"/>
    <xf numFmtId="10" fontId="3" fillId="0" borderId="7" xfId="6" applyNumberFormat="1" applyFont="1" applyBorder="1"/>
    <xf numFmtId="0" fontId="11" fillId="7" borderId="0" xfId="4" applyFont="1" applyFill="1"/>
    <xf numFmtId="165" fontId="7" fillId="7" borderId="2" xfId="7" applyNumberFormat="1" applyFont="1" applyFill="1" applyBorder="1"/>
    <xf numFmtId="0" fontId="7" fillId="7" borderId="0" xfId="4" applyFont="1" applyFill="1"/>
    <xf numFmtId="10" fontId="7" fillId="7" borderId="12" xfId="6" applyNumberFormat="1" applyFont="1" applyFill="1" applyBorder="1"/>
    <xf numFmtId="10" fontId="7" fillId="7" borderId="3" xfId="6" applyNumberFormat="1" applyFont="1" applyFill="1" applyBorder="1"/>
    <xf numFmtId="165" fontId="7" fillId="0" borderId="6" xfId="7" applyNumberFormat="1" applyFont="1" applyFill="1" applyBorder="1"/>
    <xf numFmtId="165" fontId="7" fillId="0" borderId="7" xfId="7" applyNumberFormat="1" applyFont="1" applyFill="1" applyBorder="1"/>
    <xf numFmtId="165" fontId="7" fillId="0" borderId="0" xfId="7" applyNumberFormat="1" applyFont="1" applyFill="1" applyBorder="1"/>
    <xf numFmtId="10" fontId="7" fillId="0" borderId="0" xfId="6" applyNumberFormat="1" applyFont="1" applyFill="1" applyBorder="1"/>
    <xf numFmtId="165" fontId="7" fillId="5" borderId="9" xfId="7" applyNumberFormat="1" applyFont="1" applyFill="1" applyBorder="1"/>
    <xf numFmtId="165" fontId="7" fillId="5" borderId="8" xfId="7" applyNumberFormat="1" applyFont="1" applyFill="1" applyBorder="1"/>
    <xf numFmtId="0" fontId="11" fillId="5" borderId="0" xfId="4" applyFont="1" applyFill="1"/>
    <xf numFmtId="165" fontId="7" fillId="5" borderId="14" xfId="7" applyNumberFormat="1" applyFont="1" applyFill="1" applyBorder="1"/>
    <xf numFmtId="9" fontId="7" fillId="5" borderId="14" xfId="6" applyFont="1" applyFill="1" applyBorder="1"/>
    <xf numFmtId="10" fontId="7" fillId="5" borderId="14" xfId="7" applyNumberFormat="1" applyFont="1" applyFill="1" applyBorder="1"/>
    <xf numFmtId="43" fontId="7" fillId="5" borderId="14" xfId="7" applyFont="1" applyFill="1" applyBorder="1"/>
    <xf numFmtId="0" fontId="3" fillId="0" borderId="0" xfId="0" applyFont="1"/>
    <xf numFmtId="0" fontId="18" fillId="0" borderId="0" xfId="0" applyFont="1" applyAlignment="1">
      <alignment horizontal="center" wrapText="1"/>
    </xf>
    <xf numFmtId="0" fontId="12" fillId="0" borderId="0" xfId="0" applyFont="1" applyAlignment="1">
      <alignment horizontal="center" vertical="center"/>
    </xf>
    <xf numFmtId="0" fontId="3" fillId="0" borderId="0" xfId="0" applyFont="1" applyAlignment="1">
      <alignment vertical="center" wrapText="1"/>
    </xf>
    <xf numFmtId="0" fontId="19" fillId="0" borderId="0" xfId="0" applyFont="1" applyAlignment="1">
      <alignment horizontal="center" vertical="center"/>
    </xf>
    <xf numFmtId="0" fontId="19" fillId="0" borderId="0" xfId="0" applyFont="1" applyAlignment="1">
      <alignment horizontal="left" vertical="center" wrapText="1"/>
    </xf>
    <xf numFmtId="0" fontId="7" fillId="0" borderId="0" xfId="0" applyFont="1"/>
    <xf numFmtId="0" fontId="7" fillId="0" borderId="0" xfId="0" applyFont="1" applyAlignment="1">
      <alignment vertical="center"/>
    </xf>
    <xf numFmtId="0" fontId="7" fillId="0" borderId="0" xfId="0" applyFont="1" applyAlignment="1">
      <alignment vertical="center" wrapText="1"/>
    </xf>
    <xf numFmtId="0" fontId="13" fillId="0" borderId="0" xfId="0" applyFont="1" applyAlignment="1">
      <alignment horizontal="center" vertical="center"/>
    </xf>
    <xf numFmtId="0" fontId="13" fillId="0" borderId="0" xfId="0" applyFont="1" applyAlignment="1">
      <alignment horizontal="left" vertical="center" wrapText="1"/>
    </xf>
    <xf numFmtId="0" fontId="15" fillId="0" borderId="15" xfId="0" applyFont="1" applyBorder="1"/>
    <xf numFmtId="0" fontId="3" fillId="0" borderId="16" xfId="0" applyFont="1" applyBorder="1"/>
    <xf numFmtId="0" fontId="3" fillId="0" borderId="17" xfId="0" applyFont="1" applyBorder="1"/>
    <xf numFmtId="0" fontId="15" fillId="0" borderId="18" xfId="0" applyFont="1" applyBorder="1"/>
    <xf numFmtId="0" fontId="3" fillId="0" borderId="19" xfId="0" applyFont="1" applyBorder="1"/>
    <xf numFmtId="0" fontId="3" fillId="0" borderId="18" xfId="0" applyFont="1" applyBorder="1"/>
    <xf numFmtId="0" fontId="7" fillId="0" borderId="19" xfId="0" applyFont="1" applyBorder="1"/>
    <xf numFmtId="0" fontId="7" fillId="9" borderId="18" xfId="0" applyFont="1" applyFill="1" applyBorder="1"/>
    <xf numFmtId="0" fontId="3" fillId="9" borderId="0" xfId="0" applyFont="1" applyFill="1"/>
    <xf numFmtId="0" fontId="3" fillId="9" borderId="19" xfId="0" applyFont="1" applyFill="1" applyBorder="1"/>
    <xf numFmtId="0" fontId="3" fillId="0" borderId="0" xfId="0" applyFont="1" applyAlignment="1">
      <alignment horizontal="center"/>
    </xf>
    <xf numFmtId="0" fontId="3" fillId="0" borderId="19" xfId="0" applyFont="1" applyBorder="1" applyAlignment="1">
      <alignment horizontal="center"/>
    </xf>
    <xf numFmtId="0" fontId="10" fillId="0" borderId="0" xfId="0" applyFont="1" applyAlignment="1">
      <alignment horizontal="center"/>
    </xf>
    <xf numFmtId="0" fontId="10" fillId="0" borderId="19" xfId="0" applyFont="1" applyBorder="1" applyAlignment="1">
      <alignment horizontal="center"/>
    </xf>
    <xf numFmtId="0" fontId="7" fillId="0" borderId="0" xfId="0" applyFont="1" applyAlignment="1">
      <alignment horizontal="center"/>
    </xf>
    <xf numFmtId="0" fontId="7" fillId="0" borderId="19" xfId="0" applyFont="1" applyBorder="1" applyAlignment="1">
      <alignment horizontal="center"/>
    </xf>
    <xf numFmtId="0" fontId="10" fillId="10" borderId="0" xfId="0" applyFont="1" applyFill="1" applyAlignment="1">
      <alignment horizontal="center"/>
    </xf>
    <xf numFmtId="0" fontId="10" fillId="10" borderId="19" xfId="0" applyFont="1" applyFill="1" applyBorder="1" applyAlignment="1">
      <alignment horizontal="center"/>
    </xf>
    <xf numFmtId="0" fontId="16" fillId="0" borderId="18" xfId="0" applyFont="1" applyBorder="1"/>
    <xf numFmtId="0" fontId="16" fillId="0" borderId="0" xfId="0" applyFont="1"/>
    <xf numFmtId="0" fontId="16" fillId="0" borderId="19" xfId="0" applyFont="1" applyBorder="1"/>
    <xf numFmtId="0" fontId="7" fillId="9" borderId="0" xfId="0" applyFont="1" applyFill="1"/>
    <xf numFmtId="0" fontId="7" fillId="9" borderId="19" xfId="0" applyFont="1" applyFill="1" applyBorder="1"/>
    <xf numFmtId="0" fontId="7" fillId="5" borderId="18" xfId="0" applyFont="1" applyFill="1" applyBorder="1"/>
    <xf numFmtId="0" fontId="3" fillId="5" borderId="0" xfId="0" applyFont="1" applyFill="1"/>
    <xf numFmtId="0" fontId="3" fillId="5" borderId="19" xfId="0" applyFont="1" applyFill="1" applyBorder="1"/>
    <xf numFmtId="0" fontId="7" fillId="7" borderId="21" xfId="0" applyFont="1" applyFill="1" applyBorder="1" applyAlignment="1">
      <alignment horizontal="center"/>
    </xf>
    <xf numFmtId="0" fontId="7" fillId="7" borderId="22" xfId="0" applyFont="1" applyFill="1" applyBorder="1" applyAlignment="1">
      <alignment horizontal="center"/>
    </xf>
    <xf numFmtId="0" fontId="20" fillId="0" borderId="18" xfId="0" applyFont="1" applyBorder="1"/>
    <xf numFmtId="0" fontId="11" fillId="5" borderId="18" xfId="0" applyFont="1" applyFill="1" applyBorder="1"/>
    <xf numFmtId="0" fontId="7" fillId="5" borderId="0" xfId="0" applyFont="1" applyFill="1"/>
    <xf numFmtId="0" fontId="7" fillId="5" borderId="19" xfId="0" applyFont="1" applyFill="1" applyBorder="1"/>
    <xf numFmtId="0" fontId="11" fillId="0" borderId="18" xfId="0" applyFont="1" applyBorder="1"/>
    <xf numFmtId="0" fontId="11" fillId="11" borderId="18" xfId="0" applyFont="1" applyFill="1" applyBorder="1" applyAlignment="1">
      <alignment horizontal="justify" vertical="center"/>
    </xf>
    <xf numFmtId="0" fontId="3" fillId="11" borderId="0" xfId="0" applyFont="1" applyFill="1"/>
    <xf numFmtId="0" fontId="3" fillId="11" borderId="19" xfId="0" applyFont="1" applyFill="1" applyBorder="1"/>
    <xf numFmtId="0" fontId="8" fillId="0" borderId="18" xfId="0" applyFont="1" applyBorder="1"/>
    <xf numFmtId="0" fontId="11" fillId="11" borderId="18" xfId="0" applyFont="1" applyFill="1" applyBorder="1"/>
    <xf numFmtId="0" fontId="7" fillId="11" borderId="0" xfId="0" applyFont="1" applyFill="1"/>
    <xf numFmtId="0" fontId="7" fillId="11" borderId="19" xfId="0" applyFont="1" applyFill="1" applyBorder="1"/>
    <xf numFmtId="0" fontId="11" fillId="6" borderId="20" xfId="0" applyFont="1" applyFill="1" applyBorder="1"/>
    <xf numFmtId="0" fontId="7" fillId="6" borderId="21" xfId="0" applyFont="1" applyFill="1" applyBorder="1"/>
    <xf numFmtId="0" fontId="7" fillId="6" borderId="22" xfId="0" applyFont="1" applyFill="1" applyBorder="1"/>
    <xf numFmtId="0" fontId="14" fillId="0" borderId="0" xfId="0" applyFont="1"/>
    <xf numFmtId="0" fontId="15" fillId="0" borderId="0" xfId="0" applyFont="1"/>
    <xf numFmtId="0" fontId="3" fillId="9" borderId="18" xfId="0" applyFont="1" applyFill="1" applyBorder="1"/>
    <xf numFmtId="10" fontId="3" fillId="0" borderId="0" xfId="1" applyNumberFormat="1" applyFont="1" applyBorder="1"/>
    <xf numFmtId="10" fontId="3" fillId="0" borderId="19" xfId="1" applyNumberFormat="1" applyFont="1" applyBorder="1"/>
    <xf numFmtId="10" fontId="3" fillId="0" borderId="25" xfId="1" applyNumberFormat="1" applyFont="1" applyBorder="1"/>
    <xf numFmtId="10" fontId="3" fillId="0" borderId="10" xfId="1" applyNumberFormat="1" applyFont="1" applyBorder="1"/>
    <xf numFmtId="0" fontId="3" fillId="0" borderId="26" xfId="0" applyFont="1" applyBorder="1"/>
    <xf numFmtId="10" fontId="7" fillId="0" borderId="0" xfId="0" applyNumberFormat="1" applyFont="1"/>
    <xf numFmtId="10" fontId="7" fillId="0" borderId="19" xfId="1" applyNumberFormat="1" applyFont="1" applyBorder="1"/>
    <xf numFmtId="10" fontId="7" fillId="0" borderId="0" xfId="1" applyNumberFormat="1" applyFont="1" applyBorder="1"/>
    <xf numFmtId="0" fontId="16" fillId="0" borderId="27" xfId="0" applyFont="1" applyBorder="1"/>
    <xf numFmtId="9" fontId="7" fillId="0" borderId="0" xfId="1" applyFont="1" applyBorder="1"/>
    <xf numFmtId="0" fontId="16" fillId="0" borderId="26" xfId="0" applyFont="1" applyBorder="1"/>
    <xf numFmtId="10" fontId="3" fillId="9" borderId="0" xfId="1" applyNumberFormat="1" applyFont="1" applyFill="1" applyBorder="1"/>
    <xf numFmtId="10" fontId="7" fillId="9" borderId="0" xfId="0" applyNumberFormat="1" applyFont="1" applyFill="1"/>
    <xf numFmtId="10" fontId="3" fillId="9" borderId="19" xfId="1" applyNumberFormat="1" applyFont="1" applyFill="1" applyBorder="1"/>
    <xf numFmtId="0" fontId="3" fillId="5" borderId="18" xfId="0" applyFont="1" applyFill="1" applyBorder="1"/>
    <xf numFmtId="10" fontId="3" fillId="5" borderId="0" xfId="1" applyNumberFormat="1" applyFont="1" applyFill="1" applyBorder="1"/>
    <xf numFmtId="10" fontId="3" fillId="5" borderId="19" xfId="1" applyNumberFormat="1" applyFont="1" applyFill="1" applyBorder="1"/>
    <xf numFmtId="10" fontId="3" fillId="10" borderId="0" xfId="1" applyNumberFormat="1" applyFont="1" applyFill="1" applyBorder="1"/>
    <xf numFmtId="0" fontId="20" fillId="0" borderId="0" xfId="0" applyFont="1"/>
    <xf numFmtId="0" fontId="11" fillId="5" borderId="0" xfId="0" applyFont="1" applyFill="1"/>
    <xf numFmtId="10" fontId="7" fillId="5" borderId="0" xfId="0" applyNumberFormat="1" applyFont="1" applyFill="1"/>
    <xf numFmtId="0" fontId="11" fillId="0" borderId="0" xfId="0" applyFont="1"/>
    <xf numFmtId="0" fontId="11" fillId="11" borderId="0" xfId="0" applyFont="1" applyFill="1" applyAlignment="1">
      <alignment horizontal="justify" vertical="center"/>
    </xf>
    <xf numFmtId="0" fontId="3" fillId="11" borderId="18" xfId="0" applyFont="1" applyFill="1" applyBorder="1"/>
    <xf numFmtId="10" fontId="3" fillId="11" borderId="0" xfId="1" applyNumberFormat="1" applyFont="1" applyFill="1" applyBorder="1"/>
    <xf numFmtId="10" fontId="3" fillId="11" borderId="19" xfId="1" applyNumberFormat="1" applyFont="1" applyFill="1" applyBorder="1"/>
    <xf numFmtId="0" fontId="8" fillId="0" borderId="0" xfId="0" applyFont="1"/>
    <xf numFmtId="0" fontId="11" fillId="11" borderId="0" xfId="0" applyFont="1" applyFill="1"/>
    <xf numFmtId="0" fontId="7" fillId="11" borderId="18" xfId="0" applyFont="1" applyFill="1" applyBorder="1"/>
    <xf numFmtId="10" fontId="7" fillId="11" borderId="0" xfId="0" applyNumberFormat="1" applyFont="1" applyFill="1"/>
    <xf numFmtId="10" fontId="7" fillId="11" borderId="19" xfId="1" applyNumberFormat="1" applyFont="1" applyFill="1" applyBorder="1"/>
    <xf numFmtId="10" fontId="7" fillId="11" borderId="0" xfId="1" applyNumberFormat="1" applyFont="1" applyFill="1" applyBorder="1"/>
    <xf numFmtId="0" fontId="11" fillId="6" borderId="0" xfId="0" applyFont="1" applyFill="1"/>
    <xf numFmtId="0" fontId="7" fillId="6" borderId="0" xfId="0" applyFont="1" applyFill="1"/>
    <xf numFmtId="0" fontId="7" fillId="6" borderId="20" xfId="0" applyFont="1" applyFill="1" applyBorder="1"/>
    <xf numFmtId="10" fontId="3" fillId="0" borderId="21" xfId="1" applyNumberFormat="1" applyFont="1" applyBorder="1"/>
    <xf numFmtId="10" fontId="7" fillId="0" borderId="21" xfId="0" applyNumberFormat="1" applyFont="1" applyBorder="1"/>
    <xf numFmtId="10" fontId="3" fillId="0" borderId="22" xfId="1" applyNumberFormat="1" applyFont="1" applyBorder="1"/>
    <xf numFmtId="0" fontId="5" fillId="0" borderId="0" xfId="0" applyFont="1"/>
    <xf numFmtId="0" fontId="22" fillId="0" borderId="0" xfId="0" applyFont="1"/>
    <xf numFmtId="0" fontId="5" fillId="0" borderId="0" xfId="0" applyFont="1" applyAlignment="1">
      <alignment wrapText="1"/>
    </xf>
    <xf numFmtId="0" fontId="5" fillId="5" borderId="0" xfId="0" applyFont="1" applyFill="1"/>
    <xf numFmtId="0" fontId="5" fillId="12" borderId="0" xfId="0" applyFont="1" applyFill="1"/>
    <xf numFmtId="0" fontId="26" fillId="0" borderId="0" xfId="0" applyFont="1"/>
    <xf numFmtId="0" fontId="27" fillId="0" borderId="0" xfId="0" applyFont="1" applyAlignment="1">
      <alignment horizontal="center"/>
    </xf>
    <xf numFmtId="0" fontId="26" fillId="0" borderId="0" xfId="0" applyFont="1" applyAlignment="1">
      <alignment horizontal="left"/>
    </xf>
    <xf numFmtId="0" fontId="32" fillId="0" borderId="0" xfId="0" applyFont="1" applyAlignment="1">
      <alignment vertical="center" wrapText="1"/>
    </xf>
    <xf numFmtId="0" fontId="32" fillId="0" borderId="0" xfId="0" applyFont="1" applyAlignment="1">
      <alignment horizontal="center" vertical="center" wrapText="1"/>
    </xf>
    <xf numFmtId="0" fontId="28" fillId="0" borderId="0" xfId="0" applyFont="1" applyAlignment="1">
      <alignment vertical="center"/>
    </xf>
    <xf numFmtId="167" fontId="26" fillId="0" borderId="0" xfId="0" applyNumberFormat="1" applyFont="1"/>
    <xf numFmtId="0" fontId="28" fillId="0" borderId="0" xfId="0" applyFont="1"/>
    <xf numFmtId="0" fontId="26" fillId="0" borderId="37" xfId="0" applyFont="1" applyBorder="1" applyAlignment="1">
      <alignment horizontal="left"/>
    </xf>
    <xf numFmtId="167" fontId="26" fillId="0" borderId="38" xfId="0" applyNumberFormat="1" applyFont="1" applyBorder="1"/>
    <xf numFmtId="0" fontId="26" fillId="0" borderId="39" xfId="0" applyFont="1" applyBorder="1" applyAlignment="1">
      <alignment horizontal="left"/>
    </xf>
    <xf numFmtId="167" fontId="26" fillId="0" borderId="39" xfId="0" applyNumberFormat="1" applyFont="1" applyBorder="1"/>
    <xf numFmtId="0" fontId="26" fillId="0" borderId="40" xfId="0" applyFont="1" applyBorder="1" applyAlignment="1">
      <alignment horizontal="left"/>
    </xf>
    <xf numFmtId="167" fontId="26" fillId="0" borderId="41" xfId="0" applyNumberFormat="1" applyFont="1" applyBorder="1"/>
    <xf numFmtId="0" fontId="26" fillId="14" borderId="39" xfId="0" applyFont="1" applyFill="1" applyBorder="1" applyAlignment="1">
      <alignment horizontal="left"/>
    </xf>
    <xf numFmtId="167" fontId="26" fillId="14" borderId="39" xfId="0" applyNumberFormat="1" applyFont="1" applyFill="1" applyBorder="1"/>
    <xf numFmtId="0" fontId="33" fillId="0" borderId="0" xfId="0" applyFont="1"/>
    <xf numFmtId="167" fontId="28" fillId="0" borderId="0" xfId="0" applyNumberFormat="1" applyFont="1"/>
    <xf numFmtId="167" fontId="26" fillId="0" borderId="42" xfId="0" applyNumberFormat="1" applyFont="1" applyBorder="1"/>
    <xf numFmtId="167" fontId="26" fillId="0" borderId="43" xfId="0" applyNumberFormat="1" applyFont="1" applyBorder="1"/>
    <xf numFmtId="0" fontId="26" fillId="0" borderId="44" xfId="0" applyFont="1" applyBorder="1" applyAlignment="1">
      <alignment horizontal="left"/>
    </xf>
    <xf numFmtId="167" fontId="26" fillId="0" borderId="45" xfId="0" applyNumberFormat="1" applyFont="1" applyBorder="1"/>
    <xf numFmtId="0" fontId="26" fillId="0" borderId="46" xfId="0" applyFont="1" applyBorder="1" applyAlignment="1">
      <alignment horizontal="left"/>
    </xf>
    <xf numFmtId="167" fontId="26" fillId="0" borderId="47" xfId="0" applyNumberFormat="1" applyFont="1" applyBorder="1"/>
    <xf numFmtId="0" fontId="7" fillId="0" borderId="0" xfId="0" applyFont="1" applyAlignment="1">
      <alignment horizontal="center" vertical="center"/>
    </xf>
    <xf numFmtId="0" fontId="7" fillId="0" borderId="0" xfId="0" applyFont="1" applyAlignment="1">
      <alignment horizontal="left" vertical="center" wrapText="1"/>
    </xf>
    <xf numFmtId="0" fontId="3" fillId="0" borderId="0" xfId="10" applyFont="1"/>
    <xf numFmtId="0" fontId="7" fillId="0" borderId="0" xfId="10" applyFont="1" applyAlignment="1">
      <alignment horizontal="center"/>
    </xf>
    <xf numFmtId="0" fontId="3" fillId="0" borderId="0" xfId="10" applyFont="1" applyAlignment="1">
      <alignment horizontal="center"/>
    </xf>
    <xf numFmtId="0" fontId="7" fillId="0" borderId="0" xfId="10" applyFont="1" applyAlignment="1">
      <alignment horizontal="left"/>
    </xf>
    <xf numFmtId="0" fontId="3" fillId="0" borderId="0" xfId="10" applyFont="1" applyAlignment="1">
      <alignment horizontal="left"/>
    </xf>
    <xf numFmtId="0" fontId="7" fillId="0" borderId="0" xfId="10" applyFont="1"/>
    <xf numFmtId="10" fontId="7" fillId="0" borderId="0" xfId="11" applyNumberFormat="1" applyFont="1" applyFill="1" applyBorder="1" applyAlignment="1">
      <alignment horizontal="left"/>
    </xf>
    <xf numFmtId="10" fontId="7" fillId="0" borderId="0" xfId="11" applyNumberFormat="1" applyFont="1" applyFill="1" applyAlignment="1">
      <alignment horizontal="left"/>
    </xf>
    <xf numFmtId="10" fontId="3" fillId="0" borderId="0" xfId="11" applyNumberFormat="1" applyFont="1" applyFill="1" applyBorder="1" applyAlignment="1">
      <alignment horizontal="left"/>
    </xf>
    <xf numFmtId="10" fontId="3" fillId="0" borderId="0" xfId="11" applyNumberFormat="1" applyFont="1" applyFill="1" applyAlignment="1">
      <alignment horizontal="left"/>
    </xf>
    <xf numFmtId="0" fontId="3" fillId="0" borderId="1" xfId="10" applyFont="1" applyBorder="1"/>
    <xf numFmtId="0" fontId="7" fillId="0" borderId="4" xfId="10" applyFont="1" applyBorder="1" applyAlignment="1">
      <alignment horizontal="center"/>
    </xf>
    <xf numFmtId="0" fontId="7" fillId="0" borderId="5" xfId="10" applyFont="1" applyBorder="1" applyAlignment="1">
      <alignment horizontal="center"/>
    </xf>
    <xf numFmtId="10" fontId="3" fillId="0" borderId="0" xfId="11" applyNumberFormat="1" applyFont="1" applyBorder="1" applyAlignment="1">
      <alignment horizontal="center"/>
    </xf>
    <xf numFmtId="0" fontId="7" fillId="5" borderId="6" xfId="10" applyFont="1" applyFill="1" applyBorder="1"/>
    <xf numFmtId="41" fontId="7" fillId="0" borderId="6" xfId="12" applyFont="1" applyBorder="1"/>
    <xf numFmtId="41" fontId="7" fillId="0" borderId="13" xfId="12" applyFont="1" applyBorder="1"/>
    <xf numFmtId="0" fontId="15" fillId="5" borderId="0" xfId="10" applyFont="1" applyFill="1"/>
    <xf numFmtId="0" fontId="3" fillId="5" borderId="0" xfId="10" applyFont="1" applyFill="1"/>
    <xf numFmtId="0" fontId="7" fillId="0" borderId="1" xfId="10" applyFont="1" applyBorder="1" applyAlignment="1">
      <alignment horizontal="center"/>
    </xf>
    <xf numFmtId="0" fontId="8" fillId="0" borderId="6" xfId="10" applyFont="1" applyBorder="1"/>
    <xf numFmtId="41" fontId="3" fillId="0" borderId="6" xfId="12" applyFont="1" applyBorder="1"/>
    <xf numFmtId="41" fontId="3" fillId="0" borderId="13" xfId="12" applyFont="1" applyBorder="1"/>
    <xf numFmtId="0" fontId="8" fillId="0" borderId="0" xfId="10" applyFont="1"/>
    <xf numFmtId="0" fontId="3" fillId="0" borderId="6" xfId="10" applyFont="1" applyBorder="1" applyAlignment="1">
      <alignment horizontal="center"/>
    </xf>
    <xf numFmtId="0" fontId="3" fillId="0" borderId="7" xfId="10" applyFont="1" applyBorder="1"/>
    <xf numFmtId="41" fontId="7" fillId="0" borderId="1" xfId="12" applyFont="1" applyBorder="1"/>
    <xf numFmtId="41" fontId="7" fillId="0" borderId="50" xfId="12" applyFont="1" applyBorder="1"/>
    <xf numFmtId="165" fontId="3" fillId="0" borderId="6" xfId="13" applyNumberFormat="1" applyFont="1" applyFill="1" applyBorder="1"/>
    <xf numFmtId="165" fontId="3" fillId="0" borderId="7" xfId="13" applyNumberFormat="1" applyFont="1" applyFill="1" applyBorder="1"/>
    <xf numFmtId="10" fontId="3" fillId="0" borderId="0" xfId="11" applyNumberFormat="1" applyFont="1"/>
    <xf numFmtId="10" fontId="7" fillId="0" borderId="0" xfId="11" applyNumberFormat="1" applyFont="1" applyBorder="1" applyAlignment="1">
      <alignment horizontal="center"/>
    </xf>
    <xf numFmtId="10" fontId="7" fillId="0" borderId="0" xfId="11" applyNumberFormat="1" applyFont="1"/>
    <xf numFmtId="165" fontId="9" fillId="0" borderId="6" xfId="13" applyNumberFormat="1" applyFont="1" applyFill="1" applyBorder="1"/>
    <xf numFmtId="165" fontId="9" fillId="0" borderId="7" xfId="13" applyNumberFormat="1" applyFont="1" applyFill="1" applyBorder="1"/>
    <xf numFmtId="165" fontId="3" fillId="0" borderId="9" xfId="13" applyNumberFormat="1" applyFont="1" applyFill="1" applyBorder="1"/>
    <xf numFmtId="165" fontId="3" fillId="0" borderId="8" xfId="13" applyNumberFormat="1" applyFont="1" applyFill="1" applyBorder="1"/>
    <xf numFmtId="10" fontId="3" fillId="0" borderId="0" xfId="11" applyNumberFormat="1" applyFont="1" applyFill="1" applyBorder="1" applyAlignment="1">
      <alignment horizontal="center"/>
    </xf>
    <xf numFmtId="10" fontId="3" fillId="0" borderId="0" xfId="11" applyNumberFormat="1" applyFont="1" applyFill="1" applyBorder="1"/>
    <xf numFmtId="41" fontId="7" fillId="0" borderId="2" xfId="12" applyFont="1" applyBorder="1"/>
    <xf numFmtId="41" fontId="12" fillId="0" borderId="11" xfId="12" applyFont="1" applyBorder="1"/>
    <xf numFmtId="165" fontId="7" fillId="0" borderId="2" xfId="13" applyNumberFormat="1" applyFont="1" applyFill="1" applyBorder="1"/>
    <xf numFmtId="165" fontId="16" fillId="0" borderId="3" xfId="13" applyNumberFormat="1" applyFont="1" applyFill="1" applyBorder="1"/>
    <xf numFmtId="10" fontId="7" fillId="0" borderId="0" xfId="11" applyNumberFormat="1" applyFont="1" applyFill="1" applyBorder="1" applyAlignment="1">
      <alignment horizontal="center"/>
    </xf>
    <xf numFmtId="10" fontId="7" fillId="0" borderId="0" xfId="11" applyNumberFormat="1" applyFont="1" applyFill="1" applyBorder="1"/>
    <xf numFmtId="165" fontId="3" fillId="0" borderId="1" xfId="13" applyNumberFormat="1" applyFont="1" applyFill="1" applyBorder="1"/>
    <xf numFmtId="165" fontId="3" fillId="0" borderId="5" xfId="13" applyNumberFormat="1" applyFont="1" applyFill="1" applyBorder="1"/>
    <xf numFmtId="165" fontId="3" fillId="0" borderId="6" xfId="10" applyNumberFormat="1" applyFont="1" applyBorder="1"/>
    <xf numFmtId="165" fontId="3" fillId="0" borderId="7" xfId="10" applyNumberFormat="1" applyFont="1" applyBorder="1"/>
    <xf numFmtId="41" fontId="12" fillId="0" borderId="50" xfId="12" applyFont="1" applyBorder="1"/>
    <xf numFmtId="165" fontId="10" fillId="0" borderId="9" xfId="10" applyNumberFormat="1" applyFont="1" applyBorder="1"/>
    <xf numFmtId="165" fontId="10" fillId="0" borderId="8" xfId="10" applyNumberFormat="1" applyFont="1" applyBorder="1"/>
    <xf numFmtId="165" fontId="7" fillId="0" borderId="2" xfId="10" applyNumberFormat="1" applyFont="1" applyBorder="1"/>
    <xf numFmtId="165" fontId="7" fillId="0" borderId="11" xfId="10" applyNumberFormat="1" applyFont="1" applyBorder="1"/>
    <xf numFmtId="0" fontId="8" fillId="0" borderId="9" xfId="10" applyFont="1" applyBorder="1"/>
    <xf numFmtId="165" fontId="7" fillId="5" borderId="6" xfId="10" applyNumberFormat="1" applyFont="1" applyFill="1" applyBorder="1"/>
    <xf numFmtId="9" fontId="3" fillId="0" borderId="0" xfId="10" applyNumberFormat="1" applyFont="1" applyAlignment="1">
      <alignment horizontal="center"/>
    </xf>
    <xf numFmtId="0" fontId="3" fillId="0" borderId="6" xfId="10" applyFont="1" applyBorder="1"/>
    <xf numFmtId="0" fontId="3" fillId="0" borderId="13" xfId="10" applyFont="1" applyBorder="1"/>
    <xf numFmtId="0" fontId="3" fillId="0" borderId="5" xfId="10" applyFont="1" applyBorder="1"/>
    <xf numFmtId="0" fontId="6" fillId="0" borderId="0" xfId="10" applyFont="1" applyAlignment="1">
      <alignment wrapText="1"/>
    </xf>
    <xf numFmtId="165" fontId="12" fillId="0" borderId="3" xfId="13" applyNumberFormat="1" applyFont="1" applyFill="1" applyBorder="1"/>
    <xf numFmtId="43" fontId="3" fillId="0" borderId="1" xfId="13" applyFont="1" applyFill="1" applyBorder="1"/>
    <xf numFmtId="43" fontId="9" fillId="0" borderId="5" xfId="13" applyFont="1" applyFill="1" applyBorder="1"/>
    <xf numFmtId="0" fontId="15" fillId="0" borderId="0" xfId="10" applyFont="1"/>
    <xf numFmtId="165" fontId="3" fillId="0" borderId="9" xfId="13" applyNumberFormat="1" applyFont="1" applyBorder="1"/>
    <xf numFmtId="165" fontId="3" fillId="0" borderId="8" xfId="13" applyNumberFormat="1" applyFont="1" applyBorder="1"/>
    <xf numFmtId="0" fontId="11" fillId="0" borderId="0" xfId="10" applyFont="1"/>
    <xf numFmtId="165" fontId="3" fillId="0" borderId="0" xfId="13" applyNumberFormat="1" applyFont="1" applyFill="1" applyBorder="1"/>
    <xf numFmtId="165" fontId="3" fillId="0" borderId="0" xfId="10" applyNumberFormat="1" applyFont="1"/>
    <xf numFmtId="9" fontId="3" fillId="0" borderId="0" xfId="11" applyFont="1" applyFill="1" applyBorder="1"/>
    <xf numFmtId="165" fontId="7" fillId="6" borderId="9" xfId="13" applyNumberFormat="1" applyFont="1" applyFill="1" applyBorder="1"/>
    <xf numFmtId="165" fontId="7" fillId="6" borderId="51" xfId="13" applyNumberFormat="1" applyFont="1" applyFill="1" applyBorder="1"/>
    <xf numFmtId="165" fontId="3" fillId="0" borderId="6" xfId="13" applyNumberFormat="1" applyFont="1" applyBorder="1"/>
    <xf numFmtId="165" fontId="3" fillId="0" borderId="7" xfId="13" applyNumberFormat="1" applyFont="1" applyBorder="1"/>
    <xf numFmtId="165" fontId="9" fillId="0" borderId="0" xfId="13" applyNumberFormat="1" applyFont="1" applyFill="1" applyBorder="1"/>
    <xf numFmtId="43" fontId="3" fillId="0" borderId="1" xfId="13" applyFont="1" applyBorder="1"/>
    <xf numFmtId="43" fontId="3" fillId="0" borderId="5" xfId="13" applyFont="1" applyBorder="1"/>
    <xf numFmtId="10" fontId="3" fillId="0" borderId="0" xfId="10" applyNumberFormat="1" applyFont="1"/>
    <xf numFmtId="0" fontId="16" fillId="0" borderId="0" xfId="10" applyFont="1"/>
    <xf numFmtId="165" fontId="7" fillId="0" borderId="0" xfId="13" applyNumberFormat="1" applyFont="1" applyFill="1" applyBorder="1"/>
    <xf numFmtId="165" fontId="16" fillId="0" borderId="0" xfId="13" applyNumberFormat="1" applyFont="1" applyFill="1" applyBorder="1"/>
    <xf numFmtId="165" fontId="7" fillId="0" borderId="0" xfId="10" applyNumberFormat="1" applyFont="1"/>
    <xf numFmtId="9" fontId="7" fillId="0" borderId="0" xfId="11" applyFont="1" applyFill="1" applyBorder="1"/>
    <xf numFmtId="165" fontId="7" fillId="7" borderId="2" xfId="13" applyNumberFormat="1" applyFont="1" applyFill="1" applyBorder="1"/>
    <xf numFmtId="165" fontId="7" fillId="7" borderId="11" xfId="13" applyNumberFormat="1" applyFont="1" applyFill="1" applyBorder="1"/>
    <xf numFmtId="0" fontId="10" fillId="0" borderId="0" xfId="10" applyFont="1"/>
    <xf numFmtId="165" fontId="10" fillId="0" borderId="0" xfId="10" applyNumberFormat="1" applyFont="1"/>
    <xf numFmtId="165" fontId="7" fillId="0" borderId="6" xfId="13" applyNumberFormat="1" applyFont="1" applyFill="1" applyBorder="1"/>
    <xf numFmtId="165" fontId="7" fillId="0" borderId="7" xfId="13" applyNumberFormat="1" applyFont="1" applyFill="1" applyBorder="1"/>
    <xf numFmtId="165" fontId="7" fillId="5" borderId="9" xfId="13" applyNumberFormat="1" applyFont="1" applyFill="1" applyBorder="1"/>
    <xf numFmtId="165" fontId="7" fillId="5" borderId="8" xfId="13" applyNumberFormat="1" applyFont="1" applyFill="1" applyBorder="1"/>
    <xf numFmtId="9" fontId="3" fillId="0" borderId="0" xfId="10" applyNumberFormat="1" applyFont="1"/>
    <xf numFmtId="10" fontId="7" fillId="0" borderId="0" xfId="10" applyNumberFormat="1" applyFont="1"/>
    <xf numFmtId="9" fontId="7" fillId="0" borderId="0" xfId="10" applyNumberFormat="1" applyFont="1"/>
    <xf numFmtId="10" fontId="7" fillId="0" borderId="0" xfId="13" applyNumberFormat="1" applyFont="1" applyFill="1" applyBorder="1"/>
    <xf numFmtId="43" fontId="7" fillId="0" borderId="0" xfId="13" applyFont="1" applyFill="1" applyBorder="1"/>
    <xf numFmtId="0" fontId="3" fillId="0" borderId="4" xfId="10" applyFont="1" applyBorder="1"/>
    <xf numFmtId="0" fontId="19" fillId="0" borderId="4" xfId="10" applyFont="1" applyBorder="1" applyAlignment="1">
      <alignment horizontal="center"/>
    </xf>
    <xf numFmtId="0" fontId="19" fillId="0" borderId="5" xfId="10" applyFont="1" applyBorder="1" applyAlignment="1">
      <alignment horizontal="center"/>
    </xf>
    <xf numFmtId="0" fontId="7" fillId="0" borderId="6" xfId="10" applyFont="1" applyBorder="1"/>
    <xf numFmtId="0" fontId="19" fillId="0" borderId="0" xfId="10" applyFont="1" applyAlignment="1">
      <alignment horizontal="center"/>
    </xf>
    <xf numFmtId="0" fontId="19" fillId="0" borderId="7" xfId="10" applyFont="1" applyBorder="1" applyAlignment="1">
      <alignment horizontal="center"/>
    </xf>
    <xf numFmtId="165" fontId="3" fillId="0" borderId="10" xfId="10" applyNumberFormat="1" applyFont="1" applyBorder="1" applyAlignment="1">
      <alignment horizontal="center"/>
    </xf>
    <xf numFmtId="43" fontId="40" fillId="16" borderId="0" xfId="9" applyNumberFormat="1" applyFont="1" applyAlignment="1">
      <alignment horizontal="center"/>
    </xf>
    <xf numFmtId="165" fontId="3" fillId="0" borderId="0" xfId="10" applyNumberFormat="1" applyFont="1" applyAlignment="1">
      <alignment horizontal="center"/>
    </xf>
    <xf numFmtId="2" fontId="19" fillId="0" borderId="0" xfId="10" applyNumberFormat="1" applyFont="1" applyAlignment="1">
      <alignment horizontal="center"/>
    </xf>
    <xf numFmtId="2" fontId="19" fillId="0" borderId="7" xfId="10" applyNumberFormat="1" applyFont="1" applyBorder="1" applyAlignment="1">
      <alignment horizontal="center"/>
    </xf>
    <xf numFmtId="0" fontId="7" fillId="0" borderId="6" xfId="10" applyFont="1" applyBorder="1" applyAlignment="1">
      <alignment vertical="center"/>
    </xf>
    <xf numFmtId="41" fontId="3" fillId="0" borderId="10" xfId="10" applyNumberFormat="1" applyFont="1" applyBorder="1"/>
    <xf numFmtId="165" fontId="3" fillId="0" borderId="10" xfId="10" applyNumberFormat="1" applyFont="1" applyBorder="1"/>
    <xf numFmtId="43" fontId="9" fillId="7" borderId="0" xfId="9" applyNumberFormat="1" applyFont="1" applyFill="1" applyAlignment="1">
      <alignment horizontal="center"/>
    </xf>
    <xf numFmtId="0" fontId="3" fillId="0" borderId="6" xfId="10" applyFont="1" applyBorder="1" applyAlignment="1">
      <alignment horizontal="left" wrapText="1"/>
    </xf>
    <xf numFmtId="0" fontId="3" fillId="0" borderId="0" xfId="10" applyFont="1" applyAlignment="1">
      <alignment horizontal="left" wrapText="1"/>
    </xf>
    <xf numFmtId="41" fontId="3" fillId="0" borderId="0" xfId="10" applyNumberFormat="1" applyFont="1"/>
    <xf numFmtId="0" fontId="3" fillId="0" borderId="10" xfId="10" applyFont="1" applyBorder="1"/>
    <xf numFmtId="0" fontId="3" fillId="0" borderId="8" xfId="10" applyFont="1" applyBorder="1"/>
    <xf numFmtId="9" fontId="40" fillId="16" borderId="0" xfId="9" applyNumberFormat="1" applyFont="1" applyBorder="1"/>
    <xf numFmtId="9" fontId="19" fillId="0" borderId="0" xfId="9" applyNumberFormat="1" applyFont="1" applyFill="1" applyBorder="1" applyAlignment="1">
      <alignment horizontal="center"/>
    </xf>
    <xf numFmtId="9" fontId="19" fillId="0" borderId="7" xfId="11" applyFont="1" applyBorder="1" applyAlignment="1">
      <alignment horizontal="center"/>
    </xf>
    <xf numFmtId="0" fontId="19" fillId="0" borderId="10" xfId="10" applyFont="1" applyBorder="1" applyAlignment="1">
      <alignment horizontal="center"/>
    </xf>
    <xf numFmtId="0" fontId="6" fillId="0" borderId="1" xfId="10" applyFont="1" applyBorder="1"/>
    <xf numFmtId="9" fontId="40" fillId="16" borderId="0" xfId="9" applyNumberFormat="1" applyFont="1" applyAlignment="1">
      <alignment horizontal="center"/>
    </xf>
    <xf numFmtId="9" fontId="19" fillId="0" borderId="0" xfId="9" applyNumberFormat="1" applyFont="1" applyFill="1" applyAlignment="1">
      <alignment horizontal="center"/>
    </xf>
    <xf numFmtId="9" fontId="19" fillId="0" borderId="7" xfId="10" applyNumberFormat="1" applyFont="1" applyBorder="1" applyAlignment="1">
      <alignment horizontal="center"/>
    </xf>
    <xf numFmtId="9" fontId="9" fillId="7" borderId="0" xfId="9" applyNumberFormat="1" applyFont="1" applyFill="1" applyAlignment="1">
      <alignment horizontal="center"/>
    </xf>
    <xf numFmtId="9" fontId="9" fillId="7" borderId="0" xfId="9" applyNumberFormat="1" applyFont="1" applyFill="1" applyBorder="1"/>
    <xf numFmtId="168" fontId="9" fillId="7" borderId="0" xfId="9" applyNumberFormat="1" applyFont="1" applyFill="1" applyAlignment="1">
      <alignment horizontal="center"/>
    </xf>
    <xf numFmtId="168" fontId="19" fillId="0" borderId="0" xfId="9" applyNumberFormat="1" applyFont="1" applyFill="1" applyAlignment="1">
      <alignment horizontal="center"/>
    </xf>
    <xf numFmtId="168" fontId="19" fillId="0" borderId="7" xfId="10" applyNumberFormat="1" applyFont="1" applyBorder="1" applyAlignment="1">
      <alignment horizontal="center"/>
    </xf>
    <xf numFmtId="10" fontId="9" fillId="0" borderId="7" xfId="6" applyNumberFormat="1" applyFont="1" applyFill="1" applyBorder="1"/>
    <xf numFmtId="165" fontId="9" fillId="0" borderId="7" xfId="7" applyNumberFormat="1" applyFont="1" applyFill="1" applyBorder="1"/>
    <xf numFmtId="165" fontId="3" fillId="0" borderId="8" xfId="7" applyNumberFormat="1" applyFont="1" applyFill="1" applyBorder="1"/>
    <xf numFmtId="165" fontId="3" fillId="0" borderId="7" xfId="4" applyNumberFormat="1" applyFont="1" applyBorder="1"/>
    <xf numFmtId="165" fontId="10" fillId="0" borderId="8" xfId="4" applyNumberFormat="1" applyFont="1" applyBorder="1"/>
    <xf numFmtId="165" fontId="7" fillId="0" borderId="11" xfId="4" applyNumberFormat="1" applyFont="1" applyBorder="1"/>
    <xf numFmtId="165" fontId="7" fillId="7" borderId="11" xfId="7" applyNumberFormat="1" applyFont="1" applyFill="1" applyBorder="1"/>
    <xf numFmtId="0" fontId="3" fillId="0" borderId="0" xfId="0" applyFont="1" applyAlignment="1">
      <alignment horizontal="center" vertical="center"/>
    </xf>
    <xf numFmtId="0" fontId="3" fillId="0" borderId="0" xfId="0" applyFont="1" applyAlignment="1">
      <alignment horizontal="left" vertical="center" wrapText="1"/>
    </xf>
    <xf numFmtId="9" fontId="3" fillId="0" borderId="0" xfId="0" applyNumberFormat="1" applyFont="1" applyAlignment="1">
      <alignment horizontal="center"/>
    </xf>
    <xf numFmtId="10" fontId="3" fillId="0" borderId="0" xfId="0" applyNumberFormat="1" applyFont="1" applyAlignment="1">
      <alignment horizontal="center"/>
    </xf>
    <xf numFmtId="0" fontId="19" fillId="0" borderId="0" xfId="0" applyFont="1"/>
    <xf numFmtId="0" fontId="3" fillId="0" borderId="0" xfId="14" applyFont="1"/>
    <xf numFmtId="0" fontId="18" fillId="0" borderId="0" xfId="14" applyFont="1" applyAlignment="1">
      <alignment horizontal="center" wrapText="1"/>
    </xf>
    <xf numFmtId="0" fontId="12" fillId="0" borderId="0" xfId="14" applyFont="1" applyAlignment="1">
      <alignment horizontal="center" vertical="center"/>
    </xf>
    <xf numFmtId="0" fontId="3" fillId="0" borderId="0" xfId="14" applyFont="1" applyAlignment="1">
      <alignment vertical="center" wrapText="1"/>
    </xf>
    <xf numFmtId="0" fontId="19" fillId="0" borderId="0" xfId="14" applyFont="1" applyAlignment="1">
      <alignment horizontal="center" vertical="center"/>
    </xf>
    <xf numFmtId="0" fontId="19" fillId="0" borderId="0" xfId="14" applyFont="1" applyAlignment="1">
      <alignment horizontal="left" vertical="center" wrapText="1"/>
    </xf>
    <xf numFmtId="0" fontId="7" fillId="0" borderId="0" xfId="14" applyFont="1"/>
    <xf numFmtId="0" fontId="7" fillId="0" borderId="0" xfId="14" applyFont="1" applyAlignment="1">
      <alignment vertical="center"/>
    </xf>
    <xf numFmtId="0" fontId="7" fillId="0" borderId="0" xfId="14" applyFont="1" applyAlignment="1">
      <alignment vertical="center" wrapText="1"/>
    </xf>
    <xf numFmtId="0" fontId="13" fillId="0" borderId="0" xfId="14" applyFont="1" applyAlignment="1">
      <alignment horizontal="center" vertical="center"/>
    </xf>
    <xf numFmtId="0" fontId="13" fillId="0" borderId="0" xfId="14" applyFont="1" applyAlignment="1">
      <alignment horizontal="left" vertical="center" wrapText="1"/>
    </xf>
    <xf numFmtId="0" fontId="15" fillId="0" borderId="15" xfId="14" applyFont="1" applyBorder="1"/>
    <xf numFmtId="0" fontId="3" fillId="0" borderId="16" xfId="14" applyFont="1" applyBorder="1"/>
    <xf numFmtId="0" fontId="3" fillId="0" borderId="17" xfId="14" applyFont="1" applyBorder="1"/>
    <xf numFmtId="0" fontId="15" fillId="0" borderId="18" xfId="14" applyFont="1" applyBorder="1"/>
    <xf numFmtId="0" fontId="3" fillId="0" borderId="19" xfId="14" applyFont="1" applyBorder="1"/>
    <xf numFmtId="0" fontId="3" fillId="0" borderId="18" xfId="14" applyFont="1" applyBorder="1"/>
    <xf numFmtId="0" fontId="7" fillId="0" borderId="19" xfId="14" applyFont="1" applyBorder="1"/>
    <xf numFmtId="0" fontId="7" fillId="9" borderId="18" xfId="14" applyFont="1" applyFill="1" applyBorder="1"/>
    <xf numFmtId="0" fontId="3" fillId="9" borderId="0" xfId="14" applyFont="1" applyFill="1"/>
    <xf numFmtId="0" fontId="3" fillId="9" borderId="19" xfId="14" applyFont="1" applyFill="1" applyBorder="1"/>
    <xf numFmtId="0" fontId="3" fillId="0" borderId="0" xfId="14" applyFont="1" applyAlignment="1">
      <alignment horizontal="center"/>
    </xf>
    <xf numFmtId="0" fontId="3" fillId="0" borderId="19" xfId="14" applyFont="1" applyBorder="1" applyAlignment="1">
      <alignment horizontal="center"/>
    </xf>
    <xf numFmtId="0" fontId="10" fillId="0" borderId="0" xfId="14" applyFont="1" applyAlignment="1">
      <alignment horizontal="center"/>
    </xf>
    <xf numFmtId="0" fontId="10" fillId="0" borderId="19" xfId="14" applyFont="1" applyBorder="1" applyAlignment="1">
      <alignment horizontal="center"/>
    </xf>
    <xf numFmtId="0" fontId="7" fillId="0" borderId="0" xfId="14" applyFont="1" applyAlignment="1">
      <alignment horizontal="center"/>
    </xf>
    <xf numFmtId="0" fontId="7" fillId="0" borderId="19" xfId="14" applyFont="1" applyBorder="1" applyAlignment="1">
      <alignment horizontal="center"/>
    </xf>
    <xf numFmtId="0" fontId="10" fillId="10" borderId="0" xfId="14" applyFont="1" applyFill="1" applyAlignment="1">
      <alignment horizontal="center"/>
    </xf>
    <xf numFmtId="0" fontId="10" fillId="10" borderId="19" xfId="14" applyFont="1" applyFill="1" applyBorder="1" applyAlignment="1">
      <alignment horizontal="center"/>
    </xf>
    <xf numFmtId="0" fontId="16" fillId="0" borderId="18" xfId="14" applyFont="1" applyBorder="1"/>
    <xf numFmtId="0" fontId="16" fillId="0" borderId="0" xfId="14" applyFont="1"/>
    <xf numFmtId="0" fontId="16" fillId="0" borderId="19" xfId="14" applyFont="1" applyBorder="1"/>
    <xf numFmtId="0" fontId="7" fillId="9" borderId="0" xfId="14" applyFont="1" applyFill="1"/>
    <xf numFmtId="0" fontId="7" fillId="9" borderId="19" xfId="14" applyFont="1" applyFill="1" applyBorder="1"/>
    <xf numFmtId="0" fontId="7" fillId="5" borderId="18" xfId="14" applyFont="1" applyFill="1" applyBorder="1"/>
    <xf numFmtId="0" fontId="3" fillId="5" borderId="0" xfId="14" applyFont="1" applyFill="1"/>
    <xf numFmtId="0" fontId="3" fillId="5" borderId="19" xfId="14" applyFont="1" applyFill="1" applyBorder="1"/>
    <xf numFmtId="0" fontId="7" fillId="7" borderId="21" xfId="14" applyFont="1" applyFill="1" applyBorder="1" applyAlignment="1">
      <alignment horizontal="center"/>
    </xf>
    <xf numFmtId="0" fontId="7" fillId="7" borderId="22" xfId="14" applyFont="1" applyFill="1" applyBorder="1" applyAlignment="1">
      <alignment horizontal="center"/>
    </xf>
    <xf numFmtId="0" fontId="20" fillId="0" borderId="18" xfId="14" applyFont="1" applyBorder="1"/>
    <xf numFmtId="0" fontId="11" fillId="5" borderId="18" xfId="14" applyFont="1" applyFill="1" applyBorder="1"/>
    <xf numFmtId="0" fontId="7" fillId="5" borderId="0" xfId="14" applyFont="1" applyFill="1"/>
    <xf numFmtId="0" fontId="7" fillId="5" borderId="19" xfId="14" applyFont="1" applyFill="1" applyBorder="1"/>
    <xf numFmtId="0" fontId="11" fillId="0" borderId="18" xfId="14" applyFont="1" applyBorder="1"/>
    <xf numFmtId="0" fontId="11" fillId="11" borderId="18" xfId="14" applyFont="1" applyFill="1" applyBorder="1" applyAlignment="1">
      <alignment horizontal="justify" vertical="center"/>
    </xf>
    <xf numFmtId="0" fontId="3" fillId="11" borderId="0" xfId="14" applyFont="1" applyFill="1"/>
    <xf numFmtId="0" fontId="3" fillId="11" borderId="19" xfId="14" applyFont="1" applyFill="1" applyBorder="1"/>
    <xf numFmtId="0" fontId="8" fillId="0" borderId="18" xfId="14" applyFont="1" applyBorder="1"/>
    <xf numFmtId="0" fontId="11" fillId="11" borderId="18" xfId="14" applyFont="1" applyFill="1" applyBorder="1"/>
    <xf numFmtId="0" fontId="7" fillId="11" borderId="0" xfId="14" applyFont="1" applyFill="1"/>
    <xf numFmtId="0" fontId="7" fillId="11" borderId="19" xfId="14" applyFont="1" applyFill="1" applyBorder="1"/>
    <xf numFmtId="0" fontId="11" fillId="6" borderId="20" xfId="14" applyFont="1" applyFill="1" applyBorder="1"/>
    <xf numFmtId="0" fontId="7" fillId="6" borderId="21" xfId="14" applyFont="1" applyFill="1" applyBorder="1"/>
    <xf numFmtId="0" fontId="7" fillId="6" borderId="22" xfId="14" applyFont="1" applyFill="1" applyBorder="1"/>
    <xf numFmtId="0" fontId="38" fillId="0" borderId="0" xfId="14"/>
    <xf numFmtId="0" fontId="14" fillId="0" borderId="0" xfId="14" applyFont="1"/>
    <xf numFmtId="0" fontId="15" fillId="0" borderId="0" xfId="14" applyFont="1"/>
    <xf numFmtId="0" fontId="3" fillId="9" borderId="18" xfId="14" applyFont="1" applyFill="1" applyBorder="1"/>
    <xf numFmtId="10" fontId="3" fillId="0" borderId="0" xfId="11" applyNumberFormat="1" applyFont="1" applyBorder="1"/>
    <xf numFmtId="10" fontId="3" fillId="0" borderId="19" xfId="11" applyNumberFormat="1" applyFont="1" applyBorder="1"/>
    <xf numFmtId="10" fontId="3" fillId="0" borderId="25" xfId="11" applyNumberFormat="1" applyFont="1" applyBorder="1"/>
    <xf numFmtId="10" fontId="3" fillId="0" borderId="10" xfId="11" applyNumberFormat="1" applyFont="1" applyBorder="1"/>
    <xf numFmtId="0" fontId="3" fillId="0" borderId="26" xfId="14" applyFont="1" applyBorder="1"/>
    <xf numFmtId="10" fontId="7" fillId="0" borderId="0" xfId="14" applyNumberFormat="1" applyFont="1"/>
    <xf numFmtId="10" fontId="7" fillId="0" borderId="19" xfId="11" applyNumberFormat="1" applyFont="1" applyBorder="1"/>
    <xf numFmtId="10" fontId="7" fillId="0" borderId="0" xfId="11" applyNumberFormat="1" applyFont="1" applyBorder="1"/>
    <xf numFmtId="0" fontId="16" fillId="0" borderId="27" xfId="14" applyFont="1" applyBorder="1"/>
    <xf numFmtId="9" fontId="7" fillId="0" borderId="0" xfId="11" applyFont="1" applyBorder="1"/>
    <xf numFmtId="0" fontId="16" fillId="0" borderId="26" xfId="14" applyFont="1" applyBorder="1"/>
    <xf numFmtId="10" fontId="3" fillId="9" borderId="0" xfId="11" applyNumberFormat="1" applyFont="1" applyFill="1" applyBorder="1"/>
    <xf numFmtId="10" fontId="7" fillId="9" borderId="0" xfId="14" applyNumberFormat="1" applyFont="1" applyFill="1"/>
    <xf numFmtId="10" fontId="3" fillId="9" borderId="19" xfId="11" applyNumberFormat="1" applyFont="1" applyFill="1" applyBorder="1"/>
    <xf numFmtId="0" fontId="3" fillId="5" borderId="18" xfId="14" applyFont="1" applyFill="1" applyBorder="1"/>
    <xf numFmtId="10" fontId="3" fillId="5" borderId="0" xfId="11" applyNumberFormat="1" applyFont="1" applyFill="1" applyBorder="1"/>
    <xf numFmtId="10" fontId="3" fillId="5" borderId="19" xfId="11" applyNumberFormat="1" applyFont="1" applyFill="1" applyBorder="1"/>
    <xf numFmtId="10" fontId="3" fillId="10" borderId="0" xfId="11" applyNumberFormat="1" applyFont="1" applyFill="1" applyBorder="1"/>
    <xf numFmtId="0" fontId="20" fillId="0" borderId="0" xfId="14" applyFont="1"/>
    <xf numFmtId="0" fontId="11" fillId="5" borderId="0" xfId="14" applyFont="1" applyFill="1"/>
    <xf numFmtId="10" fontId="7" fillId="5" borderId="0" xfId="14" applyNumberFormat="1" applyFont="1" applyFill="1"/>
    <xf numFmtId="0" fontId="11" fillId="0" borderId="0" xfId="14" applyFont="1"/>
    <xf numFmtId="0" fontId="11" fillId="11" borderId="0" xfId="14" applyFont="1" applyFill="1" applyAlignment="1">
      <alignment horizontal="justify" vertical="center"/>
    </xf>
    <xf numFmtId="0" fontId="3" fillId="11" borderId="18" xfId="14" applyFont="1" applyFill="1" applyBorder="1"/>
    <xf numFmtId="10" fontId="3" fillId="11" borderId="0" xfId="11" applyNumberFormat="1" applyFont="1" applyFill="1" applyBorder="1"/>
    <xf numFmtId="10" fontId="3" fillId="11" borderId="19" xfId="11" applyNumberFormat="1" applyFont="1" applyFill="1" applyBorder="1"/>
    <xf numFmtId="0" fontId="8" fillId="0" borderId="0" xfId="14" applyFont="1"/>
    <xf numFmtId="0" fontId="11" fillId="11" borderId="0" xfId="14" applyFont="1" applyFill="1"/>
    <xf numFmtId="0" fontId="7" fillId="11" borderId="18" xfId="14" applyFont="1" applyFill="1" applyBorder="1"/>
    <xf numFmtId="10" fontId="7" fillId="11" borderId="0" xfId="14" applyNumberFormat="1" applyFont="1" applyFill="1"/>
    <xf numFmtId="10" fontId="7" fillId="11" borderId="19" xfId="11" applyNumberFormat="1" applyFont="1" applyFill="1" applyBorder="1"/>
    <xf numFmtId="10" fontId="7" fillId="11" borderId="0" xfId="11" applyNumberFormat="1" applyFont="1" applyFill="1" applyBorder="1"/>
    <xf numFmtId="0" fontId="11" fillId="6" borderId="0" xfId="14" applyFont="1" applyFill="1"/>
    <xf numFmtId="0" fontId="7" fillId="6" borderId="0" xfId="14" applyFont="1" applyFill="1"/>
    <xf numFmtId="0" fontId="7" fillId="6" borderId="20" xfId="14" applyFont="1" applyFill="1" applyBorder="1"/>
    <xf numFmtId="10" fontId="3" fillId="0" borderId="21" xfId="11" applyNumberFormat="1" applyFont="1" applyBorder="1"/>
    <xf numFmtId="10" fontId="7" fillId="0" borderId="21" xfId="14" applyNumberFormat="1" applyFont="1" applyBorder="1"/>
    <xf numFmtId="10" fontId="3" fillId="0" borderId="22" xfId="11" applyNumberFormat="1" applyFont="1" applyBorder="1"/>
    <xf numFmtId="0" fontId="3" fillId="0" borderId="1" xfId="14" applyFont="1" applyBorder="1"/>
    <xf numFmtId="0" fontId="3" fillId="0" borderId="4" xfId="14" applyFont="1" applyBorder="1"/>
    <xf numFmtId="0" fontId="3" fillId="0" borderId="55" xfId="14" applyFont="1" applyBorder="1"/>
    <xf numFmtId="0" fontId="3" fillId="0" borderId="56" xfId="14" applyFont="1" applyBorder="1" applyAlignment="1">
      <alignment horizontal="center"/>
    </xf>
    <xf numFmtId="0" fontId="7" fillId="0" borderId="6" xfId="14" applyFont="1" applyBorder="1"/>
    <xf numFmtId="165" fontId="3" fillId="0" borderId="26" xfId="14" applyNumberFormat="1" applyFont="1" applyBorder="1" applyAlignment="1">
      <alignment horizontal="center"/>
    </xf>
    <xf numFmtId="43" fontId="13" fillId="0" borderId="19" xfId="9" applyNumberFormat="1" applyFont="1" applyFill="1" applyBorder="1" applyAlignment="1">
      <alignment horizontal="center"/>
    </xf>
    <xf numFmtId="165" fontId="3" fillId="0" borderId="18" xfId="14" applyNumberFormat="1" applyFont="1" applyBorder="1" applyAlignment="1">
      <alignment horizontal="center"/>
    </xf>
    <xf numFmtId="0" fontId="13" fillId="0" borderId="19" xfId="14" applyFont="1" applyBorder="1" applyAlignment="1">
      <alignment horizontal="center"/>
    </xf>
    <xf numFmtId="43" fontId="3" fillId="0" borderId="18" xfId="14" applyNumberFormat="1" applyFont="1" applyBorder="1" applyAlignment="1">
      <alignment horizontal="center"/>
    </xf>
    <xf numFmtId="0" fontId="3" fillId="0" borderId="18" xfId="14" applyFont="1" applyBorder="1" applyAlignment="1">
      <alignment horizontal="center"/>
    </xf>
    <xf numFmtId="0" fontId="3" fillId="0" borderId="6" xfId="14" applyFont="1" applyBorder="1"/>
    <xf numFmtId="0" fontId="7" fillId="0" borderId="6" xfId="14" applyFont="1" applyBorder="1" applyAlignment="1">
      <alignment vertical="center"/>
    </xf>
    <xf numFmtId="41" fontId="3" fillId="0" borderId="26" xfId="14" applyNumberFormat="1" applyFont="1" applyBorder="1"/>
    <xf numFmtId="165" fontId="3" fillId="0" borderId="18" xfId="14" applyNumberFormat="1" applyFont="1" applyBorder="1"/>
    <xf numFmtId="41" fontId="3" fillId="0" borderId="18" xfId="14" applyNumberFormat="1" applyFont="1" applyBorder="1"/>
    <xf numFmtId="169" fontId="3" fillId="0" borderId="18" xfId="14" applyNumberFormat="1" applyFont="1" applyBorder="1"/>
    <xf numFmtId="0" fontId="3" fillId="0" borderId="10" xfId="14" applyFont="1" applyBorder="1"/>
    <xf numFmtId="0" fontId="13" fillId="0" borderId="25" xfId="14" applyFont="1" applyBorder="1" applyAlignment="1">
      <alignment horizontal="center"/>
    </xf>
    <xf numFmtId="0" fontId="13" fillId="0" borderId="56" xfId="14" applyFont="1" applyBorder="1" applyAlignment="1">
      <alignment horizontal="center"/>
    </xf>
    <xf numFmtId="9" fontId="13" fillId="0" borderId="19" xfId="11" applyFont="1" applyFill="1" applyBorder="1" applyAlignment="1">
      <alignment horizontal="center"/>
    </xf>
    <xf numFmtId="165" fontId="3" fillId="0" borderId="26" xfId="14" applyNumberFormat="1" applyFont="1" applyBorder="1"/>
    <xf numFmtId="9" fontId="13" fillId="0" borderId="19" xfId="9" applyNumberFormat="1" applyFont="1" applyFill="1" applyBorder="1" applyAlignment="1">
      <alignment horizontal="center"/>
    </xf>
    <xf numFmtId="0" fontId="6" fillId="0" borderId="1" xfId="14" applyFont="1" applyBorder="1"/>
    <xf numFmtId="168" fontId="13" fillId="0" borderId="19" xfId="9" applyNumberFormat="1" applyFont="1" applyFill="1" applyBorder="1" applyAlignment="1">
      <alignment horizontal="center"/>
    </xf>
    <xf numFmtId="0" fontId="3" fillId="0" borderId="20" xfId="14" applyFont="1" applyBorder="1"/>
    <xf numFmtId="0" fontId="3" fillId="0" borderId="21" xfId="14" applyFont="1" applyBorder="1"/>
    <xf numFmtId="0" fontId="3" fillId="0" borderId="22" xfId="14" applyFont="1" applyBorder="1" applyAlignment="1">
      <alignment horizontal="center"/>
    </xf>
    <xf numFmtId="0" fontId="5" fillId="0" borderId="0" xfId="0" applyFont="1" applyAlignment="1">
      <alignment horizontal="left"/>
    </xf>
    <xf numFmtId="166" fontId="5" fillId="0" borderId="0" xfId="0" applyNumberFormat="1" applyFont="1" applyAlignment="1">
      <alignment horizontal="center"/>
    </xf>
    <xf numFmtId="0" fontId="24" fillId="0" borderId="0" xfId="0" applyFont="1" applyAlignment="1">
      <alignment horizontal="left"/>
    </xf>
    <xf numFmtId="0" fontId="5" fillId="0" borderId="0" xfId="0" applyFont="1" applyAlignment="1">
      <alignment horizontal="center"/>
    </xf>
    <xf numFmtId="0" fontId="21" fillId="0" borderId="28" xfId="0" applyFont="1" applyBorder="1" applyAlignment="1">
      <alignment horizontal="center"/>
    </xf>
    <xf numFmtId="0" fontId="17" fillId="2" borderId="29" xfId="2" applyFont="1" applyBorder="1" applyAlignment="1">
      <alignment horizontal="center"/>
    </xf>
    <xf numFmtId="0" fontId="17" fillId="2" borderId="30" xfId="2" applyFont="1" applyBorder="1" applyAlignment="1">
      <alignment horizontal="center"/>
    </xf>
    <xf numFmtId="0" fontId="17" fillId="2" borderId="31" xfId="2" applyFont="1" applyBorder="1" applyAlignment="1">
      <alignment horizontal="center"/>
    </xf>
    <xf numFmtId="0" fontId="15" fillId="3" borderId="29" xfId="3" applyFont="1" applyBorder="1" applyAlignment="1">
      <alignment horizontal="center"/>
    </xf>
    <xf numFmtId="0" fontId="15" fillId="3" borderId="30" xfId="3" applyFont="1" applyBorder="1" applyAlignment="1">
      <alignment horizontal="center"/>
    </xf>
    <xf numFmtId="0" fontId="15" fillId="3" borderId="31" xfId="3" applyFont="1" applyBorder="1" applyAlignment="1">
      <alignment horizontal="center"/>
    </xf>
    <xf numFmtId="0" fontId="23" fillId="2" borderId="32" xfId="2" applyFont="1" applyBorder="1" applyAlignment="1">
      <alignment horizontal="left" wrapText="1"/>
    </xf>
    <xf numFmtId="0" fontId="23" fillId="2" borderId="0" xfId="2" applyFont="1" applyBorder="1" applyAlignment="1">
      <alignment horizontal="left" wrapText="1"/>
    </xf>
    <xf numFmtId="0" fontId="23" fillId="2" borderId="33" xfId="2" applyFont="1" applyBorder="1" applyAlignment="1">
      <alignment horizontal="left" wrapText="1"/>
    </xf>
    <xf numFmtId="0" fontId="23" fillId="2" borderId="34" xfId="2" applyFont="1" applyBorder="1" applyAlignment="1">
      <alignment horizontal="left" wrapText="1"/>
    </xf>
    <xf numFmtId="0" fontId="23" fillId="2" borderId="35" xfId="2" applyFont="1" applyBorder="1" applyAlignment="1">
      <alignment horizontal="left" wrapText="1"/>
    </xf>
    <xf numFmtId="0" fontId="23" fillId="2" borderId="36" xfId="2" applyFont="1" applyBorder="1" applyAlignment="1">
      <alignment horizontal="left" wrapText="1"/>
    </xf>
    <xf numFmtId="0" fontId="5" fillId="3" borderId="32" xfId="3" applyFont="1" applyBorder="1" applyAlignment="1">
      <alignment horizontal="left" wrapText="1"/>
    </xf>
    <xf numFmtId="0" fontId="5" fillId="3" borderId="0" xfId="3" applyFont="1" applyBorder="1" applyAlignment="1">
      <alignment horizontal="left" wrapText="1"/>
    </xf>
    <xf numFmtId="0" fontId="5" fillId="3" borderId="33" xfId="3" applyFont="1" applyBorder="1" applyAlignment="1">
      <alignment horizontal="left" wrapText="1"/>
    </xf>
    <xf numFmtId="0" fontId="5" fillId="3" borderId="34" xfId="3" applyFont="1" applyBorder="1" applyAlignment="1">
      <alignment horizontal="left" wrapText="1"/>
    </xf>
    <xf numFmtId="0" fontId="5" fillId="3" borderId="35" xfId="3" applyFont="1" applyBorder="1" applyAlignment="1">
      <alignment horizontal="left" wrapText="1"/>
    </xf>
    <xf numFmtId="0" fontId="5" fillId="3" borderId="36" xfId="3" applyFont="1" applyBorder="1" applyAlignment="1">
      <alignment horizontal="left" wrapText="1"/>
    </xf>
    <xf numFmtId="0" fontId="15" fillId="0" borderId="0" xfId="0" applyFont="1" applyAlignment="1">
      <alignment horizontal="center"/>
    </xf>
    <xf numFmtId="0" fontId="5" fillId="0" borderId="0" xfId="0" applyFont="1" applyAlignment="1">
      <alignment horizontal="center" vertical="center" wrapText="1"/>
    </xf>
    <xf numFmtId="166" fontId="5" fillId="0" borderId="10" xfId="0" applyNumberFormat="1" applyFont="1" applyBorder="1" applyAlignment="1">
      <alignment horizontal="center"/>
    </xf>
    <xf numFmtId="0" fontId="15" fillId="0" borderId="0" xfId="0" applyFont="1" applyAlignment="1">
      <alignment horizontal="center" wrapText="1"/>
    </xf>
    <xf numFmtId="166" fontId="5" fillId="5" borderId="0" xfId="0" applyNumberFormat="1" applyFont="1" applyFill="1" applyAlignment="1">
      <alignment horizontal="center"/>
    </xf>
    <xf numFmtId="0" fontId="5" fillId="0" borderId="0" xfId="0" applyFont="1" applyAlignment="1">
      <alignment horizontal="center" wrapText="1"/>
    </xf>
    <xf numFmtId="0" fontId="15" fillId="12" borderId="29" xfId="3" applyFont="1" applyFill="1" applyBorder="1" applyAlignment="1">
      <alignment horizontal="center"/>
    </xf>
    <xf numFmtId="0" fontId="15" fillId="12" borderId="30" xfId="3" applyFont="1" applyFill="1" applyBorder="1" applyAlignment="1">
      <alignment horizontal="center"/>
    </xf>
    <xf numFmtId="0" fontId="15" fillId="12" borderId="31" xfId="3" applyFont="1" applyFill="1" applyBorder="1" applyAlignment="1">
      <alignment horizontal="center"/>
    </xf>
    <xf numFmtId="0" fontId="5" fillId="12" borderId="32" xfId="3" applyFont="1" applyFill="1" applyBorder="1" applyAlignment="1">
      <alignment horizontal="left" wrapText="1"/>
    </xf>
    <xf numFmtId="0" fontId="5" fillId="12" borderId="0" xfId="3" applyFont="1" applyFill="1" applyBorder="1" applyAlignment="1">
      <alignment horizontal="left" wrapText="1"/>
    </xf>
    <xf numFmtId="0" fontId="5" fillId="12" borderId="33" xfId="3" applyFont="1" applyFill="1" applyBorder="1" applyAlignment="1">
      <alignment horizontal="left" wrapText="1"/>
    </xf>
    <xf numFmtId="0" fontId="5" fillId="12" borderId="34" xfId="3" applyFont="1" applyFill="1" applyBorder="1" applyAlignment="1">
      <alignment horizontal="left" wrapText="1"/>
    </xf>
    <xf numFmtId="0" fontId="5" fillId="12" borderId="35" xfId="3" applyFont="1" applyFill="1" applyBorder="1" applyAlignment="1">
      <alignment horizontal="left" wrapText="1"/>
    </xf>
    <xf numFmtId="0" fontId="5" fillId="12" borderId="36" xfId="3" applyFont="1" applyFill="1" applyBorder="1" applyAlignment="1">
      <alignment horizontal="left" wrapText="1"/>
    </xf>
    <xf numFmtId="0" fontId="15" fillId="0" borderId="0" xfId="0" applyFont="1" applyAlignment="1">
      <alignment horizontal="left"/>
    </xf>
    <xf numFmtId="166" fontId="5" fillId="12" borderId="0" xfId="0" applyNumberFormat="1" applyFont="1" applyFill="1" applyAlignment="1">
      <alignment horizontal="center"/>
    </xf>
    <xf numFmtId="0" fontId="25" fillId="0" borderId="28" xfId="0" applyFont="1" applyBorder="1" applyAlignment="1">
      <alignment horizontal="center" vertical="center" wrapText="1"/>
    </xf>
    <xf numFmtId="0" fontId="26" fillId="0" borderId="0" xfId="0" applyFont="1" applyAlignment="1">
      <alignment horizontal="left"/>
    </xf>
    <xf numFmtId="0" fontId="28" fillId="13" borderId="0" xfId="0" applyFont="1" applyFill="1" applyAlignment="1">
      <alignment horizontal="left" vertical="center" wrapText="1"/>
    </xf>
    <xf numFmtId="0" fontId="29" fillId="0" borderId="0" xfId="0" applyFont="1" applyAlignment="1">
      <alignment horizontal="center"/>
    </xf>
    <xf numFmtId="0" fontId="30" fillId="0" borderId="0" xfId="0" applyFont="1" applyAlignment="1">
      <alignment horizontal="center"/>
    </xf>
    <xf numFmtId="0" fontId="28" fillId="0" borderId="0" xfId="0" applyFont="1" applyAlignment="1">
      <alignment horizontal="left" wrapText="1"/>
    </xf>
    <xf numFmtId="0" fontId="32" fillId="0" borderId="0" xfId="0" applyFont="1" applyAlignment="1">
      <alignment horizontal="left" vertical="center" wrapText="1"/>
    </xf>
    <xf numFmtId="0" fontId="32" fillId="0" borderId="0" xfId="0" applyFont="1" applyAlignment="1">
      <alignment horizontal="center" vertical="center" wrapText="1"/>
    </xf>
    <xf numFmtId="0" fontId="28" fillId="0" borderId="0" xfId="0" applyFont="1" applyAlignment="1">
      <alignment horizontal="center"/>
    </xf>
    <xf numFmtId="0" fontId="31" fillId="0" borderId="0" xfId="0" applyFont="1" applyAlignment="1">
      <alignment horizontal="center"/>
    </xf>
    <xf numFmtId="0" fontId="33" fillId="0" borderId="0" xfId="0" applyFont="1" applyAlignment="1">
      <alignment horizontal="left"/>
    </xf>
    <xf numFmtId="0" fontId="3" fillId="15" borderId="11" xfId="8" applyFont="1" applyBorder="1" applyAlignment="1">
      <alignment horizontal="left" wrapText="1"/>
    </xf>
    <xf numFmtId="0" fontId="7" fillId="0" borderId="0" xfId="0" applyFont="1" applyAlignment="1">
      <alignment horizontal="left" vertical="center" wrapText="1"/>
    </xf>
    <xf numFmtId="0" fontId="35" fillId="15" borderId="11" xfId="8" applyFont="1" applyBorder="1" applyAlignment="1">
      <alignment horizontal="center"/>
    </xf>
    <xf numFmtId="0" fontId="3" fillId="15" borderId="1" xfId="8" applyFont="1" applyBorder="1" applyAlignment="1">
      <alignment horizontal="left" wrapText="1"/>
    </xf>
    <xf numFmtId="0" fontId="3" fillId="15" borderId="4" xfId="8" applyFont="1" applyBorder="1" applyAlignment="1">
      <alignment horizontal="left" wrapText="1"/>
    </xf>
    <xf numFmtId="0" fontId="3" fillId="15" borderId="5" xfId="8" applyFont="1" applyBorder="1" applyAlignment="1">
      <alignment horizontal="left" wrapText="1"/>
    </xf>
    <xf numFmtId="0" fontId="3" fillId="15" borderId="9" xfId="8" applyFont="1" applyBorder="1" applyAlignment="1">
      <alignment horizontal="left" wrapText="1"/>
    </xf>
    <xf numFmtId="0" fontId="3" fillId="15" borderId="10" xfId="8" applyFont="1" applyBorder="1" applyAlignment="1">
      <alignment horizontal="left" wrapText="1"/>
    </xf>
    <xf numFmtId="0" fontId="3" fillId="15" borderId="8" xfId="8" applyFont="1" applyBorder="1" applyAlignment="1">
      <alignment horizontal="left" wrapText="1"/>
    </xf>
    <xf numFmtId="0" fontId="3" fillId="15" borderId="11" xfId="8" applyFont="1" applyBorder="1" applyAlignment="1">
      <alignment horizontal="left" vertical="center" wrapText="1"/>
    </xf>
    <xf numFmtId="0" fontId="4" fillId="4" borderId="0" xfId="0" applyFont="1" applyFill="1" applyAlignment="1">
      <alignment horizontal="center" wrapText="1"/>
    </xf>
    <xf numFmtId="0" fontId="5" fillId="0" borderId="0" xfId="4" applyFont="1" applyAlignment="1">
      <alignment horizontal="left"/>
    </xf>
    <xf numFmtId="0" fontId="7" fillId="0" borderId="0" xfId="4" applyFont="1" applyAlignment="1">
      <alignment horizontal="center"/>
    </xf>
    <xf numFmtId="0" fontId="11" fillId="0" borderId="6" xfId="4" applyFont="1" applyBorder="1" applyAlignment="1">
      <alignment horizontal="left"/>
    </xf>
    <xf numFmtId="0" fontId="11" fillId="0" borderId="0" xfId="4" applyFont="1" applyAlignment="1">
      <alignment horizontal="left"/>
    </xf>
    <xf numFmtId="0" fontId="7" fillId="0" borderId="2" xfId="4" applyFont="1" applyBorder="1" applyAlignment="1">
      <alignment horizontal="center"/>
    </xf>
    <xf numFmtId="0" fontId="7" fillId="0" borderId="3" xfId="4" applyFont="1" applyBorder="1" applyAlignment="1">
      <alignment horizontal="center"/>
    </xf>
    <xf numFmtId="0" fontId="3" fillId="0" borderId="1" xfId="4" applyFont="1" applyBorder="1" applyAlignment="1">
      <alignment horizontal="center"/>
    </xf>
    <xf numFmtId="0" fontId="3" fillId="0" borderId="4" xfId="4" applyFont="1" applyBorder="1" applyAlignment="1">
      <alignment horizontal="center"/>
    </xf>
    <xf numFmtId="0" fontId="7" fillId="0" borderId="6" xfId="4" applyFont="1" applyBorder="1" applyAlignment="1">
      <alignment horizontal="left"/>
    </xf>
    <xf numFmtId="0" fontId="7" fillId="0" borderId="0" xfId="4" applyFont="1" applyAlignment="1">
      <alignment horizontal="left"/>
    </xf>
    <xf numFmtId="0" fontId="8" fillId="0" borderId="6" xfId="4" applyFont="1" applyBorder="1" applyAlignment="1">
      <alignment horizontal="left"/>
    </xf>
    <xf numFmtId="0" fontId="8" fillId="0" borderId="0" xfId="4" applyFont="1" applyAlignment="1">
      <alignment horizontal="left"/>
    </xf>
    <xf numFmtId="0" fontId="11" fillId="0" borderId="9" xfId="4" applyFont="1" applyBorder="1" applyAlignment="1">
      <alignment horizontal="left"/>
    </xf>
    <xf numFmtId="0" fontId="11" fillId="0" borderId="10" xfId="4" applyFont="1" applyBorder="1" applyAlignment="1">
      <alignment horizontal="left"/>
    </xf>
    <xf numFmtId="0" fontId="3" fillId="0" borderId="0" xfId="4" applyFont="1" applyAlignment="1">
      <alignment horizontal="left"/>
    </xf>
    <xf numFmtId="0" fontId="6" fillId="0" borderId="0" xfId="4" applyFont="1" applyAlignment="1">
      <alignment horizontal="center" wrapText="1"/>
    </xf>
    <xf numFmtId="0" fontId="7" fillId="0" borderId="11" xfId="4" applyFont="1" applyBorder="1" applyAlignment="1">
      <alignment horizontal="center"/>
    </xf>
    <xf numFmtId="0" fontId="16" fillId="0" borderId="0" xfId="4" applyFont="1" applyAlignment="1">
      <alignment horizontal="left"/>
    </xf>
    <xf numFmtId="0" fontId="10" fillId="0" borderId="0" xfId="4" applyFont="1" applyAlignment="1">
      <alignment horizontal="left"/>
    </xf>
    <xf numFmtId="0" fontId="7" fillId="5" borderId="0" xfId="4" applyFont="1" applyFill="1" applyAlignment="1">
      <alignment horizontal="left"/>
    </xf>
    <xf numFmtId="0" fontId="15" fillId="6" borderId="0" xfId="4" applyFont="1" applyFill="1" applyAlignment="1">
      <alignment horizontal="left"/>
    </xf>
    <xf numFmtId="0" fontId="11" fillId="5" borderId="0" xfId="4" applyFont="1" applyFill="1" applyAlignment="1">
      <alignment horizontal="left"/>
    </xf>
    <xf numFmtId="0" fontId="11" fillId="6" borderId="0" xfId="4" applyFont="1" applyFill="1" applyAlignment="1">
      <alignment horizontal="left"/>
    </xf>
    <xf numFmtId="0" fontId="17" fillId="7" borderId="0" xfId="4" applyFont="1" applyFill="1" applyAlignment="1">
      <alignment horizontal="left" vertical="center"/>
    </xf>
    <xf numFmtId="0" fontId="8" fillId="0" borderId="0" xfId="4" applyFont="1"/>
    <xf numFmtId="0" fontId="8" fillId="0" borderId="0" xfId="4" applyFont="1" applyAlignment="1">
      <alignment horizontal="left" wrapText="1"/>
    </xf>
    <xf numFmtId="0" fontId="11" fillId="7" borderId="0" xfId="4" applyFont="1" applyFill="1"/>
    <xf numFmtId="0" fontId="11" fillId="0" borderId="0" xfId="4" applyFont="1" applyAlignment="1">
      <alignment horizontal="center" wrapText="1"/>
    </xf>
    <xf numFmtId="0" fontId="7" fillId="0" borderId="50" xfId="0" applyFont="1" applyBorder="1" applyAlignment="1">
      <alignment horizontal="center" vertical="center" wrapText="1"/>
    </xf>
    <xf numFmtId="0" fontId="7" fillId="0" borderId="51" xfId="0" applyFont="1" applyBorder="1" applyAlignment="1">
      <alignment horizontal="center" vertical="center" wrapText="1"/>
    </xf>
    <xf numFmtId="0" fontId="3" fillId="0" borderId="11" xfId="0" applyFont="1" applyBorder="1" applyAlignment="1">
      <alignment horizontal="left" vertical="center" wrapText="1"/>
    </xf>
    <xf numFmtId="0" fontId="15" fillId="0" borderId="49" xfId="0" applyFont="1" applyBorder="1" applyAlignment="1">
      <alignment horizontal="center"/>
    </xf>
    <xf numFmtId="0" fontId="3" fillId="0" borderId="51" xfId="0" applyFont="1" applyBorder="1" applyAlignment="1">
      <alignment horizontal="left" vertical="center" wrapText="1"/>
    </xf>
    <xf numFmtId="0" fontId="8" fillId="0" borderId="18" xfId="0" applyFont="1" applyBorder="1" applyAlignment="1">
      <alignment horizontal="left"/>
    </xf>
    <xf numFmtId="0" fontId="8" fillId="0" borderId="0" xfId="0" applyFont="1" applyAlignment="1">
      <alignment horizontal="left"/>
    </xf>
    <xf numFmtId="0" fontId="4" fillId="8" borderId="0" xfId="0" applyFont="1" applyFill="1" applyAlignment="1">
      <alignment horizontal="center" wrapText="1"/>
    </xf>
    <xf numFmtId="0" fontId="12" fillId="0" borderId="0" xfId="0" applyFont="1" applyAlignment="1">
      <alignment horizontal="center" vertical="center"/>
    </xf>
    <xf numFmtId="0" fontId="12" fillId="0" borderId="0" xfId="0" applyFont="1" applyAlignment="1">
      <alignment horizontal="left" vertical="center" wrapText="1"/>
    </xf>
    <xf numFmtId="0" fontId="19" fillId="0" borderId="0" xfId="0" applyFont="1" applyAlignment="1">
      <alignment horizontal="center" vertical="center"/>
    </xf>
    <xf numFmtId="0" fontId="19" fillId="0" borderId="0" xfId="0" applyFont="1" applyAlignment="1">
      <alignment horizontal="left" vertical="center" wrapText="1"/>
    </xf>
    <xf numFmtId="0" fontId="7" fillId="7" borderId="18" xfId="0" applyFont="1" applyFill="1" applyBorder="1" applyAlignment="1">
      <alignment horizontal="left"/>
    </xf>
    <xf numFmtId="0" fontId="7" fillId="7" borderId="0" xfId="0" applyFont="1" applyFill="1" applyAlignment="1">
      <alignment horizontal="left"/>
    </xf>
    <xf numFmtId="0" fontId="7" fillId="7" borderId="20" xfId="0" applyFont="1" applyFill="1" applyBorder="1" applyAlignment="1">
      <alignment horizontal="left"/>
    </xf>
    <xf numFmtId="0" fontId="7" fillId="7" borderId="21" xfId="0" applyFont="1" applyFill="1" applyBorder="1" applyAlignment="1">
      <alignment horizontal="left"/>
    </xf>
    <xf numFmtId="0" fontId="7" fillId="0" borderId="18" xfId="0" applyFont="1" applyBorder="1" applyAlignment="1">
      <alignment horizontal="left"/>
    </xf>
    <xf numFmtId="0" fontId="7" fillId="0" borderId="0" xfId="0" applyFont="1" applyAlignment="1">
      <alignment horizontal="left"/>
    </xf>
    <xf numFmtId="0" fontId="8" fillId="10" borderId="18" xfId="0" applyFont="1" applyFill="1" applyBorder="1" applyAlignment="1">
      <alignment horizontal="left"/>
    </xf>
    <xf numFmtId="0" fontId="8" fillId="10" borderId="0" xfId="0" applyFont="1" applyFill="1" applyAlignment="1">
      <alignment horizontal="left"/>
    </xf>
    <xf numFmtId="0" fontId="11" fillId="0" borderId="18" xfId="0" applyFont="1" applyBorder="1" applyAlignment="1">
      <alignment horizontal="left" wrapText="1"/>
    </xf>
    <xf numFmtId="0" fontId="11" fillId="0" borderId="0" xfId="0" applyFont="1" applyAlignment="1">
      <alignment horizontal="left" wrapText="1"/>
    </xf>
    <xf numFmtId="0" fontId="7" fillId="0" borderId="0" xfId="0" applyFont="1" applyAlignment="1">
      <alignment horizontal="center" vertical="center" wrapText="1"/>
    </xf>
    <xf numFmtId="0" fontId="7" fillId="0" borderId="19" xfId="0" applyFont="1" applyBorder="1" applyAlignment="1">
      <alignment horizontal="center" vertical="center" wrapText="1"/>
    </xf>
    <xf numFmtId="0" fontId="11" fillId="0" borderId="18" xfId="0" applyFont="1" applyBorder="1" applyAlignment="1">
      <alignment horizontal="left"/>
    </xf>
    <xf numFmtId="0" fontId="11" fillId="0" borderId="0" xfId="0" applyFont="1" applyAlignment="1">
      <alignment horizontal="left"/>
    </xf>
    <xf numFmtId="0" fontId="7" fillId="0" borderId="0" xfId="0" applyFont="1" applyAlignment="1">
      <alignment horizontal="center" vertical="center"/>
    </xf>
    <xf numFmtId="0" fontId="7" fillId="0" borderId="0" xfId="0" applyFont="1" applyAlignment="1">
      <alignment horizontal="left"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11" xfId="0" applyFont="1" applyBorder="1" applyAlignment="1">
      <alignment horizontal="center" vertical="center" wrapText="1"/>
    </xf>
    <xf numFmtId="0" fontId="3" fillId="0" borderId="11" xfId="0" applyFont="1" applyBorder="1" applyAlignment="1">
      <alignment horizontal="left" wrapText="1"/>
    </xf>
    <xf numFmtId="0" fontId="3" fillId="0" borderId="51" xfId="0" applyFont="1" applyBorder="1" applyAlignment="1">
      <alignment horizontal="left" wrapText="1"/>
    </xf>
    <xf numFmtId="0" fontId="3" fillId="0" borderId="10" xfId="10" applyFont="1" applyBorder="1" applyAlignment="1">
      <alignment horizontal="center"/>
    </xf>
    <xf numFmtId="0" fontId="3" fillId="0" borderId="6" xfId="10" applyFont="1" applyBorder="1" applyAlignment="1">
      <alignment horizontal="left" wrapText="1"/>
    </xf>
    <xf numFmtId="0" fontId="3" fillId="0" borderId="0" xfId="10" applyFont="1" applyAlignment="1">
      <alignment horizontal="left" wrapText="1"/>
    </xf>
    <xf numFmtId="0" fontId="3" fillId="0" borderId="4" xfId="10" applyFont="1" applyBorder="1" applyAlignment="1">
      <alignment horizontal="center"/>
    </xf>
    <xf numFmtId="0" fontId="3" fillId="0" borderId="9" xfId="10" applyFont="1" applyBorder="1" applyAlignment="1">
      <alignment horizontal="left" wrapText="1"/>
    </xf>
    <xf numFmtId="0" fontId="3" fillId="0" borderId="10" xfId="10" applyFont="1" applyBorder="1" applyAlignment="1">
      <alignment horizontal="left" wrapText="1"/>
    </xf>
    <xf numFmtId="0" fontId="3" fillId="0" borderId="0" xfId="10" applyFont="1" applyAlignment="1">
      <alignment horizontal="center"/>
    </xf>
    <xf numFmtId="0" fontId="6" fillId="0" borderId="1" xfId="10" applyFont="1" applyBorder="1" applyAlignment="1">
      <alignment horizontal="left"/>
    </xf>
    <xf numFmtId="0" fontId="6" fillId="0" borderId="4" xfId="10" applyFont="1" applyBorder="1" applyAlignment="1">
      <alignment horizontal="left"/>
    </xf>
    <xf numFmtId="0" fontId="3" fillId="0" borderId="12" xfId="10" applyFont="1" applyBorder="1" applyAlignment="1">
      <alignment horizontal="center"/>
    </xf>
    <xf numFmtId="0" fontId="3" fillId="0" borderId="10" xfId="10" applyFont="1" applyBorder="1" applyAlignment="1">
      <alignment horizontal="center" wrapText="1"/>
    </xf>
    <xf numFmtId="0" fontId="3" fillId="0" borderId="6" xfId="10" applyFont="1" applyBorder="1" applyAlignment="1">
      <alignment horizontal="left" vertical="center" wrapText="1"/>
    </xf>
    <xf numFmtId="0" fontId="3" fillId="0" borderId="0" xfId="10" applyFont="1" applyAlignment="1">
      <alignment horizontal="left" vertical="center" wrapText="1"/>
    </xf>
    <xf numFmtId="0" fontId="3" fillId="0" borderId="6" xfId="10" applyFont="1" applyBorder="1" applyAlignment="1">
      <alignment vertical="center" wrapText="1"/>
    </xf>
    <xf numFmtId="0" fontId="3" fillId="0" borderId="0" xfId="10" applyFont="1" applyAlignment="1">
      <alignment vertical="center" wrapText="1"/>
    </xf>
    <xf numFmtId="0" fontId="11" fillId="7" borderId="0" xfId="10" applyFont="1" applyFill="1"/>
    <xf numFmtId="0" fontId="11" fillId="0" borderId="0" xfId="10" applyFont="1" applyAlignment="1">
      <alignment horizontal="center" wrapText="1"/>
    </xf>
    <xf numFmtId="0" fontId="11" fillId="5" borderId="0" xfId="10" applyFont="1" applyFill="1" applyAlignment="1">
      <alignment horizontal="left"/>
    </xf>
    <xf numFmtId="0" fontId="39" fillId="0" borderId="52" xfId="10" applyFont="1" applyBorder="1" applyAlignment="1">
      <alignment horizontal="center"/>
    </xf>
    <xf numFmtId="0" fontId="39" fillId="0" borderId="53" xfId="10" applyFont="1" applyBorder="1" applyAlignment="1">
      <alignment horizontal="center"/>
    </xf>
    <xf numFmtId="0" fontId="39" fillId="0" borderId="54" xfId="10" applyFont="1" applyBorder="1" applyAlignment="1">
      <alignment horizontal="center"/>
    </xf>
    <xf numFmtId="0" fontId="7" fillId="0" borderId="0" xfId="10" applyFont="1" applyAlignment="1">
      <alignment horizontal="center" vertical="center"/>
    </xf>
    <xf numFmtId="0" fontId="7" fillId="0" borderId="16" xfId="10" applyFont="1" applyBorder="1" applyAlignment="1">
      <alignment horizontal="center" vertical="center"/>
    </xf>
    <xf numFmtId="0" fontId="19" fillId="0" borderId="16" xfId="10" applyFont="1" applyBorder="1" applyAlignment="1">
      <alignment horizontal="center" vertical="center" wrapText="1"/>
    </xf>
    <xf numFmtId="0" fontId="19" fillId="0" borderId="10" xfId="10" applyFont="1" applyBorder="1" applyAlignment="1">
      <alignment horizontal="center" vertical="center" wrapText="1"/>
    </xf>
    <xf numFmtId="0" fontId="6" fillId="0" borderId="2" xfId="10" applyFont="1" applyBorder="1" applyAlignment="1">
      <alignment horizontal="left"/>
    </xf>
    <xf numFmtId="0" fontId="6" fillId="0" borderId="12" xfId="10" applyFont="1" applyBorder="1" applyAlignment="1">
      <alignment horizontal="left"/>
    </xf>
    <xf numFmtId="0" fontId="6" fillId="0" borderId="3" xfId="10" applyFont="1" applyBorder="1" applyAlignment="1">
      <alignment horizontal="left"/>
    </xf>
    <xf numFmtId="0" fontId="8" fillId="0" borderId="0" xfId="10" applyFont="1" applyAlignment="1">
      <alignment horizontal="left"/>
    </xf>
    <xf numFmtId="0" fontId="11" fillId="6" borderId="0" xfId="10" applyFont="1" applyFill="1" applyAlignment="1">
      <alignment horizontal="left"/>
    </xf>
    <xf numFmtId="0" fontId="17" fillId="7" borderId="0" xfId="10" applyFont="1" applyFill="1" applyAlignment="1">
      <alignment horizontal="left" vertical="center"/>
    </xf>
    <xf numFmtId="0" fontId="8" fillId="0" borderId="0" xfId="10" applyFont="1"/>
    <xf numFmtId="0" fontId="8" fillId="0" borderId="0" xfId="10" applyFont="1" applyAlignment="1">
      <alignment horizontal="left" wrapText="1"/>
    </xf>
    <xf numFmtId="0" fontId="3" fillId="0" borderId="0" xfId="10" applyFont="1" applyAlignment="1">
      <alignment horizontal="left"/>
    </xf>
    <xf numFmtId="0" fontId="7" fillId="0" borderId="0" xfId="10" applyFont="1" applyAlignment="1">
      <alignment horizontal="left"/>
    </xf>
    <xf numFmtId="0" fontId="10" fillId="0" borderId="0" xfId="10" applyFont="1" applyAlignment="1">
      <alignment horizontal="left"/>
    </xf>
    <xf numFmtId="0" fontId="7" fillId="5" borderId="0" xfId="10" applyFont="1" applyFill="1" applyAlignment="1">
      <alignment horizontal="left"/>
    </xf>
    <xf numFmtId="0" fontId="15" fillId="6" borderId="0" xfId="10" applyFont="1" applyFill="1" applyAlignment="1">
      <alignment horizontal="left"/>
    </xf>
    <xf numFmtId="0" fontId="16" fillId="0" borderId="0" xfId="10" applyFont="1" applyAlignment="1">
      <alignment horizontal="left"/>
    </xf>
    <xf numFmtId="0" fontId="7" fillId="0" borderId="0" xfId="10" applyFont="1" applyAlignment="1">
      <alignment horizontal="center"/>
    </xf>
    <xf numFmtId="0" fontId="4" fillId="5" borderId="0" xfId="10" applyFont="1" applyFill="1" applyAlignment="1">
      <alignment horizontal="center" wrapText="1"/>
    </xf>
    <xf numFmtId="0" fontId="7" fillId="9" borderId="11" xfId="0" applyFont="1" applyFill="1" applyBorder="1" applyAlignment="1">
      <alignment horizontal="left" vertical="center"/>
    </xf>
    <xf numFmtId="0" fontId="3" fillId="9" borderId="11" xfId="0" applyFont="1" applyFill="1" applyBorder="1" applyAlignment="1">
      <alignment horizontal="left" vertical="center" wrapText="1"/>
    </xf>
    <xf numFmtId="0" fontId="3" fillId="9" borderId="11" xfId="0" applyFont="1" applyFill="1" applyBorder="1" applyAlignment="1">
      <alignment horizontal="left" wrapText="1"/>
    </xf>
    <xf numFmtId="0" fontId="3" fillId="0" borderId="0" xfId="0" applyFont="1" applyAlignment="1">
      <alignment horizontal="left" vertical="top" wrapText="1"/>
    </xf>
    <xf numFmtId="0" fontId="3" fillId="0" borderId="0" xfId="0" applyFont="1" applyAlignment="1">
      <alignment horizontal="left" wrapText="1"/>
    </xf>
    <xf numFmtId="0" fontId="3" fillId="9" borderId="11" xfId="0" applyFont="1" applyFill="1" applyBorder="1" applyAlignment="1">
      <alignment horizontal="left" vertical="top" wrapText="1"/>
    </xf>
    <xf numFmtId="0" fontId="3" fillId="9" borderId="11" xfId="0" applyFont="1" applyFill="1" applyBorder="1" applyAlignment="1">
      <alignment horizontal="center"/>
    </xf>
    <xf numFmtId="0" fontId="3" fillId="9" borderId="11" xfId="0" applyFont="1" applyFill="1" applyBorder="1" applyAlignment="1">
      <alignment horizontal="center" vertical="center" wrapText="1"/>
    </xf>
    <xf numFmtId="0" fontId="19" fillId="0" borderId="0" xfId="0" applyFont="1" applyAlignment="1">
      <alignment horizontal="left" wrapText="1"/>
    </xf>
    <xf numFmtId="0" fontId="19" fillId="9" borderId="11" xfId="0" applyFont="1" applyFill="1" applyBorder="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horizontal="center" wrapText="1"/>
    </xf>
    <xf numFmtId="0" fontId="7" fillId="0" borderId="11" xfId="14" applyFont="1" applyBorder="1" applyAlignment="1">
      <alignment horizontal="center" vertical="center" wrapText="1"/>
    </xf>
    <xf numFmtId="0" fontId="3" fillId="0" borderId="11" xfId="14" applyFont="1" applyBorder="1" applyAlignment="1">
      <alignment horizontal="left" vertical="center" wrapText="1"/>
    </xf>
    <xf numFmtId="0" fontId="3" fillId="0" borderId="11" xfId="14" applyFont="1" applyBorder="1" applyAlignment="1">
      <alignment horizontal="left" wrapText="1"/>
    </xf>
    <xf numFmtId="0" fontId="3" fillId="0" borderId="51" xfId="14" applyFont="1" applyBorder="1" applyAlignment="1">
      <alignment horizontal="left" vertical="center" wrapText="1"/>
    </xf>
    <xf numFmtId="0" fontId="7" fillId="0" borderId="0" xfId="14" applyFont="1" applyAlignment="1">
      <alignment horizontal="center" vertical="center"/>
    </xf>
    <xf numFmtId="0" fontId="7" fillId="0" borderId="0" xfId="14" applyFont="1" applyAlignment="1">
      <alignment horizontal="left" vertical="center" wrapText="1"/>
    </xf>
    <xf numFmtId="0" fontId="15" fillId="0" borderId="49" xfId="14" applyFont="1" applyBorder="1" applyAlignment="1">
      <alignment horizontal="center"/>
    </xf>
    <xf numFmtId="0" fontId="3" fillId="0" borderId="57" xfId="14" applyFont="1" applyBorder="1" applyAlignment="1">
      <alignment horizontal="center" vertical="center" wrapText="1"/>
    </xf>
    <xf numFmtId="0" fontId="3" fillId="0" borderId="58" xfId="14" applyFont="1" applyBorder="1" applyAlignment="1">
      <alignment horizontal="center" vertical="center" wrapText="1"/>
    </xf>
    <xf numFmtId="0" fontId="3" fillId="0" borderId="59" xfId="14" applyFont="1" applyBorder="1" applyAlignment="1">
      <alignment horizontal="center" vertical="center" wrapText="1"/>
    </xf>
    <xf numFmtId="0" fontId="3" fillId="0" borderId="6" xfId="14" applyFont="1" applyBorder="1" applyAlignment="1">
      <alignment horizontal="center" vertical="center" wrapText="1"/>
    </xf>
    <xf numFmtId="0" fontId="3" fillId="0" borderId="0" xfId="14" applyFont="1" applyAlignment="1">
      <alignment horizontal="center" vertical="center" wrapText="1"/>
    </xf>
    <xf numFmtId="0" fontId="3" fillId="0" borderId="7" xfId="14" applyFont="1" applyBorder="1" applyAlignment="1">
      <alignment horizontal="center" vertical="center" wrapText="1"/>
    </xf>
    <xf numFmtId="0" fontId="3" fillId="0" borderId="9" xfId="14" applyFont="1" applyBorder="1" applyAlignment="1">
      <alignment horizontal="center" vertical="center" wrapText="1"/>
    </xf>
    <xf numFmtId="0" fontId="3" fillId="0" borderId="10" xfId="14" applyFont="1" applyBorder="1" applyAlignment="1">
      <alignment horizontal="center" vertical="center" wrapText="1"/>
    </xf>
    <xf numFmtId="0" fontId="3" fillId="0" borderId="8" xfId="14" applyFont="1" applyBorder="1" applyAlignment="1">
      <alignment horizontal="center" vertical="center" wrapText="1"/>
    </xf>
    <xf numFmtId="0" fontId="3" fillId="0" borderId="51" xfId="14" applyFont="1" applyBorder="1" applyAlignment="1">
      <alignment horizontal="left" wrapText="1"/>
    </xf>
    <xf numFmtId="0" fontId="3" fillId="0" borderId="10" xfId="14" applyFont="1" applyBorder="1" applyAlignment="1">
      <alignment horizontal="center"/>
    </xf>
    <xf numFmtId="0" fontId="3" fillId="0" borderId="6" xfId="14" applyFont="1" applyBorder="1" applyAlignment="1">
      <alignment horizontal="left" wrapText="1"/>
    </xf>
    <xf numFmtId="0" fontId="3" fillId="0" borderId="0" xfId="14" applyFont="1" applyAlignment="1">
      <alignment horizontal="left" wrapText="1"/>
    </xf>
    <xf numFmtId="0" fontId="3" fillId="0" borderId="4" xfId="14" applyFont="1" applyBorder="1" applyAlignment="1">
      <alignment horizontal="center"/>
    </xf>
    <xf numFmtId="0" fontId="3" fillId="0" borderId="9" xfId="14" applyFont="1" applyBorder="1" applyAlignment="1">
      <alignment horizontal="left" wrapText="1"/>
    </xf>
    <xf numFmtId="0" fontId="3" fillId="0" borderId="10" xfId="14" applyFont="1" applyBorder="1" applyAlignment="1">
      <alignment horizontal="left" wrapText="1"/>
    </xf>
    <xf numFmtId="0" fontId="6" fillId="0" borderId="1" xfId="14" applyFont="1" applyBorder="1" applyAlignment="1">
      <alignment horizontal="left"/>
    </xf>
    <xf numFmtId="0" fontId="6" fillId="0" borderId="4" xfId="14" applyFont="1" applyBorder="1" applyAlignment="1">
      <alignment horizontal="left"/>
    </xf>
    <xf numFmtId="0" fontId="3" fillId="0" borderId="12" xfId="14" applyFont="1" applyBorder="1" applyAlignment="1">
      <alignment horizontal="center"/>
    </xf>
    <xf numFmtId="0" fontId="3" fillId="0" borderId="0" xfId="14" applyFont="1" applyAlignment="1">
      <alignment horizontal="center"/>
    </xf>
    <xf numFmtId="0" fontId="3" fillId="0" borderId="10" xfId="14" applyFont="1" applyBorder="1" applyAlignment="1">
      <alignment horizontal="center" wrapText="1"/>
    </xf>
    <xf numFmtId="0" fontId="3" fillId="0" borderId="6" xfId="14" applyFont="1" applyBorder="1" applyAlignment="1">
      <alignment horizontal="left" vertical="center" wrapText="1"/>
    </xf>
    <xf numFmtId="0" fontId="3" fillId="0" borderId="0" xfId="14" applyFont="1" applyAlignment="1">
      <alignment horizontal="left" vertical="center" wrapText="1"/>
    </xf>
    <xf numFmtId="0" fontId="3" fillId="0" borderId="6" xfId="14" applyFont="1" applyBorder="1" applyAlignment="1">
      <alignment wrapText="1"/>
    </xf>
    <xf numFmtId="0" fontId="3" fillId="0" borderId="0" xfId="14" applyFont="1" applyAlignment="1">
      <alignment wrapText="1"/>
    </xf>
    <xf numFmtId="0" fontId="39" fillId="0" borderId="52" xfId="14" applyFont="1" applyBorder="1" applyAlignment="1">
      <alignment horizontal="center"/>
    </xf>
    <xf numFmtId="0" fontId="39" fillId="0" borderId="53" xfId="14" applyFont="1" applyBorder="1" applyAlignment="1">
      <alignment horizontal="center"/>
    </xf>
    <xf numFmtId="0" fontId="39" fillId="0" borderId="54" xfId="14" applyFont="1" applyBorder="1" applyAlignment="1">
      <alignment horizontal="center"/>
    </xf>
    <xf numFmtId="0" fontId="7" fillId="0" borderId="15" xfId="14" applyFont="1" applyBorder="1" applyAlignment="1">
      <alignment horizontal="center" vertical="center"/>
    </xf>
    <xf numFmtId="0" fontId="7" fillId="0" borderId="16" xfId="14" applyFont="1" applyBorder="1" applyAlignment="1">
      <alignment horizontal="center" vertical="center"/>
    </xf>
    <xf numFmtId="0" fontId="7" fillId="0" borderId="17" xfId="14" applyFont="1" applyBorder="1" applyAlignment="1">
      <alignment horizontal="center" vertical="center"/>
    </xf>
    <xf numFmtId="0" fontId="7" fillId="0" borderId="18" xfId="14" applyFont="1" applyBorder="1" applyAlignment="1">
      <alignment horizontal="center" vertical="center"/>
    </xf>
    <xf numFmtId="0" fontId="7" fillId="0" borderId="19" xfId="14" applyFont="1" applyBorder="1" applyAlignment="1">
      <alignment horizontal="center" vertical="center"/>
    </xf>
    <xf numFmtId="0" fontId="6" fillId="0" borderId="2" xfId="14" applyFont="1" applyBorder="1" applyAlignment="1">
      <alignment horizontal="left"/>
    </xf>
    <xf numFmtId="0" fontId="6" fillId="0" borderId="12" xfId="14" applyFont="1" applyBorder="1" applyAlignment="1">
      <alignment horizontal="left"/>
    </xf>
    <xf numFmtId="0" fontId="7" fillId="0" borderId="0" xfId="14" applyFont="1" applyAlignment="1">
      <alignment horizontal="left" wrapText="1"/>
    </xf>
    <xf numFmtId="0" fontId="7" fillId="0" borderId="15" xfId="14" applyFont="1" applyBorder="1" applyAlignment="1">
      <alignment horizontal="center" vertical="center" wrapText="1"/>
    </xf>
    <xf numFmtId="0" fontId="7" fillId="0" borderId="16" xfId="14" applyFont="1" applyBorder="1" applyAlignment="1">
      <alignment horizontal="center" vertical="center" wrapText="1"/>
    </xf>
    <xf numFmtId="0" fontId="7" fillId="0" borderId="17" xfId="14" applyFont="1" applyBorder="1" applyAlignment="1">
      <alignment horizontal="center" vertical="center" wrapText="1"/>
    </xf>
    <xf numFmtId="0" fontId="7" fillId="0" borderId="18" xfId="14" applyFont="1" applyBorder="1" applyAlignment="1">
      <alignment horizontal="center" vertical="center" wrapText="1"/>
    </xf>
    <xf numFmtId="0" fontId="7" fillId="0" borderId="0" xfId="14" applyFont="1" applyAlignment="1">
      <alignment horizontal="center" vertical="center" wrapText="1"/>
    </xf>
    <xf numFmtId="0" fontId="7" fillId="0" borderId="19" xfId="14" applyFont="1" applyBorder="1" applyAlignment="1">
      <alignment horizontal="center" vertical="center" wrapText="1"/>
    </xf>
    <xf numFmtId="0" fontId="7" fillId="0" borderId="23" xfId="14" applyFont="1" applyBorder="1" applyAlignment="1">
      <alignment horizontal="center" vertical="center" wrapText="1"/>
    </xf>
    <xf numFmtId="0" fontId="7" fillId="0" borderId="14" xfId="14" applyFont="1" applyBorder="1" applyAlignment="1">
      <alignment horizontal="center" vertical="center" wrapText="1"/>
    </xf>
    <xf numFmtId="0" fontId="7" fillId="0" borderId="24" xfId="14" applyFont="1" applyBorder="1" applyAlignment="1">
      <alignment horizontal="center" vertical="center" wrapText="1"/>
    </xf>
    <xf numFmtId="0" fontId="8" fillId="0" borderId="18" xfId="14" applyFont="1" applyBorder="1" applyAlignment="1">
      <alignment horizontal="left"/>
    </xf>
    <xf numFmtId="0" fontId="8" fillId="0" borderId="0" xfId="14" applyFont="1" applyAlignment="1">
      <alignment horizontal="left"/>
    </xf>
    <xf numFmtId="0" fontId="11" fillId="0" borderId="18" xfId="14" applyFont="1" applyBorder="1" applyAlignment="1">
      <alignment horizontal="left"/>
    </xf>
    <xf numFmtId="0" fontId="11" fillId="0" borderId="0" xfId="14" applyFont="1" applyAlignment="1">
      <alignment horizontal="left"/>
    </xf>
    <xf numFmtId="0" fontId="7" fillId="7" borderId="20" xfId="14" applyFont="1" applyFill="1" applyBorder="1" applyAlignment="1">
      <alignment horizontal="left"/>
    </xf>
    <xf numFmtId="0" fontId="7" fillId="7" borderId="21" xfId="14" applyFont="1" applyFill="1" applyBorder="1" applyAlignment="1">
      <alignment horizontal="left"/>
    </xf>
    <xf numFmtId="0" fontId="7" fillId="0" borderId="18" xfId="14" applyFont="1" applyBorder="1" applyAlignment="1">
      <alignment horizontal="left"/>
    </xf>
    <xf numFmtId="0" fontId="7" fillId="0" borderId="0" xfId="14" applyFont="1" applyAlignment="1">
      <alignment horizontal="left"/>
    </xf>
    <xf numFmtId="0" fontId="8" fillId="10" borderId="18" xfId="14" applyFont="1" applyFill="1" applyBorder="1" applyAlignment="1">
      <alignment horizontal="left"/>
    </xf>
    <xf numFmtId="0" fontId="8" fillId="10" borderId="0" xfId="14" applyFont="1" applyFill="1" applyAlignment="1">
      <alignment horizontal="left"/>
    </xf>
    <xf numFmtId="0" fontId="11" fillId="0" borderId="18" xfId="14" applyFont="1" applyBorder="1" applyAlignment="1">
      <alignment horizontal="left" wrapText="1"/>
    </xf>
    <xf numFmtId="0" fontId="11" fillId="0" borderId="0" xfId="14" applyFont="1" applyAlignment="1">
      <alignment horizontal="left" wrapText="1"/>
    </xf>
    <xf numFmtId="0" fontId="19" fillId="0" borderId="0" xfId="14" applyFont="1" applyAlignment="1">
      <alignment horizontal="center" vertical="center"/>
    </xf>
    <xf numFmtId="0" fontId="19" fillId="0" borderId="0" xfId="14" applyFont="1" applyAlignment="1">
      <alignment horizontal="left" vertical="center" wrapText="1"/>
    </xf>
    <xf numFmtId="0" fontId="7" fillId="7" borderId="18" xfId="14" applyFont="1" applyFill="1" applyBorder="1" applyAlignment="1">
      <alignment horizontal="left"/>
    </xf>
    <xf numFmtId="0" fontId="7" fillId="7" borderId="0" xfId="14" applyFont="1" applyFill="1" applyAlignment="1">
      <alignment horizontal="left"/>
    </xf>
    <xf numFmtId="0" fontId="4" fillId="8" borderId="0" xfId="14" applyFont="1" applyFill="1" applyAlignment="1">
      <alignment horizontal="center" wrapText="1"/>
    </xf>
    <xf numFmtId="0" fontId="12" fillId="0" borderId="0" xfId="14" applyFont="1" applyAlignment="1">
      <alignment horizontal="center" vertical="center"/>
    </xf>
    <xf numFmtId="0" fontId="12" fillId="0" borderId="0" xfId="14" applyFont="1" applyAlignment="1">
      <alignment horizontal="left" vertical="center" wrapText="1"/>
    </xf>
  </cellXfs>
  <cellStyles count="15">
    <cellStyle name="40% - Énfasis4" xfId="3" builtinId="43"/>
    <cellStyle name="Bueno" xfId="2" builtinId="26"/>
    <cellStyle name="Incorrecto" xfId="9" builtinId="27"/>
    <cellStyle name="Millares [0] 2" xfId="5" xr:uid="{9243D84C-5D5E-4AE8-B118-3E71023E93D5}"/>
    <cellStyle name="Millares [0] 3" xfId="12" xr:uid="{F8927B7E-815F-493D-9D31-8EA0853B137B}"/>
    <cellStyle name="Millares 2" xfId="7" xr:uid="{21D48677-9C16-47FD-83A0-B7AEB2946177}"/>
    <cellStyle name="Millares 3" xfId="13" xr:uid="{2D77AEEA-DFC8-47EA-965C-398A9BD6B85E}"/>
    <cellStyle name="Normal" xfId="0" builtinId="0"/>
    <cellStyle name="Normal 2" xfId="4" xr:uid="{4CB0DE0F-DE21-4F1C-AD70-872820A677EB}"/>
    <cellStyle name="Normal 3" xfId="10" xr:uid="{73FE9BF7-EB23-4648-A50F-BD1B4CB6E612}"/>
    <cellStyle name="Normal 4" xfId="14" xr:uid="{4D824A1B-9B01-4176-B528-B5E5FB4A7AAB}"/>
    <cellStyle name="Notas" xfId="8" builtinId="10"/>
    <cellStyle name="Porcentaje" xfId="1" builtinId="5"/>
    <cellStyle name="Porcentaje 2" xfId="6" xr:uid="{05F95253-B2CE-48A2-8F60-EE2FDCB5858C}"/>
    <cellStyle name="Porcentaje 3" xfId="11" xr:uid="{F9AA8A4D-C25C-4EA6-8606-0F1361DC0AC6}"/>
  </cellStyles>
  <dxfs count="20">
    <dxf>
      <font>
        <b val="0"/>
        <i val="0"/>
        <strike val="0"/>
        <condense val="0"/>
        <extend val="0"/>
        <outline val="0"/>
        <shadow val="0"/>
        <u val="none"/>
        <vertAlign val="baseline"/>
        <sz val="12"/>
        <color theme="1"/>
        <name val="Arial"/>
        <scheme val="none"/>
      </font>
      <numFmt numFmtId="167" formatCode="_-[$$-409]* #,##0.00_ ;_-[$$-409]* \-#,##0.00\ ;_-[$$-409]* &quot;-&quot;??_ ;_-@_ "/>
    </dxf>
    <dxf>
      <font>
        <b val="0"/>
        <i val="0"/>
        <strike val="0"/>
        <condense val="0"/>
        <extend val="0"/>
        <outline val="0"/>
        <shadow val="0"/>
        <u val="none"/>
        <vertAlign val="baseline"/>
        <sz val="12"/>
        <color theme="1"/>
        <name val="Arial"/>
        <scheme val="none"/>
      </font>
      <numFmt numFmtId="167" formatCode="_-[$$-409]* #,##0.00_ ;_-[$$-409]* \-#,##0.00\ ;_-[$$-409]* &quot;-&quot;??_ ;_-@_ "/>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numFmt numFmtId="167" formatCode="_-[$$-409]* #,##0.00_ ;_-[$$-409]* \-#,##0.00\ ;_-[$$-409]* &quot;-&quot;??_ ;_-@_ "/>
    </dxf>
    <dxf>
      <font>
        <b val="0"/>
        <i val="0"/>
        <strike val="0"/>
        <condense val="0"/>
        <extend val="0"/>
        <outline val="0"/>
        <shadow val="0"/>
        <u val="none"/>
        <vertAlign val="baseline"/>
        <sz val="12"/>
        <color theme="1"/>
        <name val="Arial"/>
        <scheme val="none"/>
      </font>
      <numFmt numFmtId="167" formatCode="_-[$$-409]* #,##0.00_ ;_-[$$-409]* \-#,##0.00\ ;_-[$$-409]* &quot;-&quot;??_ ;_-@_ "/>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numFmt numFmtId="167" formatCode="_-[$$-409]* #,##0.00_ ;_-[$$-409]* \-#,##0.00\ ;_-[$$-409]* &quot;-&quot;??_ ;_-@_ "/>
    </dxf>
    <dxf>
      <font>
        <b val="0"/>
        <i val="0"/>
        <strike val="0"/>
        <condense val="0"/>
        <extend val="0"/>
        <outline val="0"/>
        <shadow val="0"/>
        <u val="none"/>
        <vertAlign val="baseline"/>
        <sz val="12"/>
        <color theme="1"/>
        <name val="Arial"/>
        <scheme val="none"/>
      </font>
      <numFmt numFmtId="167" formatCode="_-[$$-409]* #,##0.00_ ;_-[$$-409]* \-#,##0.00\ ;_-[$$-409]* &quot;-&quot;??_ ;_-@_ "/>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numFmt numFmtId="167" formatCode="_-[$$-409]* #,##0.00_ ;_-[$$-409]* \-#,##0.00\ ;_-[$$-409]* &quot;-&quot;??_ ;_-@_ "/>
    </dxf>
    <dxf>
      <font>
        <b val="0"/>
        <i val="0"/>
        <strike val="0"/>
        <condense val="0"/>
        <extend val="0"/>
        <outline val="0"/>
        <shadow val="0"/>
        <u val="none"/>
        <vertAlign val="baseline"/>
        <sz val="12"/>
        <color theme="1"/>
        <name val="Arial"/>
        <scheme val="none"/>
      </font>
      <numFmt numFmtId="167" formatCode="_-[$$-409]* #,##0.00_ ;_-[$$-409]* \-#,##0.00\ ;_-[$$-409]* &quot;-&quot;??_ ;_-@_ "/>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EB3C77-BDD2-489C-89C2-08DEAF10A229}" name="Tabla3" displayName="Tabla3" ref="C22:E32" totalsRowShown="0" headerRowDxfId="19" dataDxfId="18">
  <autoFilter ref="C22:E32" xr:uid="{DEEB3C77-BDD2-489C-89C2-08DEAF10A229}"/>
  <tableColumns count="3">
    <tableColumn id="1" xr3:uid="{95DF7073-3888-46F3-A0F6-498A307C4DF3}" name="Rubro" dataDxfId="17"/>
    <tableColumn id="4" xr3:uid="{B6B4076E-0889-4D66-81E0-7536CB15DFDC}" name="Entrada de efectiva" dataDxfId="16"/>
    <tableColumn id="5" xr3:uid="{10408C37-9626-4124-A20B-AF421523F26C}" name="Salida de efectivo" dataDxfId="1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0545C3-F248-40E9-9A41-4B5F0ED0D7F1}" name="Tabla33" displayName="Tabla33" ref="H22:J32" totalsRowShown="0" headerRowDxfId="14" dataDxfId="13">
  <autoFilter ref="H22:J32" xr:uid="{1C0545C3-F248-40E9-9A41-4B5F0ED0D7F1}"/>
  <tableColumns count="3">
    <tableColumn id="1" xr3:uid="{34536FB5-7BF9-4AB0-ADE3-3D1503055095}" name="Rubro" dataDxfId="12"/>
    <tableColumn id="4" xr3:uid="{B50A3449-730C-4855-84CC-8220024A78FE}" name="Entrada de efectiva" dataDxfId="11"/>
    <tableColumn id="5" xr3:uid="{EF07E38A-2F24-44C6-9D79-46EBADEFD44A}" name="Salida de efectivo" dataDxfId="10"/>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128EE8-F2E9-43C6-A4BB-25780EDDFE24}" name="Tabla335" displayName="Tabla335" ref="N22:P32" totalsRowShown="0" headerRowDxfId="9" dataDxfId="8">
  <autoFilter ref="N22:P32" xr:uid="{67128EE8-F2E9-43C6-A4BB-25780EDDFE24}"/>
  <tableColumns count="3">
    <tableColumn id="1" xr3:uid="{B6B60D4E-188E-4C40-A475-EB4EA1FBAE07}" name="Rubro" dataDxfId="7"/>
    <tableColumn id="4" xr3:uid="{8987AE5D-0F6E-4003-9B31-44C5EA4EABB2}" name="Entrada de efectiva" dataDxfId="6"/>
    <tableColumn id="5" xr3:uid="{6295CED2-AA98-4F90-B4BE-2BADCF61D22D}" name="Salida de efectivo" dataDxfId="5"/>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8BD87B-0AE7-49CA-94B2-05C0D4FBE566}" name="Tabla337" displayName="Tabla337" ref="T22:V32" totalsRowShown="0" headerRowDxfId="4" dataDxfId="3">
  <autoFilter ref="T22:V32" xr:uid="{F68BD87B-0AE7-49CA-94B2-05C0D4FBE566}"/>
  <tableColumns count="3">
    <tableColumn id="1" xr3:uid="{EDFEDAB3-CF56-45B2-BDB8-D730CEEE44A9}" name="Rubro" dataDxfId="2"/>
    <tableColumn id="4" xr3:uid="{E01B6262-E93A-4D66-B46E-B03C0C383D23}" name="Entrada de efectiva" dataDxfId="1"/>
    <tableColumn id="5" xr3:uid="{5E55D2F4-C5EC-426A-9F7E-453D304D2581}" name="Salida de efectivo" dataDxfId="0"/>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FB6F8-6E80-4025-8F3E-A4F9D377C9BF}">
  <dimension ref="B3:Z87"/>
  <sheetViews>
    <sheetView workbookViewId="0">
      <selection activeCell="B21" sqref="B21:D21"/>
    </sheetView>
  </sheetViews>
  <sheetFormatPr baseColWidth="10" defaultColWidth="9.109375" defaultRowHeight="15.6" x14ac:dyDescent="0.3"/>
  <cols>
    <col min="1" max="4" width="9.109375" style="249"/>
    <col min="5" max="5" width="9.5546875" style="249" bestFit="1" customWidth="1"/>
    <col min="6" max="13" width="9.109375" style="249"/>
    <col min="14" max="14" width="4.33203125" style="249" customWidth="1"/>
    <col min="15" max="15" width="9.109375" style="249"/>
    <col min="16" max="16" width="14.21875" style="249" customWidth="1"/>
    <col min="17" max="17" width="9.5546875" style="249" bestFit="1" customWidth="1"/>
    <col min="18" max="16384" width="9.109375" style="249"/>
  </cols>
  <sheetData>
    <row r="3" spans="2:26" ht="25.8" thickBot="1" x14ac:dyDescent="0.5">
      <c r="B3" s="550" t="s">
        <v>105</v>
      </c>
      <c r="C3" s="550"/>
      <c r="D3" s="550"/>
      <c r="E3" s="550"/>
      <c r="F3" s="550"/>
      <c r="G3" s="550"/>
      <c r="H3" s="550"/>
      <c r="I3" s="550"/>
      <c r="J3" s="550"/>
      <c r="K3" s="550"/>
      <c r="L3" s="550"/>
      <c r="M3" s="550"/>
      <c r="N3" s="550"/>
      <c r="O3" s="550"/>
      <c r="P3" s="550"/>
      <c r="Q3" s="550"/>
      <c r="R3" s="550"/>
      <c r="S3" s="550"/>
      <c r="T3" s="550"/>
      <c r="U3" s="550"/>
      <c r="V3" s="550"/>
      <c r="W3" s="550"/>
      <c r="X3" s="550"/>
      <c r="Y3" s="550"/>
      <c r="Z3" s="550"/>
    </row>
    <row r="5" spans="2:26" ht="17.25" customHeight="1" x14ac:dyDescent="0.3">
      <c r="B5" s="249" t="s">
        <v>106</v>
      </c>
      <c r="N5" s="250" t="s">
        <v>107</v>
      </c>
    </row>
    <row r="6" spans="2:26" ht="17.25" customHeight="1" x14ac:dyDescent="0.3">
      <c r="N6" s="250"/>
    </row>
    <row r="7" spans="2:26" ht="17.25" customHeight="1" thickBot="1" x14ac:dyDescent="0.35">
      <c r="N7" s="250"/>
    </row>
    <row r="8" spans="2:26" x14ac:dyDescent="0.3">
      <c r="B8" s="551" t="s">
        <v>108</v>
      </c>
      <c r="C8" s="552"/>
      <c r="D8" s="552"/>
      <c r="E8" s="552"/>
      <c r="F8" s="552"/>
      <c r="G8" s="552"/>
      <c r="H8" s="552"/>
      <c r="I8" s="552"/>
      <c r="J8" s="552"/>
      <c r="K8" s="552"/>
      <c r="L8" s="552"/>
      <c r="M8" s="553"/>
      <c r="O8" s="554" t="s">
        <v>109</v>
      </c>
      <c r="P8" s="555"/>
      <c r="Q8" s="555"/>
      <c r="R8" s="555"/>
      <c r="S8" s="555"/>
      <c r="T8" s="555"/>
      <c r="U8" s="555"/>
      <c r="V8" s="555"/>
      <c r="W8" s="555"/>
      <c r="X8" s="555"/>
      <c r="Y8" s="555"/>
      <c r="Z8" s="556"/>
    </row>
    <row r="9" spans="2:26" ht="15.75" customHeight="1" x14ac:dyDescent="0.3">
      <c r="B9" s="557" t="s">
        <v>110</v>
      </c>
      <c r="C9" s="558"/>
      <c r="D9" s="558"/>
      <c r="E9" s="558"/>
      <c r="F9" s="558"/>
      <c r="G9" s="558"/>
      <c r="H9" s="558"/>
      <c r="I9" s="558"/>
      <c r="J9" s="558"/>
      <c r="K9" s="558"/>
      <c r="L9" s="558"/>
      <c r="M9" s="559"/>
      <c r="O9" s="563" t="s">
        <v>111</v>
      </c>
      <c r="P9" s="564"/>
      <c r="Q9" s="564"/>
      <c r="R9" s="564"/>
      <c r="S9" s="564"/>
      <c r="T9" s="564"/>
      <c r="U9" s="564"/>
      <c r="V9" s="564"/>
      <c r="W9" s="564"/>
      <c r="X9" s="564"/>
      <c r="Y9" s="564"/>
      <c r="Z9" s="565"/>
    </row>
    <row r="10" spans="2:26" x14ac:dyDescent="0.3">
      <c r="B10" s="557"/>
      <c r="C10" s="558"/>
      <c r="D10" s="558"/>
      <c r="E10" s="558"/>
      <c r="F10" s="558"/>
      <c r="G10" s="558"/>
      <c r="H10" s="558"/>
      <c r="I10" s="558"/>
      <c r="J10" s="558"/>
      <c r="K10" s="558"/>
      <c r="L10" s="558"/>
      <c r="M10" s="559"/>
      <c r="O10" s="563"/>
      <c r="P10" s="564"/>
      <c r="Q10" s="564"/>
      <c r="R10" s="564"/>
      <c r="S10" s="564"/>
      <c r="T10" s="564"/>
      <c r="U10" s="564"/>
      <c r="V10" s="564"/>
      <c r="W10" s="564"/>
      <c r="X10" s="564"/>
      <c r="Y10" s="564"/>
      <c r="Z10" s="565"/>
    </row>
    <row r="11" spans="2:26" ht="16.2" thickBot="1" x14ac:dyDescent="0.35">
      <c r="B11" s="560"/>
      <c r="C11" s="561"/>
      <c r="D11" s="561"/>
      <c r="E11" s="561"/>
      <c r="F11" s="561"/>
      <c r="G11" s="561"/>
      <c r="H11" s="561"/>
      <c r="I11" s="561"/>
      <c r="J11" s="561"/>
      <c r="K11" s="561"/>
      <c r="L11" s="561"/>
      <c r="M11" s="562"/>
      <c r="O11" s="566"/>
      <c r="P11" s="567"/>
      <c r="Q11" s="567"/>
      <c r="R11" s="567"/>
      <c r="S11" s="567"/>
      <c r="T11" s="567"/>
      <c r="U11" s="567"/>
      <c r="V11" s="567"/>
      <c r="W11" s="567"/>
      <c r="X11" s="567"/>
      <c r="Y11" s="567"/>
      <c r="Z11" s="568"/>
    </row>
    <row r="12" spans="2:26" x14ac:dyDescent="0.3">
      <c r="B12" s="251"/>
      <c r="C12" s="251"/>
      <c r="D12" s="251"/>
      <c r="E12" s="251"/>
      <c r="F12" s="251"/>
      <c r="G12" s="251"/>
      <c r="H12" s="251"/>
      <c r="I12" s="251"/>
      <c r="J12" s="251"/>
      <c r="K12" s="251"/>
      <c r="L12" s="251"/>
      <c r="M12" s="251"/>
      <c r="O12" s="251"/>
      <c r="P12" s="251"/>
      <c r="Q12" s="251"/>
      <c r="R12" s="251"/>
      <c r="S12" s="251"/>
      <c r="T12" s="251"/>
      <c r="U12" s="251"/>
      <c r="V12" s="251"/>
      <c r="W12" s="251"/>
      <c r="X12" s="251"/>
      <c r="Y12" s="251"/>
      <c r="Z12" s="251"/>
    </row>
    <row r="14" spans="2:26" x14ac:dyDescent="0.3">
      <c r="O14" s="209" t="s">
        <v>112</v>
      </c>
    </row>
    <row r="15" spans="2:26" x14ac:dyDescent="0.3">
      <c r="B15" s="209" t="s">
        <v>112</v>
      </c>
    </row>
    <row r="16" spans="2:26" x14ac:dyDescent="0.3">
      <c r="O16" s="569" t="s">
        <v>113</v>
      </c>
      <c r="P16" s="569"/>
      <c r="Q16" s="569"/>
      <c r="R16" s="569"/>
      <c r="S16" s="569"/>
      <c r="T16" s="569"/>
      <c r="U16" s="569"/>
      <c r="V16" s="569"/>
    </row>
    <row r="17" spans="2:22" x14ac:dyDescent="0.3">
      <c r="B17" s="569" t="s">
        <v>113</v>
      </c>
      <c r="C17" s="569"/>
      <c r="D17" s="569"/>
      <c r="E17" s="569"/>
      <c r="F17" s="569"/>
      <c r="G17" s="569"/>
      <c r="H17" s="569"/>
      <c r="I17" s="569"/>
      <c r="O17" s="570" t="s">
        <v>114</v>
      </c>
      <c r="P17" s="570"/>
      <c r="Q17" s="570"/>
      <c r="R17" s="570"/>
      <c r="S17" s="570"/>
      <c r="T17" s="570"/>
      <c r="U17" s="570"/>
      <c r="V17" s="570"/>
    </row>
    <row r="18" spans="2:22" ht="15.6" customHeight="1" x14ac:dyDescent="0.3">
      <c r="B18" s="570" t="s">
        <v>114</v>
      </c>
      <c r="C18" s="570"/>
      <c r="D18" s="570"/>
      <c r="E18" s="570"/>
      <c r="F18" s="570"/>
      <c r="G18" s="570"/>
      <c r="H18" s="570"/>
      <c r="I18" s="570"/>
      <c r="O18" s="570"/>
      <c r="P18" s="570"/>
      <c r="Q18" s="570"/>
      <c r="R18" s="570"/>
      <c r="S18" s="570"/>
      <c r="T18" s="570"/>
      <c r="U18" s="570"/>
      <c r="V18" s="570"/>
    </row>
    <row r="19" spans="2:22" x14ac:dyDescent="0.3">
      <c r="B19" s="570"/>
      <c r="C19" s="570"/>
      <c r="D19" s="570"/>
      <c r="E19" s="570"/>
      <c r="F19" s="570"/>
      <c r="G19" s="570"/>
      <c r="H19" s="570"/>
      <c r="I19" s="570"/>
      <c r="O19" s="546" t="s">
        <v>115</v>
      </c>
      <c r="P19" s="546"/>
      <c r="Q19" s="546"/>
      <c r="R19" s="547">
        <v>3000000</v>
      </c>
      <c r="S19" s="547"/>
    </row>
    <row r="20" spans="2:22" x14ac:dyDescent="0.3">
      <c r="B20" s="546" t="s">
        <v>115</v>
      </c>
      <c r="C20" s="546"/>
      <c r="D20" s="546"/>
      <c r="E20" s="547">
        <v>3000000</v>
      </c>
      <c r="F20" s="547"/>
      <c r="O20" s="548" t="s">
        <v>116</v>
      </c>
      <c r="P20" s="548"/>
      <c r="Q20" s="548"/>
      <c r="R20" s="549"/>
      <c r="S20" s="549"/>
    </row>
    <row r="21" spans="2:22" x14ac:dyDescent="0.3">
      <c r="B21" s="548" t="s">
        <v>116</v>
      </c>
      <c r="C21" s="548"/>
      <c r="D21" s="548"/>
      <c r="E21" s="549"/>
      <c r="F21" s="549"/>
      <c r="O21" s="546" t="s">
        <v>117</v>
      </c>
      <c r="P21" s="546"/>
      <c r="Q21" s="546"/>
      <c r="R21" s="571">
        <v>2200000</v>
      </c>
      <c r="S21" s="571"/>
    </row>
    <row r="22" spans="2:22" x14ac:dyDescent="0.3">
      <c r="B22" s="546" t="s">
        <v>117</v>
      </c>
      <c r="C22" s="546"/>
      <c r="D22" s="546"/>
      <c r="E22" s="571">
        <v>2200000</v>
      </c>
      <c r="F22" s="571"/>
      <c r="O22" s="546" t="s">
        <v>104</v>
      </c>
      <c r="P22" s="546"/>
      <c r="Q22" s="546"/>
      <c r="R22" s="547">
        <f>+R19-R21</f>
        <v>800000</v>
      </c>
      <c r="S22" s="547"/>
    </row>
    <row r="23" spans="2:22" x14ac:dyDescent="0.3">
      <c r="B23" s="546" t="s">
        <v>104</v>
      </c>
      <c r="C23" s="546"/>
      <c r="D23" s="546"/>
      <c r="E23" s="547">
        <f>+E20-E22</f>
        <v>800000</v>
      </c>
      <c r="F23" s="547"/>
    </row>
    <row r="25" spans="2:22" x14ac:dyDescent="0.3">
      <c r="O25" s="572" t="s">
        <v>118</v>
      </c>
      <c r="P25" s="572"/>
      <c r="Q25" s="572"/>
      <c r="R25" s="572"/>
      <c r="S25" s="572"/>
      <c r="T25" s="572"/>
      <c r="U25" s="572"/>
      <c r="V25" s="572"/>
    </row>
    <row r="26" spans="2:22" x14ac:dyDescent="0.3">
      <c r="B26" s="572" t="s">
        <v>118</v>
      </c>
      <c r="C26" s="572"/>
      <c r="D26" s="572"/>
      <c r="E26" s="572"/>
      <c r="F26" s="572"/>
      <c r="G26" s="572"/>
      <c r="H26" s="572"/>
      <c r="I26" s="572"/>
      <c r="O26" s="570" t="s">
        <v>114</v>
      </c>
      <c r="P26" s="570"/>
      <c r="Q26" s="570"/>
      <c r="R26" s="570"/>
      <c r="S26" s="570"/>
      <c r="T26" s="570"/>
      <c r="U26" s="570"/>
      <c r="V26" s="570"/>
    </row>
    <row r="27" spans="2:22" x14ac:dyDescent="0.3">
      <c r="B27" s="570" t="s">
        <v>114</v>
      </c>
      <c r="C27" s="570"/>
      <c r="D27" s="570"/>
      <c r="E27" s="570"/>
      <c r="F27" s="570"/>
      <c r="G27" s="570"/>
      <c r="H27" s="570"/>
      <c r="I27" s="570"/>
      <c r="O27" s="570"/>
      <c r="P27" s="570"/>
      <c r="Q27" s="570"/>
      <c r="R27" s="570"/>
      <c r="S27" s="570"/>
      <c r="T27" s="570"/>
      <c r="U27" s="570"/>
      <c r="V27" s="570"/>
    </row>
    <row r="28" spans="2:22" x14ac:dyDescent="0.3">
      <c r="B28" s="570"/>
      <c r="C28" s="570"/>
      <c r="D28" s="570"/>
      <c r="E28" s="570"/>
      <c r="F28" s="570"/>
      <c r="G28" s="570"/>
      <c r="H28" s="570"/>
      <c r="I28" s="570"/>
      <c r="O28" s="546" t="s">
        <v>119</v>
      </c>
      <c r="P28" s="546"/>
      <c r="Q28" s="546"/>
      <c r="R28" s="573">
        <f>+Q35</f>
        <v>1200000</v>
      </c>
      <c r="S28" s="573"/>
    </row>
    <row r="29" spans="2:22" x14ac:dyDescent="0.3">
      <c r="B29" s="546" t="s">
        <v>119</v>
      </c>
      <c r="C29" s="546"/>
      <c r="D29" s="546"/>
      <c r="E29" s="547">
        <v>0</v>
      </c>
      <c r="F29" s="547"/>
      <c r="O29" s="548" t="s">
        <v>116</v>
      </c>
      <c r="P29" s="548"/>
      <c r="Q29" s="548"/>
      <c r="R29" s="549"/>
      <c r="S29" s="549"/>
    </row>
    <row r="30" spans="2:22" x14ac:dyDescent="0.3">
      <c r="B30" s="548" t="s">
        <v>116</v>
      </c>
      <c r="C30" s="548"/>
      <c r="D30" s="548"/>
      <c r="E30" s="549"/>
      <c r="F30" s="549"/>
      <c r="O30" s="546" t="s">
        <v>120</v>
      </c>
      <c r="P30" s="546"/>
      <c r="Q30" s="546"/>
      <c r="R30" s="571">
        <v>2200000</v>
      </c>
      <c r="S30" s="571"/>
    </row>
    <row r="31" spans="2:22" x14ac:dyDescent="0.3">
      <c r="B31" s="546" t="s">
        <v>120</v>
      </c>
      <c r="C31" s="546"/>
      <c r="D31" s="546"/>
      <c r="E31" s="571">
        <v>2200000</v>
      </c>
      <c r="F31" s="571"/>
      <c r="O31" s="546" t="s">
        <v>121</v>
      </c>
      <c r="P31" s="546"/>
      <c r="Q31" s="546"/>
      <c r="R31" s="547">
        <f>+R28-R30</f>
        <v>-1000000</v>
      </c>
      <c r="S31" s="547"/>
    </row>
    <row r="32" spans="2:22" x14ac:dyDescent="0.3">
      <c r="B32" s="546" t="s">
        <v>121</v>
      </c>
      <c r="C32" s="546"/>
      <c r="D32" s="546"/>
      <c r="E32" s="547">
        <f>+E29-E31</f>
        <v>-2200000</v>
      </c>
      <c r="F32" s="547"/>
      <c r="O32" s="546"/>
      <c r="P32" s="546"/>
      <c r="Q32" s="546"/>
    </row>
    <row r="33" spans="2:25" x14ac:dyDescent="0.3">
      <c r="B33" s="546"/>
      <c r="C33" s="546"/>
      <c r="D33" s="546"/>
    </row>
    <row r="34" spans="2:25" x14ac:dyDescent="0.3">
      <c r="O34" s="546" t="s">
        <v>103</v>
      </c>
      <c r="P34" s="546"/>
      <c r="Q34" s="547">
        <v>3000000</v>
      </c>
      <c r="R34" s="547"/>
    </row>
    <row r="35" spans="2:25" x14ac:dyDescent="0.3">
      <c r="O35" s="252" t="s">
        <v>122</v>
      </c>
      <c r="P35" s="252"/>
      <c r="Q35" s="573">
        <f>+Q34*40%</f>
        <v>1200000</v>
      </c>
      <c r="R35" s="573"/>
    </row>
    <row r="36" spans="2:25" x14ac:dyDescent="0.3">
      <c r="B36" s="209" t="s">
        <v>123</v>
      </c>
      <c r="O36" s="249" t="s">
        <v>124</v>
      </c>
      <c r="Q36" s="547">
        <f>+Q34*60%</f>
        <v>1800000</v>
      </c>
      <c r="R36" s="547"/>
    </row>
    <row r="38" spans="2:25" x14ac:dyDescent="0.3">
      <c r="B38" s="570" t="s">
        <v>125</v>
      </c>
      <c r="C38" s="570"/>
      <c r="D38" s="570"/>
      <c r="E38" s="570"/>
      <c r="F38" s="570"/>
      <c r="G38" s="570"/>
      <c r="H38" s="570"/>
      <c r="I38" s="570"/>
      <c r="J38" s="570"/>
      <c r="K38" s="570"/>
      <c r="L38" s="570"/>
    </row>
    <row r="39" spans="2:25" x14ac:dyDescent="0.3">
      <c r="B39" s="570"/>
      <c r="C39" s="570"/>
      <c r="D39" s="570"/>
      <c r="E39" s="570"/>
      <c r="F39" s="570"/>
      <c r="G39" s="570"/>
      <c r="H39" s="570"/>
      <c r="I39" s="570"/>
      <c r="J39" s="570"/>
      <c r="K39" s="570"/>
      <c r="L39" s="570"/>
      <c r="O39" s="209" t="s">
        <v>123</v>
      </c>
    </row>
    <row r="40" spans="2:25" x14ac:dyDescent="0.3">
      <c r="B40" s="570"/>
      <c r="C40" s="570"/>
      <c r="D40" s="570"/>
      <c r="E40" s="570"/>
      <c r="F40" s="570"/>
      <c r="G40" s="570"/>
      <c r="H40" s="570"/>
      <c r="I40" s="570"/>
      <c r="J40" s="570"/>
      <c r="K40" s="570"/>
      <c r="L40" s="570"/>
    </row>
    <row r="41" spans="2:25" x14ac:dyDescent="0.3">
      <c r="B41" s="570"/>
      <c r="C41" s="570"/>
      <c r="D41" s="570"/>
      <c r="E41" s="570"/>
      <c r="F41" s="570"/>
      <c r="G41" s="570"/>
      <c r="H41" s="570"/>
      <c r="I41" s="570"/>
      <c r="J41" s="570"/>
      <c r="K41" s="570"/>
      <c r="L41" s="570"/>
      <c r="O41" s="574" t="s">
        <v>126</v>
      </c>
      <c r="P41" s="574"/>
      <c r="Q41" s="574"/>
      <c r="R41" s="574"/>
      <c r="S41" s="574"/>
      <c r="T41" s="574"/>
      <c r="U41" s="574"/>
      <c r="V41" s="574"/>
      <c r="W41" s="574"/>
      <c r="X41" s="574"/>
      <c r="Y41" s="574"/>
    </row>
    <row r="42" spans="2:25" x14ac:dyDescent="0.3">
      <c r="B42" s="570"/>
      <c r="C42" s="570"/>
      <c r="D42" s="570"/>
      <c r="E42" s="570"/>
      <c r="F42" s="570"/>
      <c r="G42" s="570"/>
      <c r="H42" s="570"/>
      <c r="I42" s="570"/>
      <c r="J42" s="570"/>
      <c r="K42" s="570"/>
      <c r="L42" s="570"/>
      <c r="O42" s="574"/>
      <c r="P42" s="574"/>
      <c r="Q42" s="574"/>
      <c r="R42" s="574"/>
      <c r="S42" s="574"/>
      <c r="T42" s="574"/>
      <c r="U42" s="574"/>
      <c r="V42" s="574"/>
      <c r="W42" s="574"/>
      <c r="X42" s="574"/>
      <c r="Y42" s="574"/>
    </row>
    <row r="43" spans="2:25" x14ac:dyDescent="0.3">
      <c r="O43" s="574"/>
      <c r="P43" s="574"/>
      <c r="Q43" s="574"/>
      <c r="R43" s="574"/>
      <c r="S43" s="574"/>
      <c r="T43" s="574"/>
      <c r="U43" s="574"/>
      <c r="V43" s="574"/>
      <c r="W43" s="574"/>
      <c r="X43" s="574"/>
      <c r="Y43" s="574"/>
    </row>
    <row r="44" spans="2:25" x14ac:dyDescent="0.3">
      <c r="O44" s="574"/>
      <c r="P44" s="574"/>
      <c r="Q44" s="574"/>
      <c r="R44" s="574"/>
      <c r="S44" s="574"/>
      <c r="T44" s="574"/>
      <c r="U44" s="574"/>
      <c r="V44" s="574"/>
      <c r="W44" s="574"/>
      <c r="X44" s="574"/>
      <c r="Y44" s="574"/>
    </row>
    <row r="46" spans="2:25" ht="16.2" thickBot="1" x14ac:dyDescent="0.35"/>
    <row r="47" spans="2:25" x14ac:dyDescent="0.3">
      <c r="O47" s="575" t="s">
        <v>127</v>
      </c>
      <c r="P47" s="576"/>
      <c r="Q47" s="576"/>
      <c r="R47" s="576"/>
      <c r="S47" s="576"/>
      <c r="T47" s="576"/>
      <c r="U47" s="576"/>
      <c r="V47" s="576"/>
      <c r="W47" s="576"/>
      <c r="X47" s="576"/>
      <c r="Y47" s="577"/>
    </row>
    <row r="48" spans="2:25" x14ac:dyDescent="0.3">
      <c r="O48" s="578" t="s">
        <v>128</v>
      </c>
      <c r="P48" s="579"/>
      <c r="Q48" s="579"/>
      <c r="R48" s="579"/>
      <c r="S48" s="579"/>
      <c r="T48" s="579"/>
      <c r="U48" s="579"/>
      <c r="V48" s="579"/>
      <c r="W48" s="579"/>
      <c r="X48" s="579"/>
      <c r="Y48" s="580"/>
    </row>
    <row r="49" spans="15:25" x14ac:dyDescent="0.3">
      <c r="O49" s="578"/>
      <c r="P49" s="579"/>
      <c r="Q49" s="579"/>
      <c r="R49" s="579"/>
      <c r="S49" s="579"/>
      <c r="T49" s="579"/>
      <c r="U49" s="579"/>
      <c r="V49" s="579"/>
      <c r="W49" s="579"/>
      <c r="X49" s="579"/>
      <c r="Y49" s="580"/>
    </row>
    <row r="50" spans="15:25" ht="27.6" customHeight="1" thickBot="1" x14ac:dyDescent="0.35">
      <c r="O50" s="581"/>
      <c r="P50" s="582"/>
      <c r="Q50" s="582"/>
      <c r="R50" s="582"/>
      <c r="S50" s="582"/>
      <c r="T50" s="582"/>
      <c r="U50" s="582"/>
      <c r="V50" s="582"/>
      <c r="W50" s="582"/>
      <c r="X50" s="582"/>
      <c r="Y50" s="583"/>
    </row>
    <row r="53" spans="15:25" x14ac:dyDescent="0.3">
      <c r="O53" s="209" t="s">
        <v>112</v>
      </c>
    </row>
    <row r="55" spans="15:25" x14ac:dyDescent="0.3">
      <c r="O55" s="569" t="s">
        <v>113</v>
      </c>
      <c r="P55" s="569"/>
      <c r="Q55" s="569"/>
      <c r="R55" s="569"/>
      <c r="S55" s="569"/>
      <c r="T55" s="569"/>
      <c r="U55" s="569"/>
      <c r="V55" s="569"/>
    </row>
    <row r="56" spans="15:25" x14ac:dyDescent="0.3">
      <c r="O56" s="570" t="s">
        <v>114</v>
      </c>
      <c r="P56" s="570"/>
      <c r="Q56" s="570"/>
      <c r="R56" s="570"/>
      <c r="S56" s="570"/>
      <c r="T56" s="570"/>
      <c r="U56" s="570"/>
      <c r="V56" s="570"/>
    </row>
    <row r="57" spans="15:25" x14ac:dyDescent="0.3">
      <c r="O57" s="570"/>
      <c r="P57" s="570"/>
      <c r="Q57" s="570"/>
      <c r="R57" s="570"/>
      <c r="S57" s="570"/>
      <c r="T57" s="570"/>
      <c r="U57" s="570"/>
      <c r="V57" s="570"/>
    </row>
    <row r="58" spans="15:25" x14ac:dyDescent="0.3">
      <c r="O58" s="546" t="s">
        <v>115</v>
      </c>
      <c r="P58" s="546"/>
      <c r="Q58" s="546"/>
      <c r="R58" s="547">
        <v>3000000</v>
      </c>
      <c r="S58" s="547"/>
    </row>
    <row r="59" spans="15:25" x14ac:dyDescent="0.3">
      <c r="O59" s="548" t="s">
        <v>116</v>
      </c>
      <c r="P59" s="548"/>
      <c r="Q59" s="548"/>
      <c r="R59" s="549"/>
      <c r="S59" s="549"/>
    </row>
    <row r="60" spans="15:25" x14ac:dyDescent="0.3">
      <c r="O60" s="546" t="s">
        <v>117</v>
      </c>
      <c r="P60" s="546"/>
      <c r="Q60" s="546"/>
      <c r="R60" s="571">
        <v>2200000</v>
      </c>
      <c r="S60" s="571"/>
    </row>
    <row r="61" spans="15:25" x14ac:dyDescent="0.3">
      <c r="O61" s="546" t="s">
        <v>104</v>
      </c>
      <c r="P61" s="546"/>
      <c r="Q61" s="546"/>
      <c r="R61" s="547">
        <f>+R58-R60</f>
        <v>800000</v>
      </c>
      <c r="S61" s="547"/>
    </row>
    <row r="64" spans="15:25" x14ac:dyDescent="0.3">
      <c r="O64" s="572" t="s">
        <v>118</v>
      </c>
      <c r="P64" s="572"/>
      <c r="Q64" s="572"/>
      <c r="R64" s="572"/>
      <c r="S64" s="572"/>
      <c r="T64" s="572"/>
      <c r="U64" s="572"/>
      <c r="V64" s="572"/>
    </row>
    <row r="65" spans="15:22" x14ac:dyDescent="0.3">
      <c r="O65" s="570" t="s">
        <v>114</v>
      </c>
      <c r="P65" s="570"/>
      <c r="Q65" s="570"/>
      <c r="R65" s="570"/>
      <c r="S65" s="570"/>
      <c r="T65" s="570"/>
      <c r="U65" s="570"/>
      <c r="V65" s="570"/>
    </row>
    <row r="66" spans="15:22" x14ac:dyDescent="0.3">
      <c r="O66" s="570"/>
      <c r="P66" s="570"/>
      <c r="Q66" s="570"/>
      <c r="R66" s="570"/>
      <c r="S66" s="570"/>
      <c r="T66" s="570"/>
      <c r="U66" s="570"/>
      <c r="V66" s="570"/>
    </row>
    <row r="67" spans="15:22" x14ac:dyDescent="0.3">
      <c r="O67" s="546" t="s">
        <v>119</v>
      </c>
      <c r="P67" s="546"/>
      <c r="Q67" s="546"/>
      <c r="R67" s="573">
        <f>+Q74</f>
        <v>1500000</v>
      </c>
      <c r="S67" s="573"/>
    </row>
    <row r="68" spans="15:22" x14ac:dyDescent="0.3">
      <c r="O68" s="548" t="s">
        <v>116</v>
      </c>
      <c r="P68" s="548"/>
      <c r="Q68" s="548"/>
      <c r="R68" s="549"/>
      <c r="S68" s="549"/>
    </row>
    <row r="69" spans="15:22" x14ac:dyDescent="0.3">
      <c r="O69" s="546" t="s">
        <v>120</v>
      </c>
      <c r="P69" s="546"/>
      <c r="Q69" s="546"/>
      <c r="R69" s="571">
        <f>+Q79</f>
        <v>550000</v>
      </c>
      <c r="S69" s="571"/>
    </row>
    <row r="70" spans="15:22" x14ac:dyDescent="0.3">
      <c r="O70" s="546" t="s">
        <v>121</v>
      </c>
      <c r="P70" s="546"/>
      <c r="Q70" s="546"/>
      <c r="R70" s="547">
        <f>+R67-R69</f>
        <v>950000</v>
      </c>
      <c r="S70" s="547"/>
    </row>
    <row r="71" spans="15:22" x14ac:dyDescent="0.3">
      <c r="O71" s="546"/>
      <c r="P71" s="546"/>
      <c r="Q71" s="546"/>
    </row>
    <row r="73" spans="15:22" x14ac:dyDescent="0.3">
      <c r="O73" s="584" t="s">
        <v>103</v>
      </c>
      <c r="P73" s="584"/>
      <c r="Q73" s="547">
        <v>3000000</v>
      </c>
      <c r="R73" s="547"/>
    </row>
    <row r="74" spans="15:22" x14ac:dyDescent="0.3">
      <c r="O74" s="252" t="s">
        <v>129</v>
      </c>
      <c r="P74" s="252"/>
      <c r="Q74" s="573">
        <f>+Q73*50%</f>
        <v>1500000</v>
      </c>
      <c r="R74" s="573"/>
    </row>
    <row r="75" spans="15:22" x14ac:dyDescent="0.3">
      <c r="O75" s="249" t="s">
        <v>130</v>
      </c>
      <c r="Q75" s="547">
        <f>+Q73*50%</f>
        <v>1500000</v>
      </c>
      <c r="R75" s="547"/>
    </row>
    <row r="78" spans="15:22" x14ac:dyDescent="0.3">
      <c r="O78" s="584" t="s">
        <v>131</v>
      </c>
      <c r="P78" s="584"/>
      <c r="Q78" s="547">
        <v>2200000</v>
      </c>
      <c r="R78" s="547"/>
    </row>
    <row r="79" spans="15:22" x14ac:dyDescent="0.3">
      <c r="O79" s="253" t="s">
        <v>132</v>
      </c>
      <c r="P79" s="253"/>
      <c r="Q79" s="585">
        <f>+Q78*0.25</f>
        <v>550000</v>
      </c>
      <c r="R79" s="585"/>
    </row>
    <row r="80" spans="15:22" x14ac:dyDescent="0.3">
      <c r="O80" s="249" t="s">
        <v>133</v>
      </c>
      <c r="Q80" s="547">
        <f>+Q78*0.75</f>
        <v>1650000</v>
      </c>
      <c r="R80" s="547"/>
    </row>
    <row r="83" spans="15:25" x14ac:dyDescent="0.3">
      <c r="O83" s="209" t="s">
        <v>123</v>
      </c>
    </row>
    <row r="84" spans="15:25" x14ac:dyDescent="0.3">
      <c r="O84" s="570" t="s">
        <v>134</v>
      </c>
      <c r="P84" s="570"/>
      <c r="Q84" s="570"/>
      <c r="R84" s="570"/>
      <c r="S84" s="570"/>
      <c r="T84" s="570"/>
      <c r="U84" s="570"/>
      <c r="V84" s="570"/>
      <c r="W84" s="570"/>
      <c r="X84" s="570"/>
      <c r="Y84" s="570"/>
    </row>
    <row r="85" spans="15:25" x14ac:dyDescent="0.3">
      <c r="O85" s="570"/>
      <c r="P85" s="570"/>
      <c r="Q85" s="570"/>
      <c r="R85" s="570"/>
      <c r="S85" s="570"/>
      <c r="T85" s="570"/>
      <c r="U85" s="570"/>
      <c r="V85" s="570"/>
      <c r="W85" s="570"/>
      <c r="X85" s="570"/>
      <c r="Y85" s="570"/>
    </row>
    <row r="86" spans="15:25" x14ac:dyDescent="0.3">
      <c r="O86" s="570"/>
      <c r="P86" s="570"/>
      <c r="Q86" s="570"/>
      <c r="R86" s="570"/>
      <c r="S86" s="570"/>
      <c r="T86" s="570"/>
      <c r="U86" s="570"/>
      <c r="V86" s="570"/>
      <c r="W86" s="570"/>
      <c r="X86" s="570"/>
      <c r="Y86" s="570"/>
    </row>
    <row r="87" spans="15:25" x14ac:dyDescent="0.3">
      <c r="O87" s="570"/>
      <c r="P87" s="570"/>
      <c r="Q87" s="570"/>
      <c r="R87" s="570"/>
      <c r="S87" s="570"/>
      <c r="T87" s="570"/>
      <c r="U87" s="570"/>
      <c r="V87" s="570"/>
      <c r="W87" s="570"/>
      <c r="X87" s="570"/>
      <c r="Y87" s="570"/>
    </row>
  </sheetData>
  <mergeCells count="85">
    <mergeCell ref="O84:Y87"/>
    <mergeCell ref="Q74:R74"/>
    <mergeCell ref="Q75:R75"/>
    <mergeCell ref="O78:P78"/>
    <mergeCell ref="Q78:R78"/>
    <mergeCell ref="Q79:R79"/>
    <mergeCell ref="Q80:R80"/>
    <mergeCell ref="O73:P73"/>
    <mergeCell ref="Q73:R73"/>
    <mergeCell ref="O64:V64"/>
    <mergeCell ref="O65:V66"/>
    <mergeCell ref="O67:Q67"/>
    <mergeCell ref="R67:S67"/>
    <mergeCell ref="O68:Q68"/>
    <mergeCell ref="R68:S68"/>
    <mergeCell ref="O69:Q69"/>
    <mergeCell ref="R69:S69"/>
    <mergeCell ref="O70:Q70"/>
    <mergeCell ref="R70:S70"/>
    <mergeCell ref="O71:Q71"/>
    <mergeCell ref="O59:Q59"/>
    <mergeCell ref="R59:S59"/>
    <mergeCell ref="O60:Q60"/>
    <mergeCell ref="R60:S60"/>
    <mergeCell ref="O61:Q61"/>
    <mergeCell ref="R61:S61"/>
    <mergeCell ref="O47:Y47"/>
    <mergeCell ref="O48:Y50"/>
    <mergeCell ref="O55:V55"/>
    <mergeCell ref="O56:V57"/>
    <mergeCell ref="O58:Q58"/>
    <mergeCell ref="R58:S58"/>
    <mergeCell ref="B38:L42"/>
    <mergeCell ref="O41:Y44"/>
    <mergeCell ref="B31:D31"/>
    <mergeCell ref="E31:F31"/>
    <mergeCell ref="O31:Q31"/>
    <mergeCell ref="R31:S31"/>
    <mergeCell ref="B32:D32"/>
    <mergeCell ref="E32:F32"/>
    <mergeCell ref="O32:Q32"/>
    <mergeCell ref="B33:D33"/>
    <mergeCell ref="O34:P34"/>
    <mergeCell ref="Q34:R34"/>
    <mergeCell ref="Q35:R35"/>
    <mergeCell ref="Q36:R36"/>
    <mergeCell ref="B29:D29"/>
    <mergeCell ref="E29:F29"/>
    <mergeCell ref="O29:Q29"/>
    <mergeCell ref="R29:S29"/>
    <mergeCell ref="B30:D30"/>
    <mergeCell ref="E30:F30"/>
    <mergeCell ref="O30:Q30"/>
    <mergeCell ref="R30:S30"/>
    <mergeCell ref="B23:D23"/>
    <mergeCell ref="E23:F23"/>
    <mergeCell ref="O25:V25"/>
    <mergeCell ref="B26:I26"/>
    <mergeCell ref="O26:V27"/>
    <mergeCell ref="B27:I28"/>
    <mergeCell ref="O28:Q28"/>
    <mergeCell ref="R28:S28"/>
    <mergeCell ref="B21:D21"/>
    <mergeCell ref="E21:F21"/>
    <mergeCell ref="O21:Q21"/>
    <mergeCell ref="R21:S21"/>
    <mergeCell ref="B22:D22"/>
    <mergeCell ref="E22:F22"/>
    <mergeCell ref="O22:Q22"/>
    <mergeCell ref="R22:S22"/>
    <mergeCell ref="B20:D20"/>
    <mergeCell ref="E20:F20"/>
    <mergeCell ref="O20:Q20"/>
    <mergeCell ref="R20:S20"/>
    <mergeCell ref="B3:Z3"/>
    <mergeCell ref="B8:M8"/>
    <mergeCell ref="O8:Z8"/>
    <mergeCell ref="B9:M11"/>
    <mergeCell ref="O9:Z11"/>
    <mergeCell ref="O16:V16"/>
    <mergeCell ref="B17:I17"/>
    <mergeCell ref="O17:V18"/>
    <mergeCell ref="B18:I19"/>
    <mergeCell ref="O19:Q19"/>
    <mergeCell ref="R19:S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16A59-0A59-44F9-945E-82F491913290}">
  <dimension ref="B3:W87"/>
  <sheetViews>
    <sheetView topLeftCell="A42" workbookViewId="0">
      <selection activeCell="G29" sqref="G29"/>
    </sheetView>
  </sheetViews>
  <sheetFormatPr baseColWidth="10" defaultColWidth="9.109375" defaultRowHeight="15" x14ac:dyDescent="0.25"/>
  <cols>
    <col min="1" max="2" width="9.109375" style="254"/>
    <col min="3" max="3" width="24.109375" style="254" bestFit="1" customWidth="1"/>
    <col min="4" max="4" width="25" style="254" customWidth="1"/>
    <col min="5" max="5" width="23.109375" style="254" customWidth="1"/>
    <col min="6" max="7" width="9.109375" style="254"/>
    <col min="8" max="8" width="24.109375" style="254" bestFit="1" customWidth="1"/>
    <col min="9" max="9" width="25" style="254" customWidth="1"/>
    <col min="10" max="10" width="23.109375" style="254" customWidth="1"/>
    <col min="11" max="13" width="9.109375" style="254"/>
    <col min="14" max="14" width="24.88671875" style="254" bestFit="1" customWidth="1"/>
    <col min="15" max="15" width="24.6640625" style="254" bestFit="1" customWidth="1"/>
    <col min="16" max="16" width="22.88671875" style="254" bestFit="1" customWidth="1"/>
    <col min="17" max="19" width="9.109375" style="254"/>
    <col min="20" max="20" width="24.109375" style="254" bestFit="1" customWidth="1"/>
    <col min="21" max="21" width="25" style="254" customWidth="1"/>
    <col min="22" max="22" width="23.109375" style="254" customWidth="1"/>
    <col min="23" max="16384" width="9.109375" style="254"/>
  </cols>
  <sheetData>
    <row r="3" spans="2:23" ht="23.25" customHeight="1" thickBot="1" x14ac:dyDescent="0.3">
      <c r="B3" s="586" t="s">
        <v>136</v>
      </c>
      <c r="C3" s="586"/>
      <c r="D3" s="586"/>
      <c r="E3" s="586"/>
      <c r="F3" s="586"/>
      <c r="G3" s="586"/>
      <c r="H3" s="586"/>
      <c r="I3" s="586"/>
      <c r="J3" s="586"/>
      <c r="K3" s="586"/>
      <c r="L3" s="586"/>
      <c r="M3" s="586"/>
    </row>
    <row r="4" spans="2:23" ht="23.4" thickTop="1" x14ac:dyDescent="0.4">
      <c r="D4" s="255"/>
      <c r="E4" s="255"/>
      <c r="F4" s="255"/>
      <c r="G4" s="255"/>
      <c r="H4" s="255"/>
      <c r="I4" s="255"/>
      <c r="J4" s="255"/>
    </row>
    <row r="5" spans="2:23" ht="23.25" customHeight="1" x14ac:dyDescent="0.25">
      <c r="B5" s="587" t="s">
        <v>137</v>
      </c>
      <c r="C5" s="587"/>
      <c r="D5" s="587"/>
      <c r="E5" s="587"/>
      <c r="F5" s="587"/>
      <c r="G5" s="587"/>
      <c r="H5" s="587"/>
      <c r="I5" s="587"/>
      <c r="J5" s="587"/>
      <c r="K5" s="587"/>
      <c r="L5" s="587"/>
      <c r="M5" s="587"/>
    </row>
    <row r="6" spans="2:23" ht="23.25" customHeight="1" x14ac:dyDescent="0.25">
      <c r="B6" s="256"/>
      <c r="C6" s="256"/>
      <c r="D6" s="256"/>
      <c r="E6" s="256"/>
      <c r="F6" s="256"/>
      <c r="G6" s="256"/>
      <c r="H6" s="256"/>
      <c r="I6" s="256"/>
      <c r="J6" s="256"/>
      <c r="K6" s="256"/>
      <c r="L6" s="256"/>
      <c r="M6" s="256"/>
    </row>
    <row r="7" spans="2:23" ht="15.75" customHeight="1" x14ac:dyDescent="0.25">
      <c r="B7" s="588" t="s">
        <v>138</v>
      </c>
      <c r="C7" s="588"/>
      <c r="D7" s="588"/>
      <c r="E7" s="588"/>
      <c r="F7" s="588"/>
      <c r="G7" s="588"/>
      <c r="H7" s="588"/>
      <c r="I7" s="588"/>
      <c r="J7" s="588"/>
      <c r="K7" s="588"/>
      <c r="L7" s="588"/>
      <c r="M7" s="588"/>
    </row>
    <row r="8" spans="2:23" ht="15.75" customHeight="1" x14ac:dyDescent="0.25">
      <c r="B8" s="588"/>
      <c r="C8" s="588"/>
      <c r="D8" s="588"/>
      <c r="E8" s="588"/>
      <c r="F8" s="588"/>
      <c r="G8" s="588"/>
      <c r="H8" s="588"/>
      <c r="I8" s="588"/>
      <c r="J8" s="588"/>
      <c r="K8" s="588"/>
      <c r="L8" s="588"/>
      <c r="M8" s="588"/>
    </row>
    <row r="9" spans="2:23" ht="15.75" customHeight="1" x14ac:dyDescent="0.25">
      <c r="B9" s="588"/>
      <c r="C9" s="588"/>
      <c r="D9" s="588"/>
      <c r="E9" s="588"/>
      <c r="F9" s="588"/>
      <c r="G9" s="588"/>
      <c r="H9" s="588"/>
      <c r="I9" s="588"/>
      <c r="J9" s="588"/>
      <c r="K9" s="588"/>
      <c r="L9" s="588"/>
      <c r="M9" s="588"/>
    </row>
    <row r="11" spans="2:23" ht="15.75" customHeight="1" x14ac:dyDescent="0.3">
      <c r="B11" s="589" t="s">
        <v>139</v>
      </c>
      <c r="C11" s="589"/>
      <c r="D11" s="589"/>
      <c r="E11" s="589"/>
      <c r="H11" s="590" t="s">
        <v>140</v>
      </c>
      <c r="I11" s="590"/>
      <c r="J11" s="590"/>
      <c r="K11" s="590"/>
      <c r="N11" s="595" t="s">
        <v>141</v>
      </c>
      <c r="O11" s="595"/>
      <c r="P11" s="595"/>
      <c r="Q11" s="595"/>
      <c r="T11" s="590" t="s">
        <v>142</v>
      </c>
      <c r="U11" s="590"/>
      <c r="V11" s="590"/>
      <c r="W11" s="590"/>
    </row>
    <row r="12" spans="2:23" ht="15.75" customHeight="1" x14ac:dyDescent="0.25">
      <c r="B12" s="592" t="s">
        <v>143</v>
      </c>
      <c r="C12" s="592"/>
      <c r="D12" s="592"/>
      <c r="E12" s="592"/>
      <c r="F12" s="257"/>
      <c r="G12" s="257"/>
      <c r="H12" s="593" t="s">
        <v>144</v>
      </c>
      <c r="I12" s="593"/>
      <c r="J12" s="593"/>
      <c r="K12" s="593"/>
      <c r="L12" s="257"/>
      <c r="M12" s="257"/>
      <c r="N12" s="593" t="s">
        <v>145</v>
      </c>
      <c r="O12" s="593"/>
      <c r="P12" s="593"/>
      <c r="Q12" s="593"/>
      <c r="T12" s="593" t="s">
        <v>146</v>
      </c>
      <c r="U12" s="593"/>
      <c r="V12" s="593"/>
      <c r="W12" s="593"/>
    </row>
    <row r="13" spans="2:23" x14ac:dyDescent="0.25">
      <c r="B13" s="592"/>
      <c r="C13" s="592"/>
      <c r="D13" s="592"/>
      <c r="E13" s="592"/>
      <c r="F13" s="257"/>
      <c r="G13" s="257"/>
      <c r="H13" s="593"/>
      <c r="I13" s="593"/>
      <c r="J13" s="593"/>
      <c r="K13" s="593"/>
      <c r="L13" s="257"/>
      <c r="M13" s="257"/>
      <c r="N13" s="593"/>
      <c r="O13" s="593"/>
      <c r="P13" s="593"/>
      <c r="Q13" s="593"/>
      <c r="T13" s="593"/>
      <c r="U13" s="593"/>
      <c r="V13" s="593"/>
      <c r="W13" s="593"/>
    </row>
    <row r="14" spans="2:23" x14ac:dyDescent="0.25">
      <c r="B14" s="592"/>
      <c r="C14" s="592"/>
      <c r="D14" s="592"/>
      <c r="E14" s="592"/>
      <c r="F14" s="257"/>
      <c r="G14" s="257"/>
      <c r="H14" s="593"/>
      <c r="I14" s="593"/>
      <c r="J14" s="593"/>
      <c r="K14" s="593"/>
      <c r="L14" s="257"/>
      <c r="M14" s="257"/>
      <c r="N14" s="593"/>
      <c r="O14" s="593"/>
      <c r="P14" s="593"/>
      <c r="Q14" s="593"/>
      <c r="T14" s="593"/>
      <c r="U14" s="593"/>
      <c r="V14" s="593"/>
      <c r="W14" s="593"/>
    </row>
    <row r="15" spans="2:23" x14ac:dyDescent="0.25">
      <c r="B15" s="592"/>
      <c r="C15" s="592"/>
      <c r="D15" s="592"/>
      <c r="E15" s="592"/>
      <c r="F15" s="257"/>
      <c r="G15" s="257"/>
      <c r="H15" s="593"/>
      <c r="I15" s="593"/>
      <c r="J15" s="593"/>
      <c r="K15" s="593"/>
      <c r="L15" s="257"/>
      <c r="M15" s="257"/>
      <c r="N15" s="593"/>
      <c r="O15" s="593"/>
      <c r="P15" s="593"/>
      <c r="Q15" s="593"/>
      <c r="T15" s="593"/>
      <c r="U15" s="593"/>
      <c r="V15" s="593"/>
      <c r="W15" s="593"/>
    </row>
    <row r="16" spans="2:23" x14ac:dyDescent="0.25">
      <c r="B16" s="592"/>
      <c r="C16" s="592"/>
      <c r="D16" s="592"/>
      <c r="E16" s="592"/>
      <c r="F16" s="257"/>
      <c r="G16" s="257"/>
      <c r="H16" s="257"/>
      <c r="I16" s="257"/>
      <c r="J16" s="257"/>
      <c r="K16" s="257"/>
      <c r="L16" s="257"/>
      <c r="M16" s="257"/>
      <c r="N16" s="257"/>
      <c r="O16" s="257"/>
      <c r="P16" s="257"/>
      <c r="Q16" s="257"/>
      <c r="T16" s="257"/>
      <c r="U16" s="257"/>
      <c r="V16" s="257"/>
      <c r="W16" s="257"/>
    </row>
    <row r="17" spans="2:23" x14ac:dyDescent="0.25">
      <c r="B17" s="592"/>
      <c r="C17" s="592"/>
      <c r="D17" s="592"/>
      <c r="E17" s="592"/>
      <c r="F17" s="257"/>
      <c r="G17" s="257"/>
      <c r="H17" s="257"/>
      <c r="I17" s="257"/>
      <c r="J17" s="257"/>
      <c r="K17" s="257"/>
      <c r="L17" s="257"/>
      <c r="M17" s="257"/>
      <c r="N17" s="257"/>
      <c r="O17" s="257"/>
      <c r="P17" s="257"/>
      <c r="Q17" s="257"/>
      <c r="T17" s="257"/>
      <c r="U17" s="257"/>
      <c r="V17" s="257"/>
      <c r="W17" s="257"/>
    </row>
    <row r="18" spans="2:23" x14ac:dyDescent="0.25">
      <c r="B18" s="592"/>
      <c r="C18" s="592"/>
      <c r="D18" s="592"/>
      <c r="E18" s="592"/>
      <c r="F18" s="257"/>
      <c r="G18" s="257"/>
      <c r="H18" s="257"/>
      <c r="I18" s="257"/>
      <c r="J18" s="257"/>
      <c r="K18" s="257"/>
      <c r="L18" s="257"/>
      <c r="M18" s="257"/>
      <c r="N18" s="257"/>
      <c r="O18" s="257"/>
      <c r="P18" s="257"/>
      <c r="Q18" s="257"/>
      <c r="T18" s="257"/>
      <c r="U18" s="257"/>
      <c r="V18" s="257"/>
      <c r="W18" s="257"/>
    </row>
    <row r="19" spans="2:23" x14ac:dyDescent="0.25">
      <c r="B19" s="592"/>
      <c r="C19" s="592"/>
      <c r="D19" s="592"/>
      <c r="E19" s="592"/>
      <c r="F19" s="257"/>
      <c r="G19" s="257"/>
      <c r="H19" s="257"/>
      <c r="I19" s="257"/>
      <c r="J19" s="257"/>
      <c r="K19" s="257"/>
      <c r="L19" s="257"/>
      <c r="M19" s="257"/>
      <c r="N19" s="257"/>
      <c r="O19" s="257"/>
      <c r="P19" s="257"/>
      <c r="Q19" s="257"/>
      <c r="T19" s="257"/>
      <c r="U19" s="257"/>
      <c r="V19" s="257"/>
      <c r="W19" s="257"/>
    </row>
    <row r="20" spans="2:23" x14ac:dyDescent="0.25">
      <c r="B20" s="258"/>
      <c r="C20" s="258"/>
      <c r="D20" s="258"/>
      <c r="E20" s="258"/>
      <c r="F20" s="257"/>
      <c r="G20" s="257"/>
      <c r="H20" s="257"/>
      <c r="I20" s="257"/>
      <c r="J20" s="257"/>
      <c r="K20" s="257"/>
      <c r="L20" s="257"/>
      <c r="M20" s="257"/>
      <c r="N20" s="257"/>
      <c r="O20" s="257"/>
      <c r="P20" s="257"/>
      <c r="Q20" s="257"/>
      <c r="T20" s="257"/>
      <c r="U20" s="257"/>
      <c r="V20" s="257"/>
      <c r="W20" s="257"/>
    </row>
    <row r="21" spans="2:23" ht="15.75" customHeight="1" x14ac:dyDescent="0.3">
      <c r="C21" s="594" t="s">
        <v>147</v>
      </c>
      <c r="D21" s="594"/>
      <c r="E21" s="594"/>
      <c r="H21" s="594" t="s">
        <v>148</v>
      </c>
      <c r="I21" s="594"/>
      <c r="J21" s="594"/>
      <c r="N21" s="594" t="s">
        <v>149</v>
      </c>
      <c r="O21" s="594"/>
      <c r="P21" s="594"/>
      <c r="T21" s="594" t="s">
        <v>150</v>
      </c>
      <c r="U21" s="594"/>
      <c r="V21" s="594"/>
    </row>
    <row r="22" spans="2:23" ht="15.6" x14ac:dyDescent="0.25">
      <c r="C22" s="259" t="s">
        <v>151</v>
      </c>
      <c r="D22" s="259" t="s">
        <v>152</v>
      </c>
      <c r="E22" s="259" t="s">
        <v>153</v>
      </c>
      <c r="H22" s="259" t="s">
        <v>151</v>
      </c>
      <c r="I22" s="259" t="s">
        <v>152</v>
      </c>
      <c r="J22" s="259" t="s">
        <v>153</v>
      </c>
      <c r="N22" s="259" t="s">
        <v>151</v>
      </c>
      <c r="O22" s="259" t="s">
        <v>152</v>
      </c>
      <c r="P22" s="259" t="s">
        <v>153</v>
      </c>
      <c r="T22" s="259" t="s">
        <v>151</v>
      </c>
      <c r="U22" s="259" t="s">
        <v>152</v>
      </c>
      <c r="V22" s="259" t="s">
        <v>153</v>
      </c>
    </row>
    <row r="23" spans="2:23" x14ac:dyDescent="0.25">
      <c r="C23" s="256" t="s">
        <v>154</v>
      </c>
      <c r="D23" s="260"/>
      <c r="E23" s="260">
        <v>1500</v>
      </c>
      <c r="H23" s="256" t="s">
        <v>154</v>
      </c>
      <c r="I23" s="260"/>
      <c r="J23" s="260">
        <v>1000</v>
      </c>
      <c r="N23" s="256" t="s">
        <v>154</v>
      </c>
      <c r="O23" s="260"/>
      <c r="P23" s="260">
        <v>800</v>
      </c>
      <c r="T23" s="256"/>
      <c r="U23" s="260"/>
      <c r="V23" s="260"/>
    </row>
    <row r="24" spans="2:23" ht="14.4" customHeight="1" x14ac:dyDescent="0.25">
      <c r="C24" s="256" t="s">
        <v>155</v>
      </c>
      <c r="D24" s="260">
        <v>300</v>
      </c>
      <c r="E24" s="260"/>
      <c r="H24" s="256" t="s">
        <v>155</v>
      </c>
      <c r="I24" s="260">
        <v>200</v>
      </c>
      <c r="J24" s="260"/>
      <c r="N24" s="256" t="s">
        <v>155</v>
      </c>
      <c r="O24" s="260">
        <v>250</v>
      </c>
      <c r="P24" s="260"/>
      <c r="T24" s="256"/>
      <c r="U24" s="260"/>
      <c r="V24" s="260"/>
    </row>
    <row r="25" spans="2:23" x14ac:dyDescent="0.25">
      <c r="C25" s="256" t="s">
        <v>156</v>
      </c>
      <c r="D25" s="260">
        <v>700</v>
      </c>
      <c r="E25" s="260"/>
      <c r="H25" s="256" t="s">
        <v>156</v>
      </c>
      <c r="I25" s="260">
        <v>700</v>
      </c>
      <c r="J25" s="260"/>
      <c r="N25" s="256" t="s">
        <v>156</v>
      </c>
      <c r="O25" s="260">
        <v>700</v>
      </c>
      <c r="P25" s="260"/>
      <c r="T25" s="256"/>
      <c r="U25" s="260"/>
      <c r="V25" s="260"/>
    </row>
    <row r="26" spans="2:23" x14ac:dyDescent="0.25">
      <c r="C26" s="256" t="s">
        <v>157</v>
      </c>
      <c r="D26" s="260"/>
      <c r="E26" s="260">
        <v>400</v>
      </c>
      <c r="H26" s="256" t="s">
        <v>157</v>
      </c>
      <c r="I26" s="260"/>
      <c r="J26" s="260">
        <v>400</v>
      </c>
      <c r="N26" s="256" t="s">
        <v>157</v>
      </c>
      <c r="O26" s="260"/>
      <c r="P26" s="260">
        <v>300</v>
      </c>
      <c r="T26" s="256"/>
      <c r="U26" s="260"/>
      <c r="V26" s="260"/>
    </row>
    <row r="27" spans="2:23" x14ac:dyDescent="0.25">
      <c r="C27" s="256" t="s">
        <v>158</v>
      </c>
      <c r="D27" s="260"/>
      <c r="E27" s="260">
        <v>1000</v>
      </c>
      <c r="H27" s="256" t="s">
        <v>158</v>
      </c>
      <c r="I27" s="260"/>
      <c r="J27" s="260">
        <v>1000</v>
      </c>
      <c r="N27" s="256" t="s">
        <v>158</v>
      </c>
      <c r="O27" s="260"/>
      <c r="P27" s="260">
        <v>1000</v>
      </c>
      <c r="T27" s="256"/>
      <c r="U27" s="260"/>
      <c r="V27" s="260"/>
    </row>
    <row r="28" spans="2:23" x14ac:dyDescent="0.25">
      <c r="C28" s="256" t="s">
        <v>159</v>
      </c>
      <c r="D28" s="260">
        <v>3500</v>
      </c>
      <c r="E28" s="260"/>
      <c r="H28" s="256" t="s">
        <v>159</v>
      </c>
      <c r="I28" s="260">
        <v>3500</v>
      </c>
      <c r="J28" s="260"/>
      <c r="N28" s="256" t="s">
        <v>159</v>
      </c>
      <c r="O28" s="260">
        <v>3500</v>
      </c>
      <c r="P28" s="260"/>
      <c r="T28" s="256"/>
      <c r="U28" s="260"/>
      <c r="V28" s="260"/>
    </row>
    <row r="29" spans="2:23" x14ac:dyDescent="0.25">
      <c r="C29" s="256" t="s">
        <v>160</v>
      </c>
      <c r="D29" s="260"/>
      <c r="E29" s="260">
        <v>400</v>
      </c>
      <c r="H29" s="256" t="s">
        <v>160</v>
      </c>
      <c r="I29" s="260"/>
      <c r="J29" s="260">
        <v>400</v>
      </c>
      <c r="N29" s="256" t="s">
        <v>160</v>
      </c>
      <c r="O29" s="260"/>
      <c r="P29" s="260">
        <v>400</v>
      </c>
      <c r="T29" s="256"/>
      <c r="U29" s="260"/>
      <c r="V29" s="260"/>
    </row>
    <row r="30" spans="2:23" x14ac:dyDescent="0.25">
      <c r="C30" s="256" t="s">
        <v>161</v>
      </c>
      <c r="D30" s="260"/>
      <c r="E30" s="260">
        <v>300</v>
      </c>
      <c r="H30" s="256" t="s">
        <v>161</v>
      </c>
      <c r="I30" s="260"/>
      <c r="J30" s="260">
        <v>300</v>
      </c>
      <c r="N30" s="256" t="s">
        <v>161</v>
      </c>
      <c r="O30" s="260"/>
      <c r="P30" s="260">
        <v>300</v>
      </c>
      <c r="T30" s="256"/>
      <c r="U30" s="260"/>
      <c r="V30" s="260"/>
    </row>
    <row r="31" spans="2:23" x14ac:dyDescent="0.25">
      <c r="C31" s="256" t="s">
        <v>162</v>
      </c>
      <c r="D31" s="260"/>
      <c r="E31" s="260">
        <v>1000</v>
      </c>
      <c r="H31" s="256" t="s">
        <v>162</v>
      </c>
      <c r="I31" s="260"/>
      <c r="J31" s="260">
        <v>1000</v>
      </c>
      <c r="N31" s="256" t="s">
        <v>162</v>
      </c>
      <c r="O31" s="260"/>
      <c r="P31" s="260">
        <v>1000</v>
      </c>
      <c r="T31" s="256"/>
      <c r="U31" s="260"/>
      <c r="V31" s="260"/>
    </row>
    <row r="32" spans="2:23" x14ac:dyDescent="0.25">
      <c r="C32" s="256" t="s">
        <v>163</v>
      </c>
      <c r="D32" s="260"/>
      <c r="E32" s="260">
        <v>300</v>
      </c>
      <c r="H32" s="256" t="s">
        <v>163</v>
      </c>
      <c r="I32" s="260"/>
      <c r="J32" s="260">
        <v>300</v>
      </c>
      <c r="N32" s="256" t="s">
        <v>163</v>
      </c>
      <c r="O32" s="260"/>
      <c r="P32" s="260">
        <v>300</v>
      </c>
      <c r="T32" s="256"/>
      <c r="U32" s="260"/>
      <c r="V32" s="260"/>
    </row>
    <row r="35" spans="2:23" ht="15.75" customHeight="1" x14ac:dyDescent="0.3">
      <c r="B35" s="596" t="s">
        <v>164</v>
      </c>
      <c r="C35" s="596"/>
      <c r="D35" s="596"/>
      <c r="E35" s="596"/>
      <c r="H35" s="596" t="s">
        <v>164</v>
      </c>
      <c r="I35" s="596"/>
      <c r="J35" s="596"/>
      <c r="K35" s="596"/>
      <c r="N35" s="596" t="s">
        <v>164</v>
      </c>
      <c r="O35" s="596"/>
      <c r="P35" s="596"/>
      <c r="Q35" s="596"/>
      <c r="T35" s="596" t="s">
        <v>165</v>
      </c>
      <c r="U35" s="596"/>
      <c r="V35" s="596"/>
      <c r="W35" s="596"/>
    </row>
    <row r="37" spans="2:23" ht="15.75" customHeight="1" x14ac:dyDescent="0.3">
      <c r="B37" s="256"/>
      <c r="C37" s="261" t="s">
        <v>119</v>
      </c>
      <c r="H37" s="261" t="s">
        <v>119</v>
      </c>
      <c r="J37" s="260"/>
      <c r="N37" s="261" t="s">
        <v>119</v>
      </c>
      <c r="P37" s="260"/>
      <c r="T37" s="256"/>
      <c r="V37" s="260"/>
    </row>
    <row r="38" spans="2:23" ht="15.75" customHeight="1" x14ac:dyDescent="0.25">
      <c r="C38" s="262" t="s">
        <v>155</v>
      </c>
      <c r="D38" s="263">
        <v>300</v>
      </c>
      <c r="H38" s="264" t="s">
        <v>155</v>
      </c>
      <c r="I38" s="265">
        <v>200</v>
      </c>
      <c r="N38" s="266" t="s">
        <v>155</v>
      </c>
      <c r="O38" s="267">
        <v>250</v>
      </c>
    </row>
    <row r="39" spans="2:23" ht="15.75" customHeight="1" x14ac:dyDescent="0.3">
      <c r="C39" s="262" t="s">
        <v>156</v>
      </c>
      <c r="D39" s="263">
        <v>700</v>
      </c>
      <c r="H39" s="268" t="s">
        <v>156</v>
      </c>
      <c r="I39" s="269">
        <v>700</v>
      </c>
      <c r="N39" s="266" t="s">
        <v>156</v>
      </c>
      <c r="O39" s="267">
        <v>700</v>
      </c>
      <c r="T39" s="596" t="s">
        <v>166</v>
      </c>
      <c r="U39" s="596"/>
      <c r="V39" s="596"/>
      <c r="W39" s="596"/>
    </row>
    <row r="40" spans="2:23" ht="15.75" customHeight="1" x14ac:dyDescent="0.3">
      <c r="B40" s="270"/>
      <c r="C40" s="262" t="s">
        <v>159</v>
      </c>
      <c r="D40" s="263">
        <v>3500</v>
      </c>
      <c r="H40" s="264" t="s">
        <v>159</v>
      </c>
      <c r="I40" s="265">
        <v>3500</v>
      </c>
      <c r="N40" s="266" t="s">
        <v>159</v>
      </c>
      <c r="O40" s="267">
        <v>3500</v>
      </c>
      <c r="T40" s="270"/>
    </row>
    <row r="41" spans="2:23" ht="15.75" customHeight="1" x14ac:dyDescent="0.3">
      <c r="C41" s="261" t="s">
        <v>167</v>
      </c>
      <c r="D41" s="271">
        <f>SUM(D38:D40)</f>
        <v>4500</v>
      </c>
      <c r="H41" s="261" t="s">
        <v>167</v>
      </c>
      <c r="I41" s="271">
        <f>SUM(I38:I40)</f>
        <v>4400</v>
      </c>
      <c r="N41" s="261" t="s">
        <v>167</v>
      </c>
      <c r="O41" s="271">
        <f>SUM(O38:O40)</f>
        <v>4450</v>
      </c>
    </row>
    <row r="42" spans="2:23" ht="15.75" customHeight="1" x14ac:dyDescent="0.25">
      <c r="T42" s="591" t="s">
        <v>168</v>
      </c>
      <c r="U42" s="591"/>
      <c r="V42" s="591"/>
      <c r="W42" s="591"/>
    </row>
    <row r="43" spans="2:23" ht="15.75" customHeight="1" x14ac:dyDescent="0.3">
      <c r="C43" s="261" t="s">
        <v>169</v>
      </c>
      <c r="H43" s="261" t="s">
        <v>169</v>
      </c>
      <c r="N43" s="261" t="s">
        <v>169</v>
      </c>
      <c r="T43" s="591"/>
      <c r="U43" s="591"/>
      <c r="V43" s="591"/>
      <c r="W43" s="591"/>
    </row>
    <row r="44" spans="2:23" ht="15.75" customHeight="1" x14ac:dyDescent="0.25">
      <c r="C44" s="262" t="s">
        <v>154</v>
      </c>
      <c r="D44" s="272">
        <v>1500</v>
      </c>
      <c r="H44" s="268" t="s">
        <v>154</v>
      </c>
      <c r="I44" s="269">
        <v>1000</v>
      </c>
      <c r="N44" s="266" t="s">
        <v>154</v>
      </c>
      <c r="O44" s="273">
        <v>800</v>
      </c>
    </row>
    <row r="45" spans="2:23" ht="15.75" customHeight="1" x14ac:dyDescent="0.25">
      <c r="C45" s="262" t="s">
        <v>157</v>
      </c>
      <c r="D45" s="272">
        <v>400</v>
      </c>
      <c r="H45" s="264" t="s">
        <v>157</v>
      </c>
      <c r="I45" s="265">
        <v>400</v>
      </c>
      <c r="N45" s="266" t="s">
        <v>157</v>
      </c>
      <c r="O45" s="273">
        <v>300</v>
      </c>
    </row>
    <row r="46" spans="2:23" ht="15.75" customHeight="1" x14ac:dyDescent="0.25">
      <c r="C46" s="262" t="s">
        <v>158</v>
      </c>
      <c r="D46" s="272">
        <v>1000</v>
      </c>
      <c r="H46" s="268" t="s">
        <v>158</v>
      </c>
      <c r="I46" s="269">
        <v>1000</v>
      </c>
      <c r="N46" s="266" t="s">
        <v>158</v>
      </c>
      <c r="O46" s="273">
        <v>1000</v>
      </c>
    </row>
    <row r="47" spans="2:23" ht="15.75" customHeight="1" x14ac:dyDescent="0.25">
      <c r="C47" s="262" t="s">
        <v>160</v>
      </c>
      <c r="D47" s="272">
        <v>400</v>
      </c>
      <c r="H47" s="268" t="s">
        <v>160</v>
      </c>
      <c r="I47" s="269">
        <v>400</v>
      </c>
      <c r="N47" s="266" t="s">
        <v>160</v>
      </c>
      <c r="O47" s="273">
        <v>400</v>
      </c>
    </row>
    <row r="48" spans="2:23" ht="15.75" customHeight="1" x14ac:dyDescent="0.25">
      <c r="C48" s="262" t="s">
        <v>161</v>
      </c>
      <c r="D48" s="272">
        <v>300</v>
      </c>
      <c r="H48" s="264" t="s">
        <v>161</v>
      </c>
      <c r="I48" s="265">
        <v>300</v>
      </c>
      <c r="N48" s="266" t="s">
        <v>161</v>
      </c>
      <c r="O48" s="273">
        <v>300</v>
      </c>
    </row>
    <row r="49" spans="2:17" ht="15.75" customHeight="1" x14ac:dyDescent="0.25">
      <c r="C49" s="262" t="s">
        <v>162</v>
      </c>
      <c r="D49" s="272">
        <v>1000</v>
      </c>
      <c r="H49" s="268" t="s">
        <v>162</v>
      </c>
      <c r="I49" s="269">
        <v>1000</v>
      </c>
      <c r="N49" s="266" t="s">
        <v>162</v>
      </c>
      <c r="O49" s="273">
        <v>1000</v>
      </c>
    </row>
    <row r="50" spans="2:17" ht="15.75" customHeight="1" x14ac:dyDescent="0.25">
      <c r="C50" s="274" t="s">
        <v>163</v>
      </c>
      <c r="D50" s="275">
        <v>300</v>
      </c>
      <c r="H50" s="264" t="s">
        <v>163</v>
      </c>
      <c r="I50" s="265">
        <v>300</v>
      </c>
      <c r="N50" s="276" t="s">
        <v>163</v>
      </c>
      <c r="O50" s="277">
        <v>300</v>
      </c>
    </row>
    <row r="51" spans="2:17" ht="15.75" customHeight="1" x14ac:dyDescent="0.3">
      <c r="C51" s="261" t="s">
        <v>170</v>
      </c>
      <c r="D51" s="271">
        <f>SUM(D44:D50)</f>
        <v>4900</v>
      </c>
      <c r="H51" s="261" t="s">
        <v>170</v>
      </c>
      <c r="I51" s="271">
        <f>SUM(I44:I50)</f>
        <v>4400</v>
      </c>
      <c r="N51" s="261" t="s">
        <v>170</v>
      </c>
      <c r="O51" s="271">
        <f>SUM(O44:O50)</f>
        <v>4100</v>
      </c>
    </row>
    <row r="55" spans="2:17" ht="15.75" customHeight="1" x14ac:dyDescent="0.3">
      <c r="B55" s="596" t="s">
        <v>171</v>
      </c>
      <c r="C55" s="596"/>
      <c r="D55" s="596"/>
      <c r="E55" s="596"/>
      <c r="H55" s="596" t="s">
        <v>172</v>
      </c>
      <c r="I55" s="596"/>
      <c r="J55" s="596"/>
      <c r="K55" s="596"/>
      <c r="N55" s="596" t="s">
        <v>173</v>
      </c>
      <c r="O55" s="596"/>
      <c r="P55" s="596"/>
      <c r="Q55" s="596"/>
    </row>
    <row r="56" spans="2:17" ht="15.75" customHeight="1" x14ac:dyDescent="0.3">
      <c r="H56" s="270"/>
      <c r="N56" s="270"/>
    </row>
    <row r="57" spans="2:17" ht="15.75" customHeight="1" x14ac:dyDescent="0.3">
      <c r="C57" s="261" t="s">
        <v>119</v>
      </c>
      <c r="H57" s="261" t="s">
        <v>119</v>
      </c>
      <c r="N57" s="261" t="s">
        <v>119</v>
      </c>
    </row>
    <row r="58" spans="2:17" ht="15.75" customHeight="1" x14ac:dyDescent="0.25">
      <c r="C58" s="262" t="s">
        <v>155</v>
      </c>
      <c r="D58" s="263">
        <v>300</v>
      </c>
      <c r="H58" s="264" t="s">
        <v>155</v>
      </c>
      <c r="I58" s="265">
        <v>200</v>
      </c>
      <c r="N58" s="266" t="s">
        <v>155</v>
      </c>
      <c r="O58" s="267">
        <v>250</v>
      </c>
    </row>
    <row r="59" spans="2:17" ht="15.75" customHeight="1" x14ac:dyDescent="0.25">
      <c r="C59" s="262" t="s">
        <v>156</v>
      </c>
      <c r="D59" s="263">
        <v>700</v>
      </c>
      <c r="H59" s="268" t="s">
        <v>156</v>
      </c>
      <c r="I59" s="269">
        <v>700</v>
      </c>
      <c r="N59" s="266" t="s">
        <v>156</v>
      </c>
      <c r="O59" s="267">
        <v>700</v>
      </c>
    </row>
    <row r="60" spans="2:17" ht="15.75" customHeight="1" x14ac:dyDescent="0.25">
      <c r="C60" s="262" t="s">
        <v>159</v>
      </c>
      <c r="D60" s="263">
        <v>3500</v>
      </c>
      <c r="H60" s="264" t="s">
        <v>159</v>
      </c>
      <c r="I60" s="265">
        <v>3500</v>
      </c>
      <c r="N60" s="266" t="s">
        <v>159</v>
      </c>
      <c r="O60" s="267">
        <v>3500</v>
      </c>
    </row>
    <row r="61" spans="2:17" ht="15.75" customHeight="1" x14ac:dyDescent="0.3">
      <c r="C61" s="261" t="s">
        <v>167</v>
      </c>
      <c r="D61" s="271">
        <f>SUM(D58:D60)</f>
        <v>4500</v>
      </c>
      <c r="H61" s="261" t="s">
        <v>167</v>
      </c>
      <c r="I61" s="271">
        <f>SUM(I58:I60)</f>
        <v>4400</v>
      </c>
      <c r="N61" s="261" t="s">
        <v>167</v>
      </c>
      <c r="O61" s="271">
        <f>SUM(O58:O60)</f>
        <v>4450</v>
      </c>
    </row>
    <row r="63" spans="2:17" ht="15.75" customHeight="1" x14ac:dyDescent="0.3">
      <c r="C63" s="261" t="s">
        <v>169</v>
      </c>
      <c r="H63" s="261" t="s">
        <v>169</v>
      </c>
      <c r="N63" s="261" t="s">
        <v>169</v>
      </c>
    </row>
    <row r="64" spans="2:17" ht="15.75" customHeight="1" x14ac:dyDescent="0.25">
      <c r="C64" s="262" t="s">
        <v>154</v>
      </c>
      <c r="D64" s="272">
        <v>1500</v>
      </c>
      <c r="H64" s="268" t="s">
        <v>154</v>
      </c>
      <c r="I64" s="269">
        <v>1000</v>
      </c>
      <c r="N64" s="266" t="s">
        <v>154</v>
      </c>
      <c r="O64" s="273">
        <v>800</v>
      </c>
    </row>
    <row r="65" spans="2:17" ht="15.75" customHeight="1" x14ac:dyDescent="0.25">
      <c r="C65" s="262" t="s">
        <v>157</v>
      </c>
      <c r="D65" s="272">
        <v>400</v>
      </c>
      <c r="H65" s="264" t="s">
        <v>157</v>
      </c>
      <c r="I65" s="265">
        <v>400</v>
      </c>
      <c r="N65" s="266" t="s">
        <v>157</v>
      </c>
      <c r="O65" s="273">
        <v>300</v>
      </c>
    </row>
    <row r="66" spans="2:17" ht="15.75" customHeight="1" x14ac:dyDescent="0.25">
      <c r="C66" s="262" t="s">
        <v>158</v>
      </c>
      <c r="D66" s="272">
        <v>1000</v>
      </c>
      <c r="H66" s="268" t="s">
        <v>158</v>
      </c>
      <c r="I66" s="269">
        <v>1000</v>
      </c>
      <c r="N66" s="266" t="s">
        <v>158</v>
      </c>
      <c r="O66" s="273">
        <v>1000</v>
      </c>
    </row>
    <row r="67" spans="2:17" ht="15.75" customHeight="1" x14ac:dyDescent="0.25">
      <c r="C67" s="262" t="s">
        <v>160</v>
      </c>
      <c r="D67" s="272">
        <v>400</v>
      </c>
      <c r="H67" s="268" t="s">
        <v>160</v>
      </c>
      <c r="I67" s="269">
        <v>400</v>
      </c>
      <c r="N67" s="266" t="s">
        <v>160</v>
      </c>
      <c r="O67" s="273">
        <v>400</v>
      </c>
    </row>
    <row r="68" spans="2:17" ht="15.75" customHeight="1" x14ac:dyDescent="0.25">
      <c r="C68" s="262" t="s">
        <v>161</v>
      </c>
      <c r="D68" s="272">
        <v>300</v>
      </c>
      <c r="H68" s="264" t="s">
        <v>161</v>
      </c>
      <c r="I68" s="265">
        <v>300</v>
      </c>
      <c r="N68" s="266" t="s">
        <v>161</v>
      </c>
      <c r="O68" s="273">
        <v>300</v>
      </c>
    </row>
    <row r="69" spans="2:17" ht="15.75" customHeight="1" x14ac:dyDescent="0.25">
      <c r="C69" s="262" t="s">
        <v>162</v>
      </c>
      <c r="D69" s="272">
        <v>1000</v>
      </c>
      <c r="H69" s="268" t="s">
        <v>162</v>
      </c>
      <c r="I69" s="269">
        <v>1000</v>
      </c>
      <c r="N69" s="266" t="s">
        <v>162</v>
      </c>
      <c r="O69" s="273">
        <v>1000</v>
      </c>
    </row>
    <row r="70" spans="2:17" ht="15.75" customHeight="1" x14ac:dyDescent="0.25">
      <c r="C70" s="274" t="s">
        <v>163</v>
      </c>
      <c r="D70" s="275">
        <v>300</v>
      </c>
      <c r="H70" s="264" t="s">
        <v>163</v>
      </c>
      <c r="I70" s="265">
        <v>300</v>
      </c>
      <c r="N70" s="276" t="s">
        <v>163</v>
      </c>
      <c r="O70" s="277">
        <v>300</v>
      </c>
    </row>
    <row r="71" spans="2:17" ht="15.75" customHeight="1" x14ac:dyDescent="0.3">
      <c r="D71" s="271">
        <f>SUM(D64:D70)</f>
        <v>4900</v>
      </c>
      <c r="H71" s="261" t="s">
        <v>170</v>
      </c>
      <c r="I71" s="271">
        <f>SUM(I64:I70)</f>
        <v>4400</v>
      </c>
      <c r="N71" s="261" t="s">
        <v>170</v>
      </c>
      <c r="O71" s="271">
        <f>SUM(O64:O70)</f>
        <v>4100</v>
      </c>
    </row>
    <row r="73" spans="2:17" ht="15.75" customHeight="1" x14ac:dyDescent="0.3">
      <c r="C73" s="261" t="s">
        <v>174</v>
      </c>
      <c r="D73" s="271">
        <f>+D61-D71</f>
        <v>-400</v>
      </c>
      <c r="H73" s="261" t="s">
        <v>174</v>
      </c>
      <c r="I73" s="271">
        <f>+I61-I71</f>
        <v>0</v>
      </c>
      <c r="N73" s="261" t="s">
        <v>174</v>
      </c>
      <c r="O73" s="271">
        <f>+O61-O71</f>
        <v>350</v>
      </c>
    </row>
    <row r="75" spans="2:17" ht="15.75" customHeight="1" x14ac:dyDescent="0.25">
      <c r="B75" s="591" t="s">
        <v>168</v>
      </c>
      <c r="C75" s="591"/>
      <c r="D75" s="591"/>
      <c r="E75" s="591"/>
      <c r="H75" s="591" t="s">
        <v>168</v>
      </c>
      <c r="I75" s="591"/>
      <c r="J75" s="591"/>
      <c r="K75" s="591"/>
      <c r="N75" s="591" t="s">
        <v>168</v>
      </c>
      <c r="O75" s="591"/>
      <c r="P75" s="591"/>
      <c r="Q75" s="591"/>
    </row>
    <row r="76" spans="2:17" ht="15.75" customHeight="1" x14ac:dyDescent="0.25">
      <c r="B76" s="591"/>
      <c r="C76" s="591"/>
      <c r="D76" s="591"/>
      <c r="E76" s="591"/>
      <c r="H76" s="591"/>
      <c r="I76" s="591"/>
      <c r="J76" s="591"/>
      <c r="K76" s="591"/>
      <c r="N76" s="591"/>
      <c r="O76" s="591"/>
      <c r="P76" s="591"/>
      <c r="Q76" s="591"/>
    </row>
    <row r="77" spans="2:17" ht="15.75" customHeight="1" x14ac:dyDescent="0.25">
      <c r="N77" s="254" t="s">
        <v>175</v>
      </c>
    </row>
    <row r="78" spans="2:17" ht="15.75" customHeight="1" x14ac:dyDescent="0.25">
      <c r="B78" s="254" t="s">
        <v>176</v>
      </c>
      <c r="H78" s="254" t="s">
        <v>177</v>
      </c>
      <c r="N78" s="254" t="s">
        <v>178</v>
      </c>
    </row>
    <row r="79" spans="2:17" ht="15.75" customHeight="1" x14ac:dyDescent="0.25">
      <c r="B79" s="254" t="s">
        <v>179</v>
      </c>
      <c r="H79" s="254" t="s">
        <v>180</v>
      </c>
      <c r="N79" s="254" t="s">
        <v>181</v>
      </c>
    </row>
    <row r="80" spans="2:17" ht="15.75" customHeight="1" x14ac:dyDescent="0.25">
      <c r="B80" s="254" t="s">
        <v>182</v>
      </c>
    </row>
    <row r="81" spans="2:17" ht="15.75" customHeight="1" x14ac:dyDescent="0.25">
      <c r="B81" s="254" t="s">
        <v>183</v>
      </c>
    </row>
    <row r="84" spans="2:17" ht="15.75" customHeight="1" x14ac:dyDescent="0.25">
      <c r="N84" s="591" t="s">
        <v>184</v>
      </c>
      <c r="O84" s="591"/>
      <c r="P84" s="591"/>
      <c r="Q84" s="591"/>
    </row>
    <row r="85" spans="2:17" ht="15.75" customHeight="1" x14ac:dyDescent="0.25">
      <c r="N85" s="591"/>
      <c r="O85" s="591"/>
      <c r="P85" s="591"/>
      <c r="Q85" s="591"/>
    </row>
    <row r="87" spans="2:17" ht="15.75" customHeight="1" x14ac:dyDescent="0.25">
      <c r="N87" s="254" t="s">
        <v>185</v>
      </c>
    </row>
  </sheetData>
  <mergeCells count="28">
    <mergeCell ref="N84:Q85"/>
    <mergeCell ref="B55:E55"/>
    <mergeCell ref="H55:K55"/>
    <mergeCell ref="N55:Q55"/>
    <mergeCell ref="B75:E76"/>
    <mergeCell ref="H75:K76"/>
    <mergeCell ref="N75:Q76"/>
    <mergeCell ref="T42:W43"/>
    <mergeCell ref="T11:W11"/>
    <mergeCell ref="B12:E19"/>
    <mergeCell ref="H12:K15"/>
    <mergeCell ref="N12:Q15"/>
    <mergeCell ref="T12:W15"/>
    <mergeCell ref="C21:E21"/>
    <mergeCell ref="H21:J21"/>
    <mergeCell ref="N21:P21"/>
    <mergeCell ref="T21:V21"/>
    <mergeCell ref="N11:Q11"/>
    <mergeCell ref="B35:E35"/>
    <mergeCell ref="H35:K35"/>
    <mergeCell ref="N35:Q35"/>
    <mergeCell ref="T35:W35"/>
    <mergeCell ref="T39:W39"/>
    <mergeCell ref="B3:M3"/>
    <mergeCell ref="B5:M5"/>
    <mergeCell ref="B7:M9"/>
    <mergeCell ref="B11:E11"/>
    <mergeCell ref="H11:K11"/>
  </mergeCell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DB90-EA1A-46D6-80D4-EC0E670A41D6}">
  <dimension ref="B3:V90"/>
  <sheetViews>
    <sheetView topLeftCell="D1" workbookViewId="0">
      <selection activeCell="I60" sqref="I60"/>
    </sheetView>
  </sheetViews>
  <sheetFormatPr baseColWidth="10" defaultColWidth="9.109375" defaultRowHeight="13.8" x14ac:dyDescent="0.25"/>
  <cols>
    <col min="1" max="1" width="9.109375" style="1"/>
    <col min="2" max="2" width="36.109375" style="1" bestFit="1" customWidth="1"/>
    <col min="3" max="3" width="9.88671875" style="1" bestFit="1" customWidth="1"/>
    <col min="4" max="4" width="10.33203125" style="1" bestFit="1" customWidth="1"/>
    <col min="5" max="5" width="9.88671875" style="1" bestFit="1" customWidth="1"/>
    <col min="6" max="6" width="9.109375" style="1" bestFit="1"/>
    <col min="7" max="8" width="10.33203125" style="1" bestFit="1" customWidth="1"/>
    <col min="9" max="10" width="9.109375" style="1" bestFit="1"/>
    <col min="11" max="11" width="9.5546875" style="1" bestFit="1" customWidth="1"/>
    <col min="12" max="13" width="9.109375" style="1"/>
    <col min="14" max="14" width="11.33203125" style="1" customWidth="1"/>
    <col min="15" max="15" width="15.109375" style="1" customWidth="1"/>
    <col min="16" max="16" width="11.88671875" style="1" customWidth="1"/>
    <col min="17" max="17" width="12" style="1" customWidth="1"/>
    <col min="18" max="18" width="13.33203125" style="1" customWidth="1"/>
    <col min="19" max="19" width="13" style="1" customWidth="1"/>
    <col min="20" max="20" width="11.33203125" style="1" customWidth="1"/>
    <col min="21" max="21" width="13.109375" style="1" customWidth="1"/>
    <col min="22" max="16384" width="9.109375" style="1"/>
  </cols>
  <sheetData>
    <row r="3" spans="2:18" ht="24" customHeight="1" x14ac:dyDescent="0.35">
      <c r="B3" s="607" t="s">
        <v>0</v>
      </c>
      <c r="C3" s="607"/>
      <c r="D3" s="607"/>
      <c r="E3" s="607"/>
      <c r="F3" s="607"/>
      <c r="G3" s="607"/>
      <c r="H3" s="607"/>
      <c r="I3" s="607"/>
      <c r="J3" s="607"/>
      <c r="K3" s="607"/>
      <c r="L3" s="607"/>
      <c r="M3" s="607"/>
      <c r="N3" s="607"/>
      <c r="O3" s="607"/>
      <c r="P3" s="607"/>
      <c r="Q3" s="607"/>
    </row>
    <row r="5" spans="2:18" ht="15.6" x14ac:dyDescent="0.3">
      <c r="B5" s="608" t="s">
        <v>1</v>
      </c>
      <c r="C5" s="608"/>
      <c r="D5" s="608"/>
      <c r="E5" s="608"/>
      <c r="F5" s="608"/>
      <c r="G5" s="608"/>
      <c r="H5" s="608"/>
      <c r="I5" s="608"/>
      <c r="J5" s="608"/>
      <c r="K5" s="608"/>
      <c r="L5" s="608"/>
      <c r="M5" s="608"/>
      <c r="N5" s="608"/>
      <c r="O5" s="608"/>
      <c r="P5" s="608"/>
    </row>
    <row r="7" spans="2:18" ht="17.399999999999999" x14ac:dyDescent="0.3">
      <c r="B7" s="2" t="s">
        <v>2</v>
      </c>
      <c r="J7" s="2" t="s">
        <v>3</v>
      </c>
    </row>
    <row r="8" spans="2:18" x14ac:dyDescent="0.25">
      <c r="B8" s="609" t="s">
        <v>4</v>
      </c>
      <c r="C8" s="609"/>
      <c r="D8" s="609"/>
      <c r="E8" s="609"/>
      <c r="F8" s="609"/>
      <c r="G8" s="609"/>
      <c r="H8" s="609"/>
      <c r="J8" s="609" t="s">
        <v>4</v>
      </c>
      <c r="K8" s="609"/>
      <c r="L8" s="609"/>
      <c r="M8" s="609"/>
      <c r="N8" s="609"/>
      <c r="O8" s="609"/>
      <c r="P8" s="609"/>
    </row>
    <row r="9" spans="2:18" x14ac:dyDescent="0.25">
      <c r="B9" s="609" t="s">
        <v>5</v>
      </c>
      <c r="C9" s="609"/>
      <c r="D9" s="609"/>
      <c r="E9" s="609"/>
      <c r="F9" s="609"/>
      <c r="G9" s="609"/>
      <c r="H9" s="609"/>
      <c r="J9" s="609" t="s">
        <v>5</v>
      </c>
      <c r="K9" s="609"/>
      <c r="L9" s="609"/>
      <c r="M9" s="609"/>
      <c r="N9" s="609"/>
      <c r="O9" s="609"/>
      <c r="P9" s="609"/>
    </row>
    <row r="10" spans="2:18" x14ac:dyDescent="0.25">
      <c r="B10" s="609" t="s">
        <v>6</v>
      </c>
      <c r="C10" s="609"/>
      <c r="D10" s="609"/>
      <c r="E10" s="609"/>
      <c r="F10" s="609"/>
      <c r="G10" s="609"/>
      <c r="H10" s="609"/>
      <c r="J10" s="609" t="s">
        <v>6</v>
      </c>
      <c r="K10" s="609"/>
      <c r="L10" s="609"/>
      <c r="M10" s="609"/>
      <c r="N10" s="609"/>
      <c r="O10" s="609"/>
      <c r="P10" s="609"/>
    </row>
    <row r="11" spans="2:18" x14ac:dyDescent="0.25">
      <c r="B11" s="4"/>
      <c r="C11" s="4"/>
      <c r="D11" s="4"/>
      <c r="E11" s="4"/>
      <c r="F11" s="4"/>
      <c r="G11" s="4"/>
      <c r="H11" s="4"/>
      <c r="P11" s="3" t="s">
        <v>7</v>
      </c>
      <c r="Q11" s="3" t="s">
        <v>7</v>
      </c>
      <c r="R11" s="5"/>
    </row>
    <row r="12" spans="2:18" x14ac:dyDescent="0.25">
      <c r="B12" s="6"/>
      <c r="C12" s="612" t="s">
        <v>8</v>
      </c>
      <c r="D12" s="613"/>
      <c r="E12" s="612" t="s">
        <v>9</v>
      </c>
      <c r="F12" s="613"/>
      <c r="G12" s="3" t="s">
        <v>7</v>
      </c>
      <c r="J12" s="614"/>
      <c r="K12" s="615"/>
      <c r="L12" s="615"/>
      <c r="M12" s="615"/>
      <c r="N12" s="7" t="s">
        <v>10</v>
      </c>
      <c r="O12" s="8" t="s">
        <v>11</v>
      </c>
      <c r="P12" s="9" t="s">
        <v>12</v>
      </c>
      <c r="Q12" s="3" t="s">
        <v>13</v>
      </c>
      <c r="R12" s="3" t="s">
        <v>14</v>
      </c>
    </row>
    <row r="13" spans="2:18" x14ac:dyDescent="0.25">
      <c r="B13" s="10" t="s">
        <v>15</v>
      </c>
      <c r="C13" s="11">
        <v>3000</v>
      </c>
      <c r="D13" s="12">
        <v>1</v>
      </c>
      <c r="E13" s="11">
        <v>3500</v>
      </c>
      <c r="F13" s="12">
        <v>1</v>
      </c>
      <c r="G13" s="13"/>
      <c r="H13" s="13"/>
      <c r="I13" s="14"/>
      <c r="J13" s="616" t="s">
        <v>15</v>
      </c>
      <c r="K13" s="617"/>
      <c r="L13" s="617"/>
      <c r="M13" s="617"/>
      <c r="N13" s="11">
        <v>3000</v>
      </c>
      <c r="O13" s="11">
        <v>3500</v>
      </c>
      <c r="P13" s="15">
        <f>+O13-N13</f>
        <v>500</v>
      </c>
      <c r="Q13" s="16">
        <f>+P13/N13</f>
        <v>0.16666666666666666</v>
      </c>
      <c r="R13" s="17">
        <f>+(O13-N13)/N13</f>
        <v>0.16666666666666666</v>
      </c>
    </row>
    <row r="14" spans="2:18" x14ac:dyDescent="0.25">
      <c r="B14" s="18" t="s">
        <v>16</v>
      </c>
      <c r="C14" s="19">
        <v>2050</v>
      </c>
      <c r="D14" s="20">
        <f>+C14/C13</f>
        <v>0.68333333333333335</v>
      </c>
      <c r="E14" s="19">
        <v>2400</v>
      </c>
      <c r="F14" s="21">
        <f>+E14/E13</f>
        <v>0.68571428571428572</v>
      </c>
      <c r="G14" s="38">
        <f>+F14-D14</f>
        <v>2.3809523809523725E-3</v>
      </c>
      <c r="H14" s="23"/>
      <c r="I14" s="24"/>
      <c r="J14" s="618" t="s">
        <v>16</v>
      </c>
      <c r="K14" s="619"/>
      <c r="L14" s="619"/>
      <c r="M14" s="619"/>
      <c r="N14" s="19">
        <v>2050</v>
      </c>
      <c r="O14" s="19">
        <v>2400</v>
      </c>
      <c r="P14" s="25">
        <f>+O14-N14</f>
        <v>350</v>
      </c>
      <c r="Q14" s="23">
        <f t="shared" ref="Q14:Q24" si="0">+P14/N14</f>
        <v>0.17073170731707318</v>
      </c>
      <c r="R14" s="26">
        <f t="shared" ref="R14:R24" si="1">+(O14-N14)/N14</f>
        <v>0.17073170731707318</v>
      </c>
    </row>
    <row r="15" spans="2:18" x14ac:dyDescent="0.25">
      <c r="B15" s="10" t="s">
        <v>17</v>
      </c>
      <c r="C15" s="27">
        <f>+C13-C14</f>
        <v>950</v>
      </c>
      <c r="D15" s="28">
        <f>+C15/C13</f>
        <v>0.31666666666666665</v>
      </c>
      <c r="E15" s="27">
        <f>+E13-E14</f>
        <v>1100</v>
      </c>
      <c r="F15" s="29">
        <f>+E15/E13</f>
        <v>0.31428571428571428</v>
      </c>
      <c r="G15" s="22">
        <f t="shared" ref="G15:G24" si="2">+F15-D15</f>
        <v>-2.3809523809523725E-3</v>
      </c>
      <c r="H15" s="23"/>
      <c r="I15" s="30"/>
      <c r="J15" s="610" t="s">
        <v>17</v>
      </c>
      <c r="K15" s="611"/>
      <c r="L15" s="611"/>
      <c r="M15" s="611"/>
      <c r="N15" s="27">
        <f>+N13-N14</f>
        <v>950</v>
      </c>
      <c r="O15" s="27">
        <f>+O13-O14</f>
        <v>1100</v>
      </c>
      <c r="P15" s="15">
        <f>+O15-N15</f>
        <v>150</v>
      </c>
      <c r="Q15" s="16">
        <f t="shared" si="0"/>
        <v>0.15789473684210525</v>
      </c>
      <c r="R15" s="17">
        <f t="shared" si="1"/>
        <v>0.15789473684210525</v>
      </c>
    </row>
    <row r="16" spans="2:18" x14ac:dyDescent="0.25">
      <c r="B16" s="18" t="s">
        <v>18</v>
      </c>
      <c r="C16" s="19">
        <v>200</v>
      </c>
      <c r="D16" s="28">
        <f>+C16/C13</f>
        <v>6.6666666666666666E-2</v>
      </c>
      <c r="E16" s="19">
        <v>250</v>
      </c>
      <c r="F16" s="21">
        <f>+E16/E13</f>
        <v>7.1428571428571425E-2</v>
      </c>
      <c r="G16" s="38">
        <f t="shared" si="2"/>
        <v>4.7619047619047589E-3</v>
      </c>
      <c r="H16" s="23"/>
      <c r="I16" s="24"/>
      <c r="J16" s="618" t="s">
        <v>18</v>
      </c>
      <c r="K16" s="619"/>
      <c r="L16" s="619"/>
      <c r="M16" s="619"/>
      <c r="N16" s="19">
        <v>200</v>
      </c>
      <c r="O16" s="19">
        <v>250</v>
      </c>
      <c r="P16" s="25">
        <f t="shared" ref="P16:P24" si="3">+O16-N16</f>
        <v>50</v>
      </c>
      <c r="Q16" s="23">
        <f t="shared" si="0"/>
        <v>0.25</v>
      </c>
      <c r="R16" s="26">
        <f t="shared" si="1"/>
        <v>0.25</v>
      </c>
    </row>
    <row r="17" spans="2:22" x14ac:dyDescent="0.25">
      <c r="B17" s="18" t="s">
        <v>19</v>
      </c>
      <c r="C17" s="19">
        <v>300</v>
      </c>
      <c r="D17" s="28">
        <f>+C17/C13</f>
        <v>0.1</v>
      </c>
      <c r="E17" s="19">
        <v>280</v>
      </c>
      <c r="F17" s="21">
        <f>+E17/E13</f>
        <v>0.08</v>
      </c>
      <c r="G17" s="22">
        <f t="shared" si="2"/>
        <v>-2.0000000000000004E-2</v>
      </c>
      <c r="H17" s="23"/>
      <c r="I17" s="24"/>
      <c r="J17" s="618" t="s">
        <v>19</v>
      </c>
      <c r="K17" s="619"/>
      <c r="L17" s="619"/>
      <c r="M17" s="619"/>
      <c r="N17" s="19">
        <v>300</v>
      </c>
      <c r="O17" s="19">
        <v>280</v>
      </c>
      <c r="P17" s="25">
        <f t="shared" si="3"/>
        <v>-20</v>
      </c>
      <c r="Q17" s="23">
        <f t="shared" si="0"/>
        <v>-6.6666666666666666E-2</v>
      </c>
      <c r="R17" s="26">
        <f t="shared" si="1"/>
        <v>-6.6666666666666666E-2</v>
      </c>
    </row>
    <row r="18" spans="2:22" x14ac:dyDescent="0.25">
      <c r="B18" s="18" t="s">
        <v>20</v>
      </c>
      <c r="C18" s="19">
        <v>20</v>
      </c>
      <c r="D18" s="28">
        <f>+C18/C13</f>
        <v>6.6666666666666671E-3</v>
      </c>
      <c r="E18" s="19">
        <v>22</v>
      </c>
      <c r="F18" s="21">
        <f>+E18/E13</f>
        <v>6.285714285714286E-3</v>
      </c>
      <c r="G18" s="22">
        <f t="shared" si="2"/>
        <v>-3.8095238095238113E-4</v>
      </c>
      <c r="H18" s="23"/>
      <c r="I18" s="24"/>
      <c r="J18" s="618" t="s">
        <v>20</v>
      </c>
      <c r="K18" s="619"/>
      <c r="L18" s="619"/>
      <c r="M18" s="619"/>
      <c r="N18" s="19">
        <v>20</v>
      </c>
      <c r="O18" s="19">
        <v>22</v>
      </c>
      <c r="P18" s="25">
        <f t="shared" si="3"/>
        <v>2</v>
      </c>
      <c r="Q18" s="23">
        <f t="shared" si="0"/>
        <v>0.1</v>
      </c>
      <c r="R18" s="26">
        <f t="shared" si="1"/>
        <v>0.1</v>
      </c>
    </row>
    <row r="19" spans="2:22" x14ac:dyDescent="0.25">
      <c r="B19" s="31" t="s">
        <v>21</v>
      </c>
      <c r="C19" s="32">
        <f>+C16+C17+C18</f>
        <v>520</v>
      </c>
      <c r="D19" s="33">
        <f>+C19/C13</f>
        <v>0.17333333333333334</v>
      </c>
      <c r="E19" s="34">
        <f>+E16+E17+E18</f>
        <v>552</v>
      </c>
      <c r="F19" s="35">
        <f>+E19/E13</f>
        <v>0.15771428571428572</v>
      </c>
      <c r="G19" s="22">
        <f t="shared" si="2"/>
        <v>-1.5619047619047616E-2</v>
      </c>
      <c r="H19" s="23"/>
      <c r="I19" s="30"/>
      <c r="J19" s="610" t="s">
        <v>21</v>
      </c>
      <c r="K19" s="611"/>
      <c r="L19" s="611"/>
      <c r="M19" s="611"/>
      <c r="N19" s="32">
        <f>+N16+N17+N18</f>
        <v>520</v>
      </c>
      <c r="O19" s="34">
        <f>+O16+O17+O18</f>
        <v>552</v>
      </c>
      <c r="P19" s="15">
        <f t="shared" si="3"/>
        <v>32</v>
      </c>
      <c r="Q19" s="16">
        <f t="shared" si="0"/>
        <v>6.1538461538461542E-2</v>
      </c>
      <c r="R19" s="17">
        <f t="shared" si="1"/>
        <v>6.1538461538461542E-2</v>
      </c>
    </row>
    <row r="20" spans="2:22" x14ac:dyDescent="0.25">
      <c r="B20" s="18" t="s">
        <v>22</v>
      </c>
      <c r="C20" s="19">
        <f>+C15-C19</f>
        <v>430</v>
      </c>
      <c r="D20" s="28">
        <f>+C20/C13</f>
        <v>0.14333333333333334</v>
      </c>
      <c r="E20" s="19">
        <f>+E15-E19</f>
        <v>548</v>
      </c>
      <c r="F20" s="21">
        <f>+E20/E13</f>
        <v>0.15657142857142858</v>
      </c>
      <c r="G20" s="38">
        <f t="shared" si="2"/>
        <v>1.3238095238095243E-2</v>
      </c>
      <c r="H20" s="23"/>
      <c r="I20" s="24"/>
      <c r="J20" s="618" t="s">
        <v>22</v>
      </c>
      <c r="K20" s="619"/>
      <c r="L20" s="619"/>
      <c r="M20" s="619"/>
      <c r="N20" s="19">
        <f>+N15-N19</f>
        <v>430</v>
      </c>
      <c r="O20" s="19">
        <f>+O15-O19</f>
        <v>548</v>
      </c>
      <c r="P20" s="25">
        <f>+O20-N20</f>
        <v>118</v>
      </c>
      <c r="Q20" s="23">
        <f t="shared" si="0"/>
        <v>0.2744186046511628</v>
      </c>
      <c r="R20" s="26">
        <f t="shared" si="1"/>
        <v>0.2744186046511628</v>
      </c>
    </row>
    <row r="21" spans="2:22" x14ac:dyDescent="0.25">
      <c r="B21" s="18" t="s">
        <v>23</v>
      </c>
      <c r="C21" s="19">
        <v>50</v>
      </c>
      <c r="D21" s="28">
        <f>+C21/C13</f>
        <v>1.6666666666666666E-2</v>
      </c>
      <c r="E21" s="19">
        <v>47</v>
      </c>
      <c r="F21" s="21">
        <f>+E21/E13</f>
        <v>1.3428571428571429E-2</v>
      </c>
      <c r="G21" s="22">
        <f t="shared" si="2"/>
        <v>-3.2380952380952378E-3</v>
      </c>
      <c r="H21" s="23"/>
      <c r="I21" s="30"/>
      <c r="J21" s="618" t="s">
        <v>23</v>
      </c>
      <c r="K21" s="619"/>
      <c r="L21" s="619"/>
      <c r="M21" s="619"/>
      <c r="N21" s="19">
        <v>50</v>
      </c>
      <c r="O21" s="19">
        <v>47</v>
      </c>
      <c r="P21" s="25">
        <f t="shared" si="3"/>
        <v>-3</v>
      </c>
      <c r="Q21" s="23">
        <f t="shared" si="0"/>
        <v>-0.06</v>
      </c>
      <c r="R21" s="26">
        <f t="shared" si="1"/>
        <v>-0.06</v>
      </c>
    </row>
    <row r="22" spans="2:22" x14ac:dyDescent="0.25">
      <c r="B22" s="31" t="s">
        <v>24</v>
      </c>
      <c r="C22" s="27">
        <f>+C20-C21</f>
        <v>380</v>
      </c>
      <c r="D22" s="36">
        <f>+C22/C13</f>
        <v>0.12666666666666668</v>
      </c>
      <c r="E22" s="37">
        <f>+E20-E21</f>
        <v>501</v>
      </c>
      <c r="F22" s="29">
        <f>+E22/E13</f>
        <v>0.14314285714285716</v>
      </c>
      <c r="G22" s="38">
        <f t="shared" si="2"/>
        <v>1.6476190476190478E-2</v>
      </c>
      <c r="H22" s="23"/>
      <c r="I22" s="24"/>
      <c r="J22" s="610" t="s">
        <v>24</v>
      </c>
      <c r="K22" s="611"/>
      <c r="L22" s="611"/>
      <c r="M22" s="611"/>
      <c r="N22" s="27">
        <f>+N20-N21</f>
        <v>380</v>
      </c>
      <c r="O22" s="37">
        <f>+O20-O21</f>
        <v>501</v>
      </c>
      <c r="P22" s="15">
        <f t="shared" si="3"/>
        <v>121</v>
      </c>
      <c r="Q22" s="16">
        <f t="shared" si="0"/>
        <v>0.31842105263157894</v>
      </c>
      <c r="R22" s="17">
        <f t="shared" si="1"/>
        <v>0.31842105263157894</v>
      </c>
    </row>
    <row r="23" spans="2:22" x14ac:dyDescent="0.25">
      <c r="B23" s="18" t="s">
        <v>25</v>
      </c>
      <c r="C23" s="19">
        <f>+C22*30%</f>
        <v>114</v>
      </c>
      <c r="D23" s="20">
        <f>+C23/C13</f>
        <v>3.7999999999999999E-2</v>
      </c>
      <c r="E23" s="19">
        <f>+E22*30%</f>
        <v>150.29999999999998</v>
      </c>
      <c r="F23" s="39">
        <f>+E23/E13</f>
        <v>4.2942857142857137E-2</v>
      </c>
      <c r="G23" s="38">
        <f t="shared" si="2"/>
        <v>4.9428571428571377E-3</v>
      </c>
      <c r="H23" s="23"/>
      <c r="I23" s="30"/>
      <c r="J23" s="618" t="s">
        <v>26</v>
      </c>
      <c r="K23" s="619"/>
      <c r="L23" s="619"/>
      <c r="M23" s="619"/>
      <c r="N23" s="19">
        <f>+N22*30%</f>
        <v>114</v>
      </c>
      <c r="O23" s="19">
        <f>+O22*30%</f>
        <v>150.29999999999998</v>
      </c>
      <c r="P23" s="25">
        <f t="shared" si="3"/>
        <v>36.299999999999983</v>
      </c>
      <c r="Q23" s="23">
        <f t="shared" si="0"/>
        <v>0.31842105263157877</v>
      </c>
      <c r="R23" s="26">
        <f t="shared" si="1"/>
        <v>0.31842105263157877</v>
      </c>
    </row>
    <row r="24" spans="2:22" x14ac:dyDescent="0.25">
      <c r="B24" s="40" t="s">
        <v>27</v>
      </c>
      <c r="C24" s="32">
        <f>+C22-C23</f>
        <v>266</v>
      </c>
      <c r="D24" s="20">
        <f>+C24/C13</f>
        <v>8.8666666666666671E-2</v>
      </c>
      <c r="E24" s="34">
        <f>+E22-E23</f>
        <v>350.70000000000005</v>
      </c>
      <c r="F24" s="41">
        <f>+E24/E13</f>
        <v>0.10020000000000001</v>
      </c>
      <c r="G24" s="38">
        <f t="shared" si="2"/>
        <v>1.153333333333334E-2</v>
      </c>
      <c r="H24" s="42"/>
      <c r="J24" s="620" t="s">
        <v>27</v>
      </c>
      <c r="K24" s="621"/>
      <c r="L24" s="621"/>
      <c r="M24" s="621"/>
      <c r="N24" s="32">
        <f>+N22-N23</f>
        <v>266</v>
      </c>
      <c r="O24" s="34">
        <f>+O22-O23</f>
        <v>350.70000000000005</v>
      </c>
      <c r="P24" s="15">
        <f t="shared" si="3"/>
        <v>84.700000000000045</v>
      </c>
      <c r="Q24" s="16">
        <f t="shared" si="0"/>
        <v>0.3184210526315791</v>
      </c>
      <c r="R24" s="17">
        <f t="shared" si="1"/>
        <v>0.3184210526315791</v>
      </c>
    </row>
    <row r="25" spans="2:22" x14ac:dyDescent="0.25">
      <c r="D25" s="42"/>
      <c r="F25" s="42"/>
      <c r="G25" s="43"/>
    </row>
    <row r="27" spans="2:22" ht="20.399999999999999" x14ac:dyDescent="0.35">
      <c r="B27" s="44" t="s">
        <v>28</v>
      </c>
      <c r="D27" s="609" t="s">
        <v>29</v>
      </c>
      <c r="E27" s="609"/>
      <c r="F27" s="609"/>
      <c r="G27" s="609"/>
      <c r="H27" s="609"/>
      <c r="I27" s="609"/>
      <c r="J27" s="609"/>
      <c r="K27" s="609"/>
      <c r="M27" s="623" t="s">
        <v>3</v>
      </c>
      <c r="N27" s="623"/>
      <c r="O27" s="609" t="s">
        <v>29</v>
      </c>
      <c r="P27" s="609"/>
      <c r="Q27" s="609"/>
      <c r="R27" s="609"/>
      <c r="S27" s="609"/>
      <c r="T27" s="609"/>
      <c r="U27" s="609"/>
      <c r="V27" s="609"/>
    </row>
    <row r="28" spans="2:22" x14ac:dyDescent="0.25">
      <c r="D28" s="609" t="s">
        <v>30</v>
      </c>
      <c r="E28" s="609"/>
      <c r="F28" s="609"/>
      <c r="G28" s="609"/>
      <c r="H28" s="609"/>
      <c r="I28" s="609"/>
      <c r="J28" s="609"/>
      <c r="K28" s="609"/>
      <c r="M28" s="623"/>
      <c r="N28" s="623"/>
      <c r="O28" s="609" t="s">
        <v>30</v>
      </c>
      <c r="P28" s="609"/>
      <c r="Q28" s="609"/>
      <c r="R28" s="609"/>
      <c r="S28" s="609"/>
      <c r="T28" s="609"/>
      <c r="U28" s="609"/>
      <c r="V28" s="609"/>
    </row>
    <row r="29" spans="2:22" x14ac:dyDescent="0.25">
      <c r="D29" s="609" t="s">
        <v>31</v>
      </c>
      <c r="E29" s="609"/>
      <c r="F29" s="609"/>
      <c r="G29" s="609"/>
      <c r="H29" s="609"/>
      <c r="I29" s="609"/>
      <c r="J29" s="609"/>
      <c r="K29" s="609"/>
      <c r="O29" s="609" t="s">
        <v>31</v>
      </c>
      <c r="P29" s="609"/>
      <c r="Q29" s="609"/>
      <c r="R29" s="609"/>
      <c r="S29" s="609"/>
      <c r="T29" s="609"/>
      <c r="U29" s="609"/>
      <c r="V29" s="609"/>
    </row>
    <row r="30" spans="2:22" x14ac:dyDescent="0.25">
      <c r="D30" s="609" t="s">
        <v>6</v>
      </c>
      <c r="E30" s="609"/>
      <c r="F30" s="609"/>
      <c r="G30" s="609"/>
      <c r="H30" s="609"/>
      <c r="I30" s="609"/>
      <c r="J30" s="609"/>
      <c r="K30" s="609"/>
      <c r="O30" s="609" t="s">
        <v>6</v>
      </c>
      <c r="P30" s="609"/>
      <c r="Q30" s="609"/>
      <c r="R30" s="609"/>
      <c r="S30" s="609"/>
      <c r="T30" s="609"/>
      <c r="U30" s="609"/>
      <c r="V30" s="609"/>
    </row>
    <row r="31" spans="2:22" x14ac:dyDescent="0.25">
      <c r="D31" s="4"/>
      <c r="E31" s="4"/>
      <c r="F31" s="4"/>
      <c r="G31" s="4"/>
      <c r="H31" s="4"/>
      <c r="I31" s="4"/>
      <c r="J31" s="4"/>
      <c r="K31" s="4"/>
      <c r="T31" s="3" t="s">
        <v>7</v>
      </c>
      <c r="U31" s="3" t="s">
        <v>7</v>
      </c>
      <c r="V31" s="5"/>
    </row>
    <row r="32" spans="2:22" ht="15.6" x14ac:dyDescent="0.3">
      <c r="D32" s="624" t="s">
        <v>8</v>
      </c>
      <c r="E32" s="624"/>
      <c r="F32" s="624"/>
      <c r="G32" s="624"/>
      <c r="H32" s="613" t="s">
        <v>9</v>
      </c>
      <c r="I32" s="624"/>
      <c r="J32" s="624"/>
      <c r="K32" s="624"/>
      <c r="O32" s="45" t="s">
        <v>32</v>
      </c>
      <c r="P32" s="46"/>
      <c r="Q32" s="46"/>
      <c r="R32" s="47" t="s">
        <v>10</v>
      </c>
      <c r="S32" s="8" t="s">
        <v>11</v>
      </c>
      <c r="T32" s="3" t="s">
        <v>12</v>
      </c>
      <c r="U32" s="3" t="s">
        <v>13</v>
      </c>
      <c r="V32" s="3" t="s">
        <v>14</v>
      </c>
    </row>
    <row r="33" spans="2:22" ht="15.6" x14ac:dyDescent="0.3">
      <c r="B33" s="45" t="s">
        <v>32</v>
      </c>
      <c r="C33" s="46"/>
      <c r="D33" s="48"/>
      <c r="E33" s="4"/>
      <c r="F33" s="4"/>
      <c r="G33" s="49"/>
      <c r="H33" s="4"/>
      <c r="I33" s="4"/>
      <c r="J33" s="4"/>
      <c r="K33" s="49"/>
      <c r="O33" s="622" t="s">
        <v>33</v>
      </c>
      <c r="P33" s="622"/>
      <c r="Q33" s="622"/>
      <c r="R33" s="48"/>
      <c r="S33" s="50"/>
    </row>
    <row r="34" spans="2:22" x14ac:dyDescent="0.25">
      <c r="B34" s="1" t="s">
        <v>33</v>
      </c>
      <c r="D34" s="51"/>
      <c r="G34" s="50"/>
      <c r="K34" s="50"/>
      <c r="O34" s="622" t="s">
        <v>34</v>
      </c>
      <c r="P34" s="622"/>
      <c r="Q34" s="622"/>
      <c r="R34" s="52">
        <v>85</v>
      </c>
      <c r="S34" s="98">
        <v>100</v>
      </c>
      <c r="T34" s="54">
        <f>+S34-R34</f>
        <v>15</v>
      </c>
      <c r="U34" s="43">
        <f>+T34/R34</f>
        <v>0.17647058823529413</v>
      </c>
      <c r="V34" s="26">
        <f>+(S34-R34)/R34</f>
        <v>0.17647058823529413</v>
      </c>
    </row>
    <row r="35" spans="2:22" x14ac:dyDescent="0.25">
      <c r="B35" s="1" t="s">
        <v>34</v>
      </c>
      <c r="D35" s="52">
        <v>85</v>
      </c>
      <c r="E35" s="55">
        <f>+D35/D$44</f>
        <v>0.1111111111111111</v>
      </c>
      <c r="F35" s="56"/>
      <c r="G35" s="57">
        <f>+D35/D39</f>
        <v>0.13385826771653545</v>
      </c>
      <c r="H35" s="53">
        <v>100</v>
      </c>
      <c r="I35" s="55">
        <f>+H35/$H$44</f>
        <v>0.11904761904761904</v>
      </c>
      <c r="J35" s="56"/>
      <c r="K35" s="57">
        <f>+H35/H39</f>
        <v>0.14492753623188406</v>
      </c>
      <c r="O35" s="622" t="s">
        <v>35</v>
      </c>
      <c r="P35" s="622"/>
      <c r="Q35" s="622"/>
      <c r="R35" s="52">
        <v>90</v>
      </c>
      <c r="S35" s="98">
        <v>100</v>
      </c>
      <c r="T35" s="54">
        <f t="shared" ref="T35:T40" si="4">+S35-R35</f>
        <v>10</v>
      </c>
      <c r="U35" s="43">
        <f>+T35/R35</f>
        <v>0.1111111111111111</v>
      </c>
      <c r="V35" s="26">
        <f t="shared" ref="V35:V62" si="5">+(S35-R35)/R35</f>
        <v>0.1111111111111111</v>
      </c>
    </row>
    <row r="36" spans="2:22" x14ac:dyDescent="0.25">
      <c r="B36" s="1" t="s">
        <v>35</v>
      </c>
      <c r="D36" s="52">
        <v>90</v>
      </c>
      <c r="E36" s="55">
        <f>+D36/D$44</f>
        <v>0.11764705882352941</v>
      </c>
      <c r="F36" s="56"/>
      <c r="G36" s="57">
        <f>+D36/D39</f>
        <v>0.14173228346456693</v>
      </c>
      <c r="H36" s="53">
        <v>100</v>
      </c>
      <c r="I36" s="55">
        <f>+H36/$H$44</f>
        <v>0.11904761904761904</v>
      </c>
      <c r="J36" s="56"/>
      <c r="K36" s="57">
        <f>+H36/H39</f>
        <v>0.14492753623188406</v>
      </c>
      <c r="O36" s="622" t="s">
        <v>36</v>
      </c>
      <c r="P36" s="622"/>
      <c r="Q36" s="622"/>
      <c r="R36" s="58">
        <v>210</v>
      </c>
      <c r="S36" s="411">
        <v>230</v>
      </c>
      <c r="T36" s="54">
        <f t="shared" si="4"/>
        <v>20</v>
      </c>
      <c r="U36" s="43">
        <f>+T36/R36</f>
        <v>9.5238095238095233E-2</v>
      </c>
      <c r="V36" s="26">
        <f t="shared" si="5"/>
        <v>9.5238095238095233E-2</v>
      </c>
    </row>
    <row r="37" spans="2:22" x14ac:dyDescent="0.25">
      <c r="B37" s="1" t="s">
        <v>36</v>
      </c>
      <c r="D37" s="58">
        <v>210</v>
      </c>
      <c r="E37" s="60">
        <f>+D37/D$44</f>
        <v>0.27450980392156865</v>
      </c>
      <c r="F37" s="61"/>
      <c r="G37" s="57">
        <f>+D37/D39</f>
        <v>0.33070866141732286</v>
      </c>
      <c r="H37" s="59">
        <v>230</v>
      </c>
      <c r="I37" s="60">
        <f>+H37/$H$44</f>
        <v>0.27380952380952384</v>
      </c>
      <c r="J37" s="61"/>
      <c r="K37" s="410">
        <f>+H37/H39</f>
        <v>0.33333333333333331</v>
      </c>
      <c r="O37" s="622" t="s">
        <v>37</v>
      </c>
      <c r="P37" s="622"/>
      <c r="Q37" s="622"/>
      <c r="R37" s="62">
        <v>250</v>
      </c>
      <c r="S37" s="412">
        <v>260</v>
      </c>
      <c r="T37" s="54">
        <f t="shared" si="4"/>
        <v>10</v>
      </c>
      <c r="U37" s="43">
        <f>+T37/R37</f>
        <v>0.04</v>
      </c>
      <c r="V37" s="26">
        <f t="shared" si="5"/>
        <v>0.04</v>
      </c>
    </row>
    <row r="38" spans="2:22" x14ac:dyDescent="0.25">
      <c r="B38" s="1" t="s">
        <v>37</v>
      </c>
      <c r="D38" s="62">
        <v>250</v>
      </c>
      <c r="E38" s="64">
        <f>+D38/D44</f>
        <v>0.32679738562091504</v>
      </c>
      <c r="F38" s="64"/>
      <c r="G38" s="57">
        <f>+D38/D39</f>
        <v>0.39370078740157483</v>
      </c>
      <c r="H38" s="63">
        <v>260</v>
      </c>
      <c r="I38" s="64">
        <f>+H38/H44</f>
        <v>0.30952380952380953</v>
      </c>
      <c r="J38" s="64"/>
      <c r="K38" s="65">
        <f>+H38/H39</f>
        <v>0.37681159420289856</v>
      </c>
      <c r="O38" s="625" t="s">
        <v>38</v>
      </c>
      <c r="P38" s="625"/>
      <c r="Q38" s="625"/>
      <c r="R38" s="66">
        <f>SUM(R34:R37)</f>
        <v>635</v>
      </c>
      <c r="S38" s="67">
        <f>SUM(S34:S37)</f>
        <v>690</v>
      </c>
      <c r="T38" s="68">
        <f t="shared" si="4"/>
        <v>55</v>
      </c>
      <c r="U38" s="69">
        <f>+T38/R38</f>
        <v>8.6614173228346455E-2</v>
      </c>
      <c r="V38" s="17">
        <f t="shared" si="5"/>
        <v>8.6614173228346455E-2</v>
      </c>
    </row>
    <row r="39" spans="2:22" x14ac:dyDescent="0.25">
      <c r="B39" s="70" t="s">
        <v>38</v>
      </c>
      <c r="C39" s="70"/>
      <c r="D39" s="66">
        <f>SUM(D35:D38)</f>
        <v>635</v>
      </c>
      <c r="E39" s="71"/>
      <c r="F39" s="71">
        <f>+D39/D44</f>
        <v>0.83006535947712423</v>
      </c>
      <c r="G39" s="71">
        <f>SUM(G35:G38)</f>
        <v>1</v>
      </c>
      <c r="H39" s="72">
        <f>SUM(H35:H38)</f>
        <v>690</v>
      </c>
      <c r="I39" s="71"/>
      <c r="J39" s="71">
        <f>+H39/H44</f>
        <v>0.8214285714285714</v>
      </c>
      <c r="K39" s="73">
        <f>SUM(K35:K38)</f>
        <v>1</v>
      </c>
      <c r="O39" s="622" t="s">
        <v>39</v>
      </c>
      <c r="P39" s="622"/>
      <c r="Q39" s="622"/>
      <c r="R39" s="74"/>
      <c r="S39" s="75"/>
      <c r="T39" s="54"/>
      <c r="U39" s="43"/>
      <c r="V39" s="26"/>
    </row>
    <row r="40" spans="2:22" x14ac:dyDescent="0.25">
      <c r="B40" s="1" t="s">
        <v>39</v>
      </c>
      <c r="D40" s="74"/>
      <c r="E40" s="76"/>
      <c r="F40" s="77"/>
      <c r="G40" s="78"/>
      <c r="H40" s="79"/>
      <c r="I40" s="76"/>
      <c r="J40" s="77"/>
      <c r="K40" s="78"/>
      <c r="O40" s="622" t="s">
        <v>40</v>
      </c>
      <c r="P40" s="622"/>
      <c r="Q40" s="622"/>
      <c r="R40" s="80">
        <v>200</v>
      </c>
      <c r="S40" s="413">
        <v>230</v>
      </c>
      <c r="T40" s="54">
        <f t="shared" si="4"/>
        <v>30</v>
      </c>
      <c r="U40" s="43">
        <f>+T40/R40</f>
        <v>0.15</v>
      </c>
      <c r="V40" s="26">
        <f t="shared" si="5"/>
        <v>0.15</v>
      </c>
    </row>
    <row r="41" spans="2:22" x14ac:dyDescent="0.25">
      <c r="B41" s="1" t="s">
        <v>40</v>
      </c>
      <c r="D41" s="80">
        <v>200</v>
      </c>
      <c r="E41" s="55">
        <f>+D41/D44</f>
        <v>0.26143790849673204</v>
      </c>
      <c r="F41" s="55"/>
      <c r="G41" s="57">
        <f>+D41/D43</f>
        <v>1.5384615384615385</v>
      </c>
      <c r="H41" s="54">
        <v>230</v>
      </c>
      <c r="I41" s="55">
        <f>+H41/H44</f>
        <v>0.27380952380952384</v>
      </c>
      <c r="J41" s="55"/>
      <c r="K41" s="57">
        <f>+H41/H43</f>
        <v>1.5333333333333334</v>
      </c>
      <c r="O41" s="626" t="s">
        <v>41</v>
      </c>
      <c r="P41" s="626"/>
      <c r="Q41" s="626"/>
      <c r="R41" s="81">
        <v>-70</v>
      </c>
      <c r="S41" s="414">
        <v>-80</v>
      </c>
      <c r="T41" s="54">
        <f>+S41-R41</f>
        <v>-10</v>
      </c>
      <c r="U41" s="43">
        <f>+T41/R41</f>
        <v>0.14285714285714285</v>
      </c>
      <c r="V41" s="26">
        <f t="shared" si="5"/>
        <v>0.14285714285714285</v>
      </c>
    </row>
    <row r="42" spans="2:22" x14ac:dyDescent="0.25">
      <c r="B42" s="83" t="s">
        <v>41</v>
      </c>
      <c r="C42" s="83"/>
      <c r="D42" s="81">
        <v>-70</v>
      </c>
      <c r="E42" s="64">
        <f>+D42/D44</f>
        <v>-9.1503267973856203E-2</v>
      </c>
      <c r="F42" s="64"/>
      <c r="G42" s="65">
        <f>+D42/D43</f>
        <v>-0.53846153846153844</v>
      </c>
      <c r="H42" s="82">
        <v>-80</v>
      </c>
      <c r="I42" s="64">
        <f>+H42/H44</f>
        <v>-9.5238095238095233E-2</v>
      </c>
      <c r="J42" s="64"/>
      <c r="K42" s="65">
        <f>+H42/H43</f>
        <v>-0.53333333333333333</v>
      </c>
      <c r="O42" s="617" t="s">
        <v>42</v>
      </c>
      <c r="P42" s="617"/>
      <c r="Q42" s="617"/>
      <c r="R42" s="84">
        <f>SUM(R40:R41)</f>
        <v>130</v>
      </c>
      <c r="S42" s="415">
        <f>SUM(S40:S41)</f>
        <v>150</v>
      </c>
      <c r="T42" s="54">
        <f>+S42-R42</f>
        <v>20</v>
      </c>
      <c r="U42" s="43">
        <f>+T42/R42</f>
        <v>0.15384615384615385</v>
      </c>
      <c r="V42" s="26">
        <f t="shared" si="5"/>
        <v>0.15384615384615385</v>
      </c>
    </row>
    <row r="43" spans="2:22" x14ac:dyDescent="0.25">
      <c r="B43" s="5" t="s">
        <v>42</v>
      </c>
      <c r="C43" s="5"/>
      <c r="D43" s="84">
        <f>SUM(D41:D42)</f>
        <v>130</v>
      </c>
      <c r="E43" s="85"/>
      <c r="F43" s="85">
        <f>+D43/D44</f>
        <v>0.16993464052287582</v>
      </c>
      <c r="G43" s="86">
        <f>SUM(G41:G42)</f>
        <v>1</v>
      </c>
      <c r="H43" s="84">
        <f>SUM(H41:H42)</f>
        <v>150</v>
      </c>
      <c r="I43" s="85"/>
      <c r="J43" s="85">
        <f>+H43/H44</f>
        <v>0.17857142857142858</v>
      </c>
      <c r="K43" s="86">
        <f>SUM(K41:K42)</f>
        <v>1</v>
      </c>
      <c r="O43" s="627" t="s">
        <v>43</v>
      </c>
      <c r="P43" s="627"/>
      <c r="Q43" s="627"/>
      <c r="R43" s="87">
        <f>+R38+R42</f>
        <v>765</v>
      </c>
      <c r="S43" s="88">
        <f>+S38+S42</f>
        <v>840</v>
      </c>
      <c r="T43" s="68">
        <f>+S43-R43</f>
        <v>75</v>
      </c>
      <c r="U43" s="69">
        <f>+T43/R43</f>
        <v>9.8039215686274508E-2</v>
      </c>
      <c r="V43" s="17">
        <f t="shared" si="5"/>
        <v>9.8039215686274508E-2</v>
      </c>
    </row>
    <row r="44" spans="2:22" x14ac:dyDescent="0.25">
      <c r="B44" s="89" t="s">
        <v>43</v>
      </c>
      <c r="C44" s="46"/>
      <c r="D44" s="87">
        <f>+D39+D43</f>
        <v>765</v>
      </c>
      <c r="E44" s="90">
        <f>SUM(E35:E42)</f>
        <v>0.99999999999999989</v>
      </c>
      <c r="F44" s="91">
        <f>SUM(F39:F43)</f>
        <v>1</v>
      </c>
      <c r="G44" s="92"/>
      <c r="H44" s="87">
        <f>+H39+H43</f>
        <v>840</v>
      </c>
      <c r="I44" s="90">
        <f>SUM(I35:I42)</f>
        <v>1</v>
      </c>
      <c r="J44" s="91">
        <f>SUM(J39:J43)</f>
        <v>1</v>
      </c>
      <c r="K44" s="92"/>
      <c r="R44" s="51"/>
      <c r="S44" s="93"/>
      <c r="T44" s="54"/>
      <c r="U44" s="43"/>
      <c r="V44" s="26"/>
    </row>
    <row r="45" spans="2:22" ht="15.6" x14ac:dyDescent="0.3">
      <c r="D45" s="51"/>
      <c r="E45" s="94"/>
      <c r="G45" s="50"/>
      <c r="H45" s="51"/>
      <c r="K45" s="50"/>
      <c r="O45" s="628" t="s">
        <v>44</v>
      </c>
      <c r="P45" s="628"/>
      <c r="Q45" s="628"/>
      <c r="R45" s="6"/>
      <c r="S45" s="95"/>
      <c r="T45" s="54"/>
      <c r="U45" s="43"/>
      <c r="V45" s="26"/>
    </row>
    <row r="46" spans="2:22" ht="15.6" x14ac:dyDescent="0.3">
      <c r="B46" s="96" t="s">
        <v>44</v>
      </c>
      <c r="D46" s="6"/>
      <c r="E46" s="97"/>
      <c r="F46" s="97"/>
      <c r="G46" s="95"/>
      <c r="H46" s="97"/>
      <c r="I46" s="97"/>
      <c r="J46" s="97"/>
      <c r="K46" s="95"/>
      <c r="O46" s="622" t="s">
        <v>45</v>
      </c>
      <c r="P46" s="622"/>
      <c r="Q46" s="622"/>
      <c r="R46" s="51"/>
      <c r="S46" s="50"/>
      <c r="T46" s="54"/>
      <c r="U46" s="43"/>
      <c r="V46" s="26"/>
    </row>
    <row r="47" spans="2:22" x14ac:dyDescent="0.25">
      <c r="B47" s="1" t="s">
        <v>45</v>
      </c>
      <c r="D47" s="51"/>
      <c r="G47" s="50"/>
      <c r="K47" s="50"/>
      <c r="O47" s="622" t="s">
        <v>46</v>
      </c>
      <c r="P47" s="622"/>
      <c r="Q47" s="622"/>
      <c r="R47" s="52"/>
      <c r="S47" s="98"/>
      <c r="T47" s="54"/>
      <c r="U47" s="43"/>
      <c r="V47" s="26"/>
    </row>
    <row r="48" spans="2:22" x14ac:dyDescent="0.25">
      <c r="B48" s="1" t="s">
        <v>46</v>
      </c>
      <c r="D48" s="52"/>
      <c r="E48" s="55"/>
      <c r="F48" s="56"/>
      <c r="G48" s="57"/>
      <c r="H48" s="53"/>
      <c r="I48" s="55"/>
      <c r="J48" s="56"/>
      <c r="K48" s="57"/>
      <c r="O48" s="622" t="s">
        <v>47</v>
      </c>
      <c r="P48" s="622"/>
      <c r="Q48" s="622"/>
      <c r="R48" s="52">
        <v>200</v>
      </c>
      <c r="S48" s="98">
        <v>250</v>
      </c>
      <c r="T48" s="54">
        <f>+S48-R48</f>
        <v>50</v>
      </c>
      <c r="U48" s="43">
        <f t="shared" ref="U48:U62" si="6">+T48/R48</f>
        <v>0.25</v>
      </c>
      <c r="V48" s="26">
        <f t="shared" si="5"/>
        <v>0.25</v>
      </c>
    </row>
    <row r="49" spans="2:22" x14ac:dyDescent="0.25">
      <c r="B49" s="1" t="s">
        <v>47</v>
      </c>
      <c r="D49" s="52">
        <v>200</v>
      </c>
      <c r="E49" s="55">
        <f>+D49/D$63</f>
        <v>0.26143790849673204</v>
      </c>
      <c r="F49" s="56"/>
      <c r="G49" s="57">
        <f>+D49/D52</f>
        <v>0.4</v>
      </c>
      <c r="H49" s="53">
        <v>250</v>
      </c>
      <c r="I49" s="55">
        <f>+H49/H63</f>
        <v>0.29761904761904762</v>
      </c>
      <c r="J49" s="56"/>
      <c r="K49" s="57">
        <f>+H49/H52</f>
        <v>0.47169811320754718</v>
      </c>
      <c r="O49" s="622" t="s">
        <v>48</v>
      </c>
      <c r="P49" s="622"/>
      <c r="Q49" s="622"/>
      <c r="R49" s="52">
        <v>250</v>
      </c>
      <c r="S49" s="98">
        <v>230</v>
      </c>
      <c r="T49" s="54">
        <f>+S49-R49</f>
        <v>-20</v>
      </c>
      <c r="U49" s="43">
        <f t="shared" si="6"/>
        <v>-0.08</v>
      </c>
      <c r="V49" s="26">
        <f t="shared" si="5"/>
        <v>-0.08</v>
      </c>
    </row>
    <row r="50" spans="2:22" x14ac:dyDescent="0.25">
      <c r="B50" s="1" t="s">
        <v>48</v>
      </c>
      <c r="D50" s="52">
        <v>250</v>
      </c>
      <c r="E50" s="55">
        <f>+D50/D63</f>
        <v>0.32679738562091504</v>
      </c>
      <c r="F50" s="56"/>
      <c r="G50" s="57">
        <f>+D50/D52</f>
        <v>0.5</v>
      </c>
      <c r="H50" s="53">
        <v>230</v>
      </c>
      <c r="I50" s="55">
        <f>+H50/H63</f>
        <v>0.27380952380952384</v>
      </c>
      <c r="J50" s="56"/>
      <c r="K50" s="57">
        <f>+H50/H52</f>
        <v>0.43396226415094341</v>
      </c>
      <c r="O50" s="622" t="s">
        <v>49</v>
      </c>
      <c r="P50" s="622"/>
      <c r="Q50" s="622"/>
      <c r="R50" s="62">
        <v>50</v>
      </c>
      <c r="S50" s="412">
        <v>50</v>
      </c>
      <c r="T50" s="54">
        <f>+S50-R50</f>
        <v>0</v>
      </c>
      <c r="U50" s="43">
        <f t="shared" si="6"/>
        <v>0</v>
      </c>
      <c r="V50" s="26">
        <f t="shared" si="5"/>
        <v>0</v>
      </c>
    </row>
    <row r="51" spans="2:22" x14ac:dyDescent="0.25">
      <c r="B51" s="1" t="s">
        <v>49</v>
      </c>
      <c r="D51" s="62">
        <v>50</v>
      </c>
      <c r="E51" s="64">
        <f>+D51/D63</f>
        <v>6.535947712418301E-2</v>
      </c>
      <c r="F51" s="99"/>
      <c r="G51" s="65">
        <f>+D51/D52</f>
        <v>0.1</v>
      </c>
      <c r="H51" s="63">
        <v>50</v>
      </c>
      <c r="I51" s="64">
        <f>+H51/H63</f>
        <v>5.9523809523809521E-2</v>
      </c>
      <c r="J51" s="99"/>
      <c r="K51" s="65">
        <f>+H51/H52</f>
        <v>9.4339622641509441E-2</v>
      </c>
      <c r="O51" s="617" t="s">
        <v>50</v>
      </c>
      <c r="P51" s="617"/>
      <c r="Q51" s="617"/>
      <c r="R51" s="100">
        <f>SUM(R48:R50)</f>
        <v>500</v>
      </c>
      <c r="S51" s="101">
        <f>SUM(S48:S50)</f>
        <v>530</v>
      </c>
      <c r="T51" s="68">
        <f>+S51-R51</f>
        <v>30</v>
      </c>
      <c r="U51" s="69">
        <f t="shared" si="6"/>
        <v>0.06</v>
      </c>
      <c r="V51" s="17">
        <f t="shared" si="5"/>
        <v>0.06</v>
      </c>
    </row>
    <row r="52" spans="2:22" x14ac:dyDescent="0.25">
      <c r="B52" s="5" t="s">
        <v>50</v>
      </c>
      <c r="C52" s="5"/>
      <c r="D52" s="100">
        <f>SUM(D48:D51)</f>
        <v>500</v>
      </c>
      <c r="E52" s="85"/>
      <c r="F52" s="102">
        <f>+D52/D63</f>
        <v>0.65359477124183007</v>
      </c>
      <c r="G52" s="102">
        <f>SUM(G49:G51)</f>
        <v>1</v>
      </c>
      <c r="H52" s="103">
        <f>SUM(H49:H51)</f>
        <v>530</v>
      </c>
      <c r="I52" s="102"/>
      <c r="J52" s="102">
        <f>+H52/H63</f>
        <v>0.63095238095238093</v>
      </c>
      <c r="K52" s="104">
        <f>SUM(K49:K51)</f>
        <v>1</v>
      </c>
      <c r="O52" s="622" t="s">
        <v>51</v>
      </c>
      <c r="P52" s="622"/>
      <c r="Q52" s="622"/>
      <c r="R52" s="105"/>
      <c r="S52" s="106"/>
      <c r="T52" s="54"/>
      <c r="U52" s="43"/>
      <c r="V52" s="26"/>
    </row>
    <row r="53" spans="2:22" x14ac:dyDescent="0.25">
      <c r="B53" s="1" t="s">
        <v>51</v>
      </c>
      <c r="D53" s="105"/>
      <c r="E53" s="76"/>
      <c r="F53" s="107"/>
      <c r="G53" s="107"/>
      <c r="H53" s="108"/>
      <c r="I53" s="107"/>
      <c r="J53" s="107"/>
      <c r="K53" s="109"/>
      <c r="O53" s="619" t="s">
        <v>52</v>
      </c>
      <c r="P53" s="619"/>
      <c r="Q53" s="619"/>
      <c r="R53" s="110">
        <v>45</v>
      </c>
      <c r="S53" s="111">
        <v>40</v>
      </c>
      <c r="T53" s="54">
        <f>+S53-R53</f>
        <v>-5</v>
      </c>
      <c r="U53" s="43">
        <f t="shared" si="6"/>
        <v>-0.1111111111111111</v>
      </c>
      <c r="V53" s="26">
        <f t="shared" si="5"/>
        <v>-0.1111111111111111</v>
      </c>
    </row>
    <row r="54" spans="2:22" x14ac:dyDescent="0.25">
      <c r="B54" s="112" t="s">
        <v>52</v>
      </c>
      <c r="D54" s="110">
        <v>45</v>
      </c>
      <c r="E54" s="113">
        <f>+D54/D$63</f>
        <v>5.8823529411764705E-2</v>
      </c>
      <c r="F54" s="114"/>
      <c r="G54" s="113"/>
      <c r="H54" s="115">
        <v>40</v>
      </c>
      <c r="I54" s="113">
        <f>+H54/H63</f>
        <v>4.7619047619047616E-2</v>
      </c>
      <c r="J54" s="114"/>
      <c r="K54" s="116"/>
      <c r="O54" s="630" t="s">
        <v>53</v>
      </c>
      <c r="P54" s="630"/>
      <c r="Q54" s="630"/>
      <c r="R54" s="117">
        <f>+R51+R53</f>
        <v>545</v>
      </c>
      <c r="S54" s="118">
        <f>+S51+S53</f>
        <v>570</v>
      </c>
      <c r="T54" s="68">
        <f>+S54-R54</f>
        <v>25</v>
      </c>
      <c r="U54" s="69">
        <f t="shared" si="6"/>
        <v>4.5871559633027525E-2</v>
      </c>
      <c r="V54" s="17">
        <f t="shared" si="5"/>
        <v>4.5871559633027525E-2</v>
      </c>
    </row>
    <row r="55" spans="2:22" x14ac:dyDescent="0.25">
      <c r="B55" s="119" t="s">
        <v>53</v>
      </c>
      <c r="C55" s="120"/>
      <c r="D55" s="117">
        <f>+D52+D54</f>
        <v>545</v>
      </c>
      <c r="E55" s="121"/>
      <c r="F55" s="122">
        <f>+D55/D63</f>
        <v>0.71241830065359479</v>
      </c>
      <c r="G55" s="121"/>
      <c r="H55" s="123">
        <f>SUM(H52:H54)</f>
        <v>570</v>
      </c>
      <c r="I55" s="124"/>
      <c r="J55" s="122">
        <f>+H55/H63</f>
        <v>0.6785714285714286</v>
      </c>
      <c r="K55" s="125"/>
      <c r="O55" s="126"/>
      <c r="R55" s="127"/>
      <c r="S55" s="128"/>
      <c r="T55" s="54"/>
      <c r="U55" s="43"/>
      <c r="V55" s="26"/>
    </row>
    <row r="56" spans="2:22" ht="15.6" x14ac:dyDescent="0.25">
      <c r="B56" s="126"/>
      <c r="D56" s="129"/>
      <c r="H56" s="129"/>
      <c r="I56" s="130"/>
      <c r="K56" s="131"/>
      <c r="O56" s="631" t="s">
        <v>54</v>
      </c>
      <c r="P56" s="631"/>
      <c r="Q56" s="631"/>
      <c r="R56" s="132"/>
      <c r="S56" s="133"/>
      <c r="T56" s="54"/>
      <c r="U56" s="43"/>
      <c r="V56" s="26"/>
    </row>
    <row r="57" spans="2:22" ht="15.6" x14ac:dyDescent="0.25">
      <c r="B57" s="134" t="s">
        <v>54</v>
      </c>
      <c r="D57" s="132"/>
      <c r="E57" s="97"/>
      <c r="F57" s="97"/>
      <c r="G57" s="97"/>
      <c r="H57" s="135"/>
      <c r="I57" s="136"/>
      <c r="J57" s="97"/>
      <c r="K57" s="133"/>
      <c r="O57" s="632" t="s">
        <v>55</v>
      </c>
      <c r="P57" s="632"/>
      <c r="Q57" s="632"/>
      <c r="R57" s="127">
        <v>30</v>
      </c>
      <c r="S57" s="128">
        <v>30</v>
      </c>
      <c r="T57" s="54">
        <f>+S57-R57</f>
        <v>0</v>
      </c>
      <c r="U57" s="43">
        <f t="shared" si="6"/>
        <v>0</v>
      </c>
      <c r="V57" s="26">
        <f t="shared" si="5"/>
        <v>0</v>
      </c>
    </row>
    <row r="58" spans="2:22" ht="35.25" customHeight="1" x14ac:dyDescent="0.25">
      <c r="B58" s="112" t="s">
        <v>55</v>
      </c>
      <c r="D58" s="127">
        <v>30</v>
      </c>
      <c r="E58" s="130">
        <f>+D58/D$63</f>
        <v>3.9215686274509803E-2</v>
      </c>
      <c r="G58" s="130">
        <f>+D58/D61</f>
        <v>0.13636363636363635</v>
      </c>
      <c r="H58" s="129">
        <v>30</v>
      </c>
      <c r="I58" s="130">
        <f>+H58/H63</f>
        <v>3.5714285714285712E-2</v>
      </c>
      <c r="K58" s="137">
        <f>+H58/H61</f>
        <v>0.1111111111111111</v>
      </c>
      <c r="O58" s="633" t="s">
        <v>56</v>
      </c>
      <c r="P58" s="633"/>
      <c r="Q58" s="633"/>
      <c r="R58" s="127">
        <v>40</v>
      </c>
      <c r="S58" s="128">
        <v>40</v>
      </c>
      <c r="T58" s="54">
        <f>+S58-R58</f>
        <v>0</v>
      </c>
      <c r="U58" s="43">
        <f t="shared" si="6"/>
        <v>0</v>
      </c>
      <c r="V58" s="26">
        <f t="shared" si="5"/>
        <v>0</v>
      </c>
    </row>
    <row r="59" spans="2:22" x14ac:dyDescent="0.25">
      <c r="B59" s="112" t="s">
        <v>56</v>
      </c>
      <c r="D59" s="127">
        <v>40</v>
      </c>
      <c r="E59" s="130">
        <f>+D59/D$63</f>
        <v>5.2287581699346407E-2</v>
      </c>
      <c r="G59" s="130">
        <f>+D59/D61</f>
        <v>0.18181818181818182</v>
      </c>
      <c r="H59" s="129">
        <v>40</v>
      </c>
      <c r="I59" s="130">
        <f>+H59/H63</f>
        <v>4.7619047619047616E-2</v>
      </c>
      <c r="K59" s="137">
        <f>+H59/H61</f>
        <v>0.14814814814814814</v>
      </c>
      <c r="O59" s="619" t="s">
        <v>57</v>
      </c>
      <c r="P59" s="619"/>
      <c r="Q59" s="619"/>
      <c r="R59" s="110">
        <v>150</v>
      </c>
      <c r="S59" s="111">
        <v>200</v>
      </c>
      <c r="T59" s="54">
        <f>+S59-R59</f>
        <v>50</v>
      </c>
      <c r="U59" s="43">
        <f t="shared" si="6"/>
        <v>0.33333333333333331</v>
      </c>
      <c r="V59" s="26">
        <f t="shared" si="5"/>
        <v>0.33333333333333331</v>
      </c>
    </row>
    <row r="60" spans="2:22" x14ac:dyDescent="0.25">
      <c r="B60" s="112" t="s">
        <v>57</v>
      </c>
      <c r="D60" s="110">
        <v>150</v>
      </c>
      <c r="E60" s="113">
        <f>+D60/D63</f>
        <v>0.19607843137254902</v>
      </c>
      <c r="F60" s="130"/>
      <c r="G60" s="113">
        <f>+D60/D61</f>
        <v>0.68181818181818177</v>
      </c>
      <c r="H60" s="115">
        <v>200</v>
      </c>
      <c r="I60" s="113">
        <f>+H60/H63</f>
        <v>0.23809523809523808</v>
      </c>
      <c r="J60" s="130"/>
      <c r="K60" s="116">
        <f>+H60/H61</f>
        <v>0.7407407407407407</v>
      </c>
      <c r="O60" s="634" t="s">
        <v>58</v>
      </c>
      <c r="P60" s="634"/>
      <c r="Q60" s="634"/>
      <c r="R60" s="139">
        <f>SUM(R57:R59)</f>
        <v>220</v>
      </c>
      <c r="S60" s="416">
        <f>SUM(S57:S59)</f>
        <v>270</v>
      </c>
      <c r="T60" s="68">
        <f>+S60-R60</f>
        <v>50</v>
      </c>
      <c r="U60" s="69">
        <f t="shared" si="6"/>
        <v>0.22727272727272727</v>
      </c>
      <c r="V60" s="17">
        <f t="shared" si="5"/>
        <v>0.22727272727272727</v>
      </c>
    </row>
    <row r="61" spans="2:22" x14ac:dyDescent="0.25">
      <c r="B61" s="138" t="s">
        <v>58</v>
      </c>
      <c r="C61" s="140"/>
      <c r="D61" s="139">
        <f>SUM(D58:D60)</f>
        <v>220</v>
      </c>
      <c r="E61" s="141"/>
      <c r="F61" s="141">
        <f>+D61/D63</f>
        <v>0.28758169934640521</v>
      </c>
      <c r="G61" s="142">
        <f>SUM(G58:G60)</f>
        <v>1</v>
      </c>
      <c r="H61" s="139">
        <f>SUM(H58:H60)</f>
        <v>270</v>
      </c>
      <c r="I61" s="141"/>
      <c r="J61" s="141">
        <f>+H61/H63</f>
        <v>0.32142857142857145</v>
      </c>
      <c r="K61" s="142">
        <f>SUM(K58:K60)</f>
        <v>1</v>
      </c>
      <c r="O61" s="635"/>
      <c r="P61" s="635"/>
      <c r="Q61" s="635"/>
      <c r="R61" s="143"/>
      <c r="S61" s="144"/>
      <c r="T61" s="54"/>
      <c r="U61" s="43"/>
      <c r="V61" s="26"/>
    </row>
    <row r="62" spans="2:22" x14ac:dyDescent="0.25">
      <c r="B62" s="126"/>
      <c r="C62" s="5"/>
      <c r="D62" s="145"/>
      <c r="E62" s="146"/>
      <c r="F62" s="146"/>
      <c r="G62" s="146"/>
      <c r="H62" s="145"/>
      <c r="I62" s="146"/>
      <c r="J62" s="146"/>
      <c r="K62" s="146"/>
      <c r="O62" s="629" t="s">
        <v>59</v>
      </c>
      <c r="P62" s="629"/>
      <c r="Q62" s="629"/>
      <c r="R62" s="147">
        <f>+R54+R60</f>
        <v>765</v>
      </c>
      <c r="S62" s="148">
        <f>+S54+S60</f>
        <v>840</v>
      </c>
      <c r="T62" s="68">
        <f>+S62-R62</f>
        <v>75</v>
      </c>
      <c r="U62" s="69">
        <f t="shared" si="6"/>
        <v>9.8039215686274508E-2</v>
      </c>
      <c r="V62" s="17">
        <f t="shared" si="5"/>
        <v>9.8039215686274508E-2</v>
      </c>
    </row>
    <row r="63" spans="2:22" ht="14.4" thickBot="1" x14ac:dyDescent="0.3">
      <c r="B63" s="149" t="s">
        <v>59</v>
      </c>
      <c r="C63" s="46"/>
      <c r="D63" s="150">
        <f>+D55+D61</f>
        <v>765</v>
      </c>
      <c r="E63" s="151">
        <f>SUM(E48:E60)</f>
        <v>1</v>
      </c>
      <c r="F63" s="152">
        <f>+F55+F61</f>
        <v>1</v>
      </c>
      <c r="G63" s="153"/>
      <c r="H63" s="150">
        <f>+H55+H61</f>
        <v>840</v>
      </c>
      <c r="I63" s="151">
        <f>SUM(I48:I60)</f>
        <v>1</v>
      </c>
      <c r="J63" s="152">
        <f>+J55+J61</f>
        <v>1</v>
      </c>
      <c r="K63" s="153"/>
    </row>
    <row r="64" spans="2:22" ht="14.4" thickTop="1" x14ac:dyDescent="0.25"/>
    <row r="69" spans="2:18" ht="13.8" customHeight="1" x14ac:dyDescent="0.25">
      <c r="B69" s="598" t="s">
        <v>195</v>
      </c>
      <c r="C69" s="598"/>
      <c r="D69" s="598"/>
      <c r="E69" s="598"/>
      <c r="F69" s="598"/>
      <c r="G69" s="598"/>
      <c r="M69" s="598" t="s">
        <v>190</v>
      </c>
      <c r="N69" s="598"/>
      <c r="O69" s="598"/>
      <c r="P69" s="598"/>
      <c r="Q69" s="598"/>
      <c r="R69" s="598"/>
    </row>
    <row r="70" spans="2:18" x14ac:dyDescent="0.25">
      <c r="B70" s="598"/>
      <c r="C70" s="598"/>
      <c r="D70" s="598"/>
      <c r="E70" s="598"/>
      <c r="F70" s="598"/>
      <c r="G70" s="598"/>
      <c r="M70" s="598"/>
      <c r="N70" s="598"/>
      <c r="O70" s="598"/>
      <c r="P70" s="598"/>
      <c r="Q70" s="598"/>
      <c r="R70" s="598"/>
    </row>
    <row r="71" spans="2:18" x14ac:dyDescent="0.25">
      <c r="B71" s="598"/>
      <c r="C71" s="598"/>
      <c r="D71" s="598"/>
      <c r="E71" s="598"/>
      <c r="F71" s="598"/>
      <c r="G71" s="598"/>
      <c r="M71" s="598"/>
      <c r="N71" s="598"/>
      <c r="O71" s="598"/>
      <c r="P71" s="598"/>
      <c r="Q71" s="598"/>
      <c r="R71" s="598"/>
    </row>
    <row r="72" spans="2:18" x14ac:dyDescent="0.25">
      <c r="B72" s="598"/>
      <c r="C72" s="598"/>
      <c r="D72" s="598"/>
      <c r="E72" s="598"/>
      <c r="F72" s="598"/>
      <c r="G72" s="598"/>
      <c r="M72" s="598"/>
      <c r="N72" s="598"/>
      <c r="O72" s="598"/>
      <c r="P72" s="598"/>
      <c r="Q72" s="598"/>
      <c r="R72" s="598"/>
    </row>
    <row r="73" spans="2:18" x14ac:dyDescent="0.25">
      <c r="B73" s="154"/>
      <c r="C73" s="154"/>
      <c r="D73" s="154"/>
      <c r="E73" s="154"/>
      <c r="F73" s="154"/>
      <c r="G73" s="154"/>
      <c r="M73" s="154"/>
      <c r="N73" s="154"/>
      <c r="O73" s="154"/>
      <c r="P73" s="154"/>
      <c r="Q73" s="154"/>
      <c r="R73" s="154"/>
    </row>
    <row r="74" spans="2:18" ht="17.399999999999999" x14ac:dyDescent="0.3">
      <c r="B74" s="599" t="s">
        <v>193</v>
      </c>
      <c r="C74" s="599"/>
      <c r="D74" s="599"/>
      <c r="E74" s="599"/>
      <c r="F74" s="599"/>
      <c r="G74" s="599"/>
      <c r="M74" s="599" t="s">
        <v>191</v>
      </c>
      <c r="N74" s="599"/>
      <c r="O74" s="599"/>
      <c r="P74" s="599"/>
      <c r="Q74" s="599"/>
      <c r="R74" s="599"/>
    </row>
    <row r="75" spans="2:18" ht="13.8" customHeight="1" x14ac:dyDescent="0.25">
      <c r="B75" s="600" t="s">
        <v>247</v>
      </c>
      <c r="C75" s="601"/>
      <c r="D75" s="601"/>
      <c r="E75" s="601"/>
      <c r="F75" s="601"/>
      <c r="G75" s="602"/>
      <c r="M75" s="600" t="s">
        <v>253</v>
      </c>
      <c r="N75" s="601"/>
      <c r="O75" s="601"/>
      <c r="P75" s="601"/>
      <c r="Q75" s="601"/>
      <c r="R75" s="602"/>
    </row>
    <row r="76" spans="2:18" x14ac:dyDescent="0.25">
      <c r="B76" s="603"/>
      <c r="C76" s="604"/>
      <c r="D76" s="604"/>
      <c r="E76" s="604"/>
      <c r="F76" s="604"/>
      <c r="G76" s="605"/>
      <c r="M76" s="603"/>
      <c r="N76" s="604"/>
      <c r="O76" s="604"/>
      <c r="P76" s="604"/>
      <c r="Q76" s="604"/>
      <c r="R76" s="605"/>
    </row>
    <row r="77" spans="2:18" ht="13.8" customHeight="1" x14ac:dyDescent="0.25">
      <c r="B77" s="600" t="s">
        <v>248</v>
      </c>
      <c r="C77" s="601"/>
      <c r="D77" s="601"/>
      <c r="E77" s="601"/>
      <c r="F77" s="601"/>
      <c r="G77" s="602"/>
      <c r="M77" s="600" t="s">
        <v>254</v>
      </c>
      <c r="N77" s="601"/>
      <c r="O77" s="601"/>
      <c r="P77" s="601"/>
      <c r="Q77" s="601"/>
      <c r="R77" s="602"/>
    </row>
    <row r="78" spans="2:18" x14ac:dyDescent="0.25">
      <c r="B78" s="603"/>
      <c r="C78" s="604"/>
      <c r="D78" s="604"/>
      <c r="E78" s="604"/>
      <c r="F78" s="604"/>
      <c r="G78" s="605"/>
      <c r="M78" s="603"/>
      <c r="N78" s="604"/>
      <c r="O78" s="604"/>
      <c r="P78" s="604"/>
      <c r="Q78" s="604"/>
      <c r="R78" s="605"/>
    </row>
    <row r="79" spans="2:18" ht="13.8" customHeight="1" x14ac:dyDescent="0.25">
      <c r="B79" s="600" t="s">
        <v>249</v>
      </c>
      <c r="C79" s="601"/>
      <c r="D79" s="601"/>
      <c r="E79" s="601"/>
      <c r="F79" s="601"/>
      <c r="G79" s="602"/>
      <c r="M79" s="597" t="s">
        <v>255</v>
      </c>
      <c r="N79" s="597"/>
      <c r="O79" s="597"/>
      <c r="P79" s="597"/>
      <c r="Q79" s="597"/>
      <c r="R79" s="597"/>
    </row>
    <row r="80" spans="2:18" x14ac:dyDescent="0.25">
      <c r="B80" s="603"/>
      <c r="C80" s="604"/>
      <c r="D80" s="604"/>
      <c r="E80" s="604"/>
      <c r="F80" s="604"/>
      <c r="G80" s="605"/>
      <c r="M80" s="597"/>
      <c r="N80" s="597"/>
      <c r="O80" s="597"/>
      <c r="P80" s="597"/>
      <c r="Q80" s="597"/>
      <c r="R80" s="597"/>
    </row>
    <row r="81" spans="2:18" x14ac:dyDescent="0.25">
      <c r="B81" s="154"/>
      <c r="C81" s="154"/>
      <c r="D81" s="154"/>
      <c r="E81" s="154"/>
      <c r="F81" s="154"/>
      <c r="G81" s="154"/>
      <c r="M81" s="154"/>
      <c r="N81" s="154"/>
      <c r="O81" s="154"/>
      <c r="P81" s="154"/>
      <c r="Q81" s="154"/>
      <c r="R81" s="154"/>
    </row>
    <row r="82" spans="2:18" x14ac:dyDescent="0.25">
      <c r="B82" s="154"/>
      <c r="C82" s="154"/>
      <c r="D82" s="154"/>
      <c r="E82" s="154"/>
      <c r="F82" s="154"/>
      <c r="G82" s="154"/>
      <c r="M82" s="154"/>
      <c r="N82" s="154"/>
      <c r="O82" s="154"/>
      <c r="P82" s="154"/>
      <c r="Q82" s="154"/>
      <c r="R82" s="154"/>
    </row>
    <row r="83" spans="2:18" x14ac:dyDescent="0.25">
      <c r="B83" s="154"/>
      <c r="C83" s="154"/>
      <c r="D83" s="154"/>
      <c r="E83" s="154"/>
      <c r="F83" s="154"/>
      <c r="G83" s="154"/>
      <c r="M83" s="154"/>
      <c r="N83" s="154"/>
      <c r="O83" s="154"/>
      <c r="P83" s="154"/>
      <c r="Q83" s="154"/>
      <c r="R83" s="154"/>
    </row>
    <row r="84" spans="2:18" ht="17.399999999999999" x14ac:dyDescent="0.3">
      <c r="B84" s="599" t="s">
        <v>194</v>
      </c>
      <c r="C84" s="599"/>
      <c r="D84" s="599"/>
      <c r="E84" s="599"/>
      <c r="F84" s="599"/>
      <c r="G84" s="599"/>
      <c r="M84" s="599" t="s">
        <v>192</v>
      </c>
      <c r="N84" s="599"/>
      <c r="O84" s="599"/>
      <c r="P84" s="599"/>
      <c r="Q84" s="599"/>
      <c r="R84" s="599"/>
    </row>
    <row r="85" spans="2:18" ht="34.799999999999997" customHeight="1" x14ac:dyDescent="0.25">
      <c r="B85" s="600" t="s">
        <v>250</v>
      </c>
      <c r="C85" s="601"/>
      <c r="D85" s="601"/>
      <c r="E85" s="601"/>
      <c r="F85" s="601"/>
      <c r="G85" s="602"/>
      <c r="M85" s="606" t="s">
        <v>256</v>
      </c>
      <c r="N85" s="606"/>
      <c r="O85" s="606"/>
      <c r="P85" s="606"/>
      <c r="Q85" s="606"/>
      <c r="R85" s="606"/>
    </row>
    <row r="86" spans="2:18" ht="34.799999999999997" customHeight="1" x14ac:dyDescent="0.25">
      <c r="B86" s="603"/>
      <c r="C86" s="604"/>
      <c r="D86" s="604"/>
      <c r="E86" s="604"/>
      <c r="F86" s="604"/>
      <c r="G86" s="605"/>
      <c r="M86" s="597" t="s">
        <v>257</v>
      </c>
      <c r="N86" s="597"/>
      <c r="O86" s="597"/>
      <c r="P86" s="597"/>
      <c r="Q86" s="597"/>
      <c r="R86" s="597"/>
    </row>
    <row r="87" spans="2:18" ht="28.8" customHeight="1" x14ac:dyDescent="0.25">
      <c r="B87" s="597" t="s">
        <v>251</v>
      </c>
      <c r="C87" s="597"/>
      <c r="D87" s="597"/>
      <c r="E87" s="597"/>
      <c r="F87" s="597"/>
      <c r="G87" s="597"/>
      <c r="M87" s="597" t="s">
        <v>258</v>
      </c>
      <c r="N87" s="597"/>
      <c r="O87" s="597"/>
      <c r="P87" s="597"/>
      <c r="Q87" s="597"/>
      <c r="R87" s="597"/>
    </row>
    <row r="88" spans="2:18" x14ac:dyDescent="0.25">
      <c r="B88" s="597" t="s">
        <v>252</v>
      </c>
      <c r="C88" s="597"/>
      <c r="D88" s="597"/>
      <c r="E88" s="597"/>
      <c r="F88" s="597"/>
      <c r="G88" s="597"/>
      <c r="M88" s="597"/>
      <c r="N88" s="597"/>
      <c r="O88" s="597"/>
      <c r="P88" s="597"/>
      <c r="Q88" s="597"/>
      <c r="R88" s="597"/>
    </row>
    <row r="89" spans="2:18" x14ac:dyDescent="0.25">
      <c r="B89" s="597"/>
      <c r="C89" s="597"/>
      <c r="D89" s="597"/>
      <c r="E89" s="597"/>
      <c r="F89" s="597"/>
      <c r="G89" s="597"/>
      <c r="M89" s="597"/>
      <c r="N89" s="597"/>
      <c r="O89" s="597"/>
      <c r="P89" s="597"/>
      <c r="Q89" s="597"/>
      <c r="R89" s="597"/>
    </row>
    <row r="90" spans="2:18" x14ac:dyDescent="0.25">
      <c r="B90" s="597"/>
      <c r="C90" s="597"/>
      <c r="D90" s="597"/>
      <c r="E90" s="597"/>
      <c r="F90" s="597"/>
      <c r="G90" s="597"/>
      <c r="M90" s="597"/>
      <c r="N90" s="597"/>
      <c r="O90" s="597"/>
      <c r="P90" s="597"/>
      <c r="Q90" s="597"/>
      <c r="R90" s="597"/>
    </row>
  </sheetData>
  <mergeCells count="86">
    <mergeCell ref="O62:Q62"/>
    <mergeCell ref="O50:Q50"/>
    <mergeCell ref="O51:Q51"/>
    <mergeCell ref="O52:Q52"/>
    <mergeCell ref="O53:Q53"/>
    <mergeCell ref="O54:Q54"/>
    <mergeCell ref="O56:Q56"/>
    <mergeCell ref="O57:Q57"/>
    <mergeCell ref="O58:Q58"/>
    <mergeCell ref="O59:Q59"/>
    <mergeCell ref="O60:Q60"/>
    <mergeCell ref="O61:Q61"/>
    <mergeCell ref="O49:Q49"/>
    <mergeCell ref="O37:Q37"/>
    <mergeCell ref="O38:Q38"/>
    <mergeCell ref="O39:Q39"/>
    <mergeCell ref="O40:Q40"/>
    <mergeCell ref="O41:Q41"/>
    <mergeCell ref="O42:Q42"/>
    <mergeCell ref="O43:Q43"/>
    <mergeCell ref="O45:Q45"/>
    <mergeCell ref="O46:Q46"/>
    <mergeCell ref="O47:Q47"/>
    <mergeCell ref="O48:Q48"/>
    <mergeCell ref="O36:Q36"/>
    <mergeCell ref="O27:V27"/>
    <mergeCell ref="D28:K28"/>
    <mergeCell ref="O28:V28"/>
    <mergeCell ref="D29:K29"/>
    <mergeCell ref="O29:V29"/>
    <mergeCell ref="D30:K30"/>
    <mergeCell ref="O30:V30"/>
    <mergeCell ref="D27:K27"/>
    <mergeCell ref="M27:N28"/>
    <mergeCell ref="D32:G32"/>
    <mergeCell ref="H32:K32"/>
    <mergeCell ref="O33:Q33"/>
    <mergeCell ref="O34:Q34"/>
    <mergeCell ref="O35:Q35"/>
    <mergeCell ref="J20:M20"/>
    <mergeCell ref="J21:M21"/>
    <mergeCell ref="J22:M22"/>
    <mergeCell ref="J23:M23"/>
    <mergeCell ref="J24:M24"/>
    <mergeCell ref="J19:M19"/>
    <mergeCell ref="B10:H10"/>
    <mergeCell ref="J10:P10"/>
    <mergeCell ref="C12:D12"/>
    <mergeCell ref="E12:F12"/>
    <mergeCell ref="J12:M12"/>
    <mergeCell ref="J13:M13"/>
    <mergeCell ref="J14:M14"/>
    <mergeCell ref="J15:M15"/>
    <mergeCell ref="J16:M16"/>
    <mergeCell ref="J17:M17"/>
    <mergeCell ref="J18:M18"/>
    <mergeCell ref="B3:Q3"/>
    <mergeCell ref="B5:P5"/>
    <mergeCell ref="B8:H8"/>
    <mergeCell ref="J8:P8"/>
    <mergeCell ref="B9:H9"/>
    <mergeCell ref="J9:P9"/>
    <mergeCell ref="B84:G84"/>
    <mergeCell ref="B87:G87"/>
    <mergeCell ref="B85:G86"/>
    <mergeCell ref="B69:G72"/>
    <mergeCell ref="B74:G74"/>
    <mergeCell ref="B75:G76"/>
    <mergeCell ref="B77:G78"/>
    <mergeCell ref="B79:G80"/>
    <mergeCell ref="B88:G88"/>
    <mergeCell ref="B89:G89"/>
    <mergeCell ref="B90:G90"/>
    <mergeCell ref="M69:R72"/>
    <mergeCell ref="M74:R74"/>
    <mergeCell ref="M75:R76"/>
    <mergeCell ref="M77:R78"/>
    <mergeCell ref="M79:R79"/>
    <mergeCell ref="M80:R80"/>
    <mergeCell ref="M84:R84"/>
    <mergeCell ref="M85:R85"/>
    <mergeCell ref="M86:R86"/>
    <mergeCell ref="M87:R87"/>
    <mergeCell ref="M88:R88"/>
    <mergeCell ref="M89:R89"/>
    <mergeCell ref="M90:R9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95D0-1FA1-4B28-9951-F24D6D3778C3}">
  <dimension ref="B2:P97"/>
  <sheetViews>
    <sheetView topLeftCell="A79" workbookViewId="0">
      <selection activeCell="N77" sqref="N77"/>
    </sheetView>
  </sheetViews>
  <sheetFormatPr baseColWidth="10" defaultColWidth="11.44140625" defaultRowHeight="13.8" x14ac:dyDescent="0.25"/>
  <cols>
    <col min="1" max="1" width="11.44140625" style="154"/>
    <col min="2" max="2" width="7.5546875" style="154" customWidth="1"/>
    <col min="3" max="3" width="36.109375" style="154" bestFit="1" customWidth="1"/>
    <col min="4" max="4" width="9.88671875" style="154" customWidth="1"/>
    <col min="5" max="5" width="12.33203125" style="154" customWidth="1"/>
    <col min="6" max="6" width="12" style="154" customWidth="1"/>
    <col min="7" max="7" width="12.6640625" style="154" customWidth="1"/>
    <col min="8" max="11" width="11.44140625" style="154"/>
    <col min="12" max="12" width="13.33203125" style="154" customWidth="1"/>
    <col min="13" max="14" width="12.6640625" style="154" customWidth="1"/>
    <col min="15" max="16384" width="11.44140625" style="154"/>
  </cols>
  <sheetData>
    <row r="2" spans="2:14" ht="17.399999999999999" customHeight="1" x14ac:dyDescent="0.35">
      <c r="C2" s="643" t="s">
        <v>135</v>
      </c>
      <c r="D2" s="643"/>
      <c r="E2" s="643"/>
      <c r="F2" s="643"/>
      <c r="G2" s="643"/>
      <c r="H2" s="643"/>
      <c r="I2" s="643"/>
      <c r="J2" s="643"/>
      <c r="K2" s="643"/>
      <c r="L2" s="643"/>
      <c r="M2" s="643"/>
    </row>
    <row r="3" spans="2:14" ht="17.399999999999999" customHeight="1" x14ac:dyDescent="0.3">
      <c r="C3" s="155"/>
      <c r="D3" s="155"/>
      <c r="E3" s="155"/>
      <c r="F3" s="155"/>
      <c r="G3" s="155"/>
      <c r="H3" s="155"/>
      <c r="I3" s="155"/>
      <c r="J3" s="155"/>
      <c r="K3" s="155"/>
      <c r="L3" s="155"/>
      <c r="M3" s="155"/>
    </row>
    <row r="4" spans="2:14" ht="14.25" customHeight="1" x14ac:dyDescent="0.25">
      <c r="B4" s="644"/>
      <c r="C4" s="645" t="s">
        <v>60</v>
      </c>
      <c r="D4" s="645"/>
      <c r="E4" s="645"/>
      <c r="F4" s="645"/>
      <c r="G4" s="645"/>
      <c r="H4" s="645"/>
      <c r="I4" s="645"/>
      <c r="J4" s="645"/>
      <c r="K4" s="645"/>
      <c r="L4" s="645"/>
      <c r="M4" s="645"/>
      <c r="N4" s="645"/>
    </row>
    <row r="5" spans="2:14" x14ac:dyDescent="0.25">
      <c r="B5" s="644"/>
      <c r="C5" s="645"/>
      <c r="D5" s="645"/>
      <c r="E5" s="645"/>
      <c r="F5" s="645"/>
      <c r="G5" s="645"/>
      <c r="H5" s="645"/>
      <c r="I5" s="645"/>
      <c r="J5" s="645"/>
      <c r="K5" s="645"/>
      <c r="L5" s="645"/>
      <c r="M5" s="645"/>
      <c r="N5" s="645"/>
    </row>
    <row r="6" spans="2:14" x14ac:dyDescent="0.25">
      <c r="B6" s="156"/>
      <c r="C6" s="645"/>
      <c r="D6" s="645"/>
      <c r="E6" s="645"/>
      <c r="F6" s="645"/>
      <c r="G6" s="645"/>
      <c r="H6" s="645"/>
      <c r="I6" s="645"/>
      <c r="J6" s="645"/>
      <c r="K6" s="645"/>
      <c r="L6" s="645"/>
      <c r="M6" s="645"/>
      <c r="N6" s="645"/>
    </row>
    <row r="7" spans="2:14" x14ac:dyDescent="0.25">
      <c r="C7" s="157"/>
      <c r="D7" s="157"/>
      <c r="E7" s="157"/>
      <c r="F7" s="157"/>
      <c r="G7" s="157"/>
      <c r="H7" s="157"/>
      <c r="I7" s="157"/>
      <c r="J7" s="157"/>
      <c r="K7" s="157"/>
      <c r="L7" s="157"/>
      <c r="M7" s="157"/>
    </row>
    <row r="8" spans="2:14" ht="14.25" customHeight="1" x14ac:dyDescent="0.25">
      <c r="B8" s="646" t="s">
        <v>61</v>
      </c>
      <c r="C8" s="647" t="s">
        <v>62</v>
      </c>
      <c r="D8" s="647"/>
      <c r="E8" s="647"/>
      <c r="F8" s="647"/>
      <c r="G8" s="647"/>
      <c r="H8" s="647"/>
      <c r="I8" s="647"/>
      <c r="J8" s="647"/>
      <c r="K8" s="647"/>
      <c r="L8" s="647"/>
      <c r="M8" s="647"/>
      <c r="N8" s="647"/>
    </row>
    <row r="9" spans="2:14" x14ac:dyDescent="0.25">
      <c r="B9" s="646"/>
      <c r="C9" s="647"/>
      <c r="D9" s="647"/>
      <c r="E9" s="647"/>
      <c r="F9" s="647"/>
      <c r="G9" s="647"/>
      <c r="H9" s="647"/>
      <c r="I9" s="647"/>
      <c r="J9" s="647"/>
      <c r="K9" s="647"/>
      <c r="L9" s="647"/>
      <c r="M9" s="647"/>
      <c r="N9" s="647"/>
    </row>
    <row r="10" spans="2:14" x14ac:dyDescent="0.25">
      <c r="B10" s="160"/>
      <c r="C10" s="161"/>
      <c r="D10" s="162"/>
      <c r="E10" s="162"/>
      <c r="F10" s="162"/>
      <c r="G10" s="162"/>
      <c r="H10" s="162"/>
      <c r="I10" s="162"/>
      <c r="J10" s="162"/>
      <c r="K10" s="162"/>
      <c r="L10" s="162"/>
      <c r="M10" s="162"/>
    </row>
    <row r="11" spans="2:14" ht="14.25" customHeight="1" x14ac:dyDescent="0.25">
      <c r="B11" s="646" t="s">
        <v>63</v>
      </c>
      <c r="C11" s="647" t="s">
        <v>64</v>
      </c>
      <c r="D11" s="647"/>
      <c r="E11" s="647"/>
      <c r="F11" s="647"/>
      <c r="G11" s="647"/>
      <c r="H11" s="647"/>
      <c r="I11" s="647"/>
      <c r="J11" s="647"/>
      <c r="K11" s="647"/>
      <c r="L11" s="647"/>
      <c r="M11" s="647"/>
      <c r="N11" s="647"/>
    </row>
    <row r="12" spans="2:14" x14ac:dyDescent="0.25">
      <c r="B12" s="646"/>
      <c r="C12" s="647"/>
      <c r="D12" s="647"/>
      <c r="E12" s="647"/>
      <c r="F12" s="647"/>
      <c r="G12" s="647"/>
      <c r="H12" s="647"/>
      <c r="I12" s="647"/>
      <c r="J12" s="647"/>
      <c r="K12" s="647"/>
      <c r="L12" s="647"/>
      <c r="M12" s="647"/>
      <c r="N12" s="647"/>
    </row>
    <row r="13" spans="2:14" x14ac:dyDescent="0.25">
      <c r="B13" s="158"/>
      <c r="C13" s="159"/>
      <c r="D13" s="159"/>
      <c r="E13" s="159"/>
      <c r="F13" s="159"/>
      <c r="G13" s="159"/>
      <c r="H13" s="159"/>
      <c r="I13" s="159"/>
      <c r="J13" s="159"/>
      <c r="K13" s="159"/>
      <c r="L13" s="159"/>
      <c r="M13" s="159"/>
    </row>
    <row r="14" spans="2:14" ht="14.25" customHeight="1" x14ac:dyDescent="0.25">
      <c r="B14" s="646" t="s">
        <v>65</v>
      </c>
      <c r="C14" s="647" t="s">
        <v>66</v>
      </c>
      <c r="D14" s="647"/>
      <c r="E14" s="647"/>
      <c r="F14" s="647"/>
      <c r="G14" s="647"/>
      <c r="H14" s="647"/>
      <c r="I14" s="647"/>
      <c r="J14" s="647"/>
      <c r="K14" s="647"/>
      <c r="L14" s="647"/>
      <c r="M14" s="647"/>
      <c r="N14" s="647"/>
    </row>
    <row r="15" spans="2:14" x14ac:dyDescent="0.25">
      <c r="B15" s="646"/>
      <c r="C15" s="647"/>
      <c r="D15" s="647"/>
      <c r="E15" s="647"/>
      <c r="F15" s="647"/>
      <c r="G15" s="647"/>
      <c r="H15" s="647"/>
      <c r="I15" s="647"/>
      <c r="J15" s="647"/>
      <c r="K15" s="647"/>
      <c r="L15" s="647"/>
      <c r="M15" s="647"/>
      <c r="N15" s="647"/>
    </row>
    <row r="16" spans="2:14" x14ac:dyDescent="0.25">
      <c r="B16" s="163"/>
      <c r="C16" s="164"/>
      <c r="D16" s="164"/>
      <c r="E16" s="164"/>
      <c r="F16" s="164"/>
      <c r="G16" s="164"/>
      <c r="H16" s="164"/>
      <c r="I16" s="164"/>
      <c r="J16" s="164"/>
      <c r="K16" s="164"/>
      <c r="L16" s="164"/>
      <c r="M16" s="164"/>
    </row>
    <row r="17" spans="3:14" ht="14.4" thickBot="1" x14ac:dyDescent="0.3"/>
    <row r="18" spans="3:14" ht="15.6" x14ac:dyDescent="0.3">
      <c r="C18" s="165" t="s">
        <v>67</v>
      </c>
      <c r="D18" s="166"/>
      <c r="E18" s="166"/>
      <c r="F18" s="166"/>
      <c r="G18" s="167"/>
      <c r="I18" s="165" t="s">
        <v>68</v>
      </c>
      <c r="J18" s="166"/>
      <c r="K18" s="166"/>
      <c r="L18" s="166"/>
      <c r="M18" s="166"/>
      <c r="N18" s="167"/>
    </row>
    <row r="19" spans="3:14" ht="15.6" x14ac:dyDescent="0.3">
      <c r="C19" s="168" t="s">
        <v>69</v>
      </c>
      <c r="G19" s="169"/>
      <c r="I19" s="168" t="s">
        <v>69</v>
      </c>
      <c r="N19" s="169"/>
    </row>
    <row r="20" spans="3:14" x14ac:dyDescent="0.25">
      <c r="C20" s="170" t="s">
        <v>70</v>
      </c>
      <c r="E20" s="160" t="s">
        <v>71</v>
      </c>
      <c r="F20" s="160" t="s">
        <v>72</v>
      </c>
      <c r="G20" s="171" t="s">
        <v>73</v>
      </c>
      <c r="I20" s="170"/>
      <c r="L20" s="160" t="s">
        <v>71</v>
      </c>
      <c r="M20" s="160" t="s">
        <v>72</v>
      </c>
      <c r="N20" s="171" t="s">
        <v>73</v>
      </c>
    </row>
    <row r="21" spans="3:14" x14ac:dyDescent="0.25">
      <c r="C21" s="172" t="s">
        <v>74</v>
      </c>
      <c r="D21" s="173"/>
      <c r="E21" s="173"/>
      <c r="F21" s="173"/>
      <c r="G21" s="174"/>
      <c r="I21" s="648" t="s">
        <v>15</v>
      </c>
      <c r="J21" s="649"/>
      <c r="K21" s="649"/>
      <c r="L21" s="175">
        <v>3000</v>
      </c>
      <c r="M21" s="175">
        <v>3000</v>
      </c>
      <c r="N21" s="176">
        <v>3000</v>
      </c>
    </row>
    <row r="22" spans="3:14" x14ac:dyDescent="0.25">
      <c r="C22" s="170" t="s">
        <v>75</v>
      </c>
      <c r="G22" s="169"/>
      <c r="I22" s="641" t="s">
        <v>16</v>
      </c>
      <c r="J22" s="642"/>
      <c r="K22" s="642"/>
      <c r="L22" s="177">
        <v>-1650</v>
      </c>
      <c r="M22" s="177">
        <v>-1650</v>
      </c>
      <c r="N22" s="178">
        <v>-1650</v>
      </c>
    </row>
    <row r="23" spans="3:14" x14ac:dyDescent="0.25">
      <c r="C23" s="170" t="s">
        <v>76</v>
      </c>
      <c r="E23" s="154">
        <v>200</v>
      </c>
      <c r="F23" s="154">
        <v>150</v>
      </c>
      <c r="G23" s="169">
        <v>100</v>
      </c>
      <c r="I23" s="652" t="s">
        <v>77</v>
      </c>
      <c r="J23" s="653"/>
      <c r="K23" s="653"/>
      <c r="L23" s="179">
        <f>SUM(L21:L22)</f>
        <v>1350</v>
      </c>
      <c r="M23" s="179">
        <f t="shared" ref="M23:N23" si="0">SUM(M21:M22)</f>
        <v>1350</v>
      </c>
      <c r="N23" s="180">
        <f t="shared" si="0"/>
        <v>1350</v>
      </c>
    </row>
    <row r="24" spans="3:14" x14ac:dyDescent="0.25">
      <c r="C24" s="170" t="s">
        <v>36</v>
      </c>
      <c r="E24" s="154">
        <v>500</v>
      </c>
      <c r="F24" s="154">
        <v>350</v>
      </c>
      <c r="G24" s="169">
        <v>300</v>
      </c>
      <c r="I24" s="641" t="s">
        <v>78</v>
      </c>
      <c r="J24" s="642"/>
      <c r="K24" s="642"/>
      <c r="L24" s="177">
        <v>-230</v>
      </c>
      <c r="M24" s="177">
        <v>-230</v>
      </c>
      <c r="N24" s="178">
        <v>-230</v>
      </c>
    </row>
    <row r="25" spans="3:14" x14ac:dyDescent="0.25">
      <c r="C25" s="170" t="s">
        <v>37</v>
      </c>
      <c r="E25" s="154">
        <v>700</v>
      </c>
      <c r="F25" s="154">
        <v>500</v>
      </c>
      <c r="G25" s="169">
        <v>400</v>
      </c>
      <c r="I25" s="654" t="s">
        <v>79</v>
      </c>
      <c r="J25" s="655"/>
      <c r="K25" s="655"/>
      <c r="L25" s="181">
        <v>-300</v>
      </c>
      <c r="M25" s="181">
        <v>-300</v>
      </c>
      <c r="N25" s="182">
        <v>-300</v>
      </c>
    </row>
    <row r="26" spans="3:14" x14ac:dyDescent="0.25">
      <c r="C26" s="183" t="s">
        <v>80</v>
      </c>
      <c r="D26" s="184"/>
      <c r="E26" s="184">
        <f>SUM(E23:E25)</f>
        <v>1400</v>
      </c>
      <c r="F26" s="184">
        <f>SUM(F23:F25)</f>
        <v>1000</v>
      </c>
      <c r="G26" s="185">
        <f>SUM(G23:G25)</f>
        <v>800</v>
      </c>
      <c r="I26" s="641" t="s">
        <v>81</v>
      </c>
      <c r="J26" s="642"/>
      <c r="K26" s="642"/>
      <c r="L26" s="177">
        <v>-310</v>
      </c>
      <c r="M26" s="177">
        <v>-310</v>
      </c>
      <c r="N26" s="178">
        <v>-310</v>
      </c>
    </row>
    <row r="27" spans="3:14" x14ac:dyDescent="0.25">
      <c r="C27" s="170" t="s">
        <v>39</v>
      </c>
      <c r="G27" s="169"/>
      <c r="I27" s="656" t="s">
        <v>82</v>
      </c>
      <c r="J27" s="657"/>
      <c r="K27" s="657"/>
      <c r="L27" s="658">
        <f>SUM(L23:L26)</f>
        <v>510</v>
      </c>
      <c r="M27" s="658">
        <f t="shared" ref="M27:N27" si="1">SUM(M23:M26)</f>
        <v>510</v>
      </c>
      <c r="N27" s="659">
        <f t="shared" si="1"/>
        <v>510</v>
      </c>
    </row>
    <row r="28" spans="3:14" x14ac:dyDescent="0.25">
      <c r="C28" s="170" t="s">
        <v>83</v>
      </c>
      <c r="E28" s="154">
        <v>700</v>
      </c>
      <c r="F28" s="154">
        <v>700</v>
      </c>
      <c r="G28" s="169">
        <v>700</v>
      </c>
      <c r="I28" s="656"/>
      <c r="J28" s="657"/>
      <c r="K28" s="657"/>
      <c r="L28" s="658"/>
      <c r="M28" s="658"/>
      <c r="N28" s="659"/>
    </row>
    <row r="29" spans="3:14" x14ac:dyDescent="0.25">
      <c r="C29" s="183" t="s">
        <v>42</v>
      </c>
      <c r="D29" s="184"/>
      <c r="E29" s="184">
        <f>+E28</f>
        <v>700</v>
      </c>
      <c r="F29" s="184">
        <f>+F28</f>
        <v>700</v>
      </c>
      <c r="G29" s="185">
        <f>+G28</f>
        <v>700</v>
      </c>
      <c r="I29" s="641" t="s">
        <v>84</v>
      </c>
      <c r="J29" s="642"/>
      <c r="K29" s="642"/>
      <c r="L29" s="177">
        <v>-80</v>
      </c>
      <c r="M29" s="177">
        <v>-70</v>
      </c>
      <c r="N29" s="178">
        <v>-60</v>
      </c>
    </row>
    <row r="30" spans="3:14" x14ac:dyDescent="0.25">
      <c r="C30" s="172" t="s">
        <v>43</v>
      </c>
      <c r="D30" s="186"/>
      <c r="E30" s="186">
        <f>+E26+E29</f>
        <v>2100</v>
      </c>
      <c r="F30" s="186">
        <f>+F26+F29</f>
        <v>1700</v>
      </c>
      <c r="G30" s="187">
        <f>+G26+G29</f>
        <v>1500</v>
      </c>
      <c r="I30" s="660" t="s">
        <v>24</v>
      </c>
      <c r="J30" s="661"/>
      <c r="K30" s="661"/>
      <c r="L30" s="175">
        <f>SUM(L27:L29)</f>
        <v>430</v>
      </c>
      <c r="M30" s="175">
        <f t="shared" ref="M30:N30" si="2">SUM(M27:M29)</f>
        <v>440</v>
      </c>
      <c r="N30" s="176">
        <f t="shared" si="2"/>
        <v>450</v>
      </c>
    </row>
    <row r="31" spans="3:14" x14ac:dyDescent="0.25">
      <c r="C31" s="170"/>
      <c r="G31" s="169"/>
      <c r="I31" s="641" t="s">
        <v>85</v>
      </c>
      <c r="J31" s="642"/>
      <c r="K31" s="642"/>
      <c r="L31" s="177">
        <f>-L30*0.3</f>
        <v>-129</v>
      </c>
      <c r="M31" s="177">
        <f>-M30*0.3</f>
        <v>-132</v>
      </c>
      <c r="N31" s="178">
        <f>-N30*0.3</f>
        <v>-135</v>
      </c>
    </row>
    <row r="32" spans="3:14" ht="14.4" thickBot="1" x14ac:dyDescent="0.3">
      <c r="C32" s="188" t="s">
        <v>86</v>
      </c>
      <c r="D32" s="189"/>
      <c r="E32" s="189"/>
      <c r="F32" s="189"/>
      <c r="G32" s="190"/>
      <c r="I32" s="650" t="s">
        <v>87</v>
      </c>
      <c r="J32" s="651"/>
      <c r="K32" s="651"/>
      <c r="L32" s="191">
        <f>SUM(L30:L31)</f>
        <v>301</v>
      </c>
      <c r="M32" s="191">
        <f t="shared" ref="M32:N32" si="3">SUM(M30:M31)</f>
        <v>308</v>
      </c>
      <c r="N32" s="192">
        <f t="shared" si="3"/>
        <v>315</v>
      </c>
    </row>
    <row r="33" spans="3:14" x14ac:dyDescent="0.25">
      <c r="C33" s="170" t="s">
        <v>88</v>
      </c>
      <c r="G33" s="169"/>
      <c r="L33" s="175"/>
      <c r="M33" s="175"/>
      <c r="N33" s="175"/>
    </row>
    <row r="34" spans="3:14" x14ac:dyDescent="0.25">
      <c r="C34" s="170" t="s">
        <v>89</v>
      </c>
      <c r="E34" s="154">
        <v>200</v>
      </c>
      <c r="F34" s="154">
        <v>200</v>
      </c>
      <c r="G34" s="169">
        <v>200</v>
      </c>
    </row>
    <row r="35" spans="3:14" x14ac:dyDescent="0.25">
      <c r="C35" s="170" t="s">
        <v>90</v>
      </c>
      <c r="E35" s="154">
        <v>150</v>
      </c>
      <c r="F35" s="154">
        <v>150</v>
      </c>
      <c r="G35" s="169">
        <v>150</v>
      </c>
    </row>
    <row r="36" spans="3:14" x14ac:dyDescent="0.25">
      <c r="C36" s="183" t="s">
        <v>91</v>
      </c>
      <c r="D36" s="184"/>
      <c r="E36" s="184">
        <f>SUM(E34:E35)</f>
        <v>350</v>
      </c>
      <c r="F36" s="184">
        <f>SUM(F34:F35)</f>
        <v>350</v>
      </c>
      <c r="G36" s="185">
        <f>SUM(G34:G35)</f>
        <v>350</v>
      </c>
      <c r="H36" s="184"/>
    </row>
    <row r="37" spans="3:14" x14ac:dyDescent="0.25">
      <c r="C37" s="170" t="s">
        <v>92</v>
      </c>
      <c r="D37" s="160"/>
      <c r="G37" s="169"/>
    </row>
    <row r="38" spans="3:14" x14ac:dyDescent="0.25">
      <c r="C38" s="170" t="s">
        <v>93</v>
      </c>
      <c r="E38" s="154">
        <v>350</v>
      </c>
      <c r="F38" s="154">
        <v>220</v>
      </c>
      <c r="G38" s="169">
        <v>200</v>
      </c>
    </row>
    <row r="39" spans="3:14" x14ac:dyDescent="0.25">
      <c r="C39" s="170" t="s">
        <v>94</v>
      </c>
      <c r="E39" s="154">
        <v>400</v>
      </c>
      <c r="F39" s="154">
        <v>230</v>
      </c>
      <c r="G39" s="169">
        <v>150</v>
      </c>
    </row>
    <row r="40" spans="3:14" x14ac:dyDescent="0.25">
      <c r="C40" s="193" t="s">
        <v>95</v>
      </c>
      <c r="D40" s="184"/>
      <c r="E40" s="184">
        <f>SUM(E38:E39)</f>
        <v>750</v>
      </c>
      <c r="F40" s="184">
        <f>SUM(F38:F39)</f>
        <v>450</v>
      </c>
      <c r="G40" s="185">
        <f>SUM(G38:G39)</f>
        <v>350</v>
      </c>
      <c r="H40" s="184"/>
    </row>
    <row r="41" spans="3:14" x14ac:dyDescent="0.25">
      <c r="C41" s="194" t="s">
        <v>96</v>
      </c>
      <c r="D41" s="195"/>
      <c r="E41" s="195">
        <f>+E36+E40</f>
        <v>1100</v>
      </c>
      <c r="F41" s="195">
        <f>+F36+F40</f>
        <v>800</v>
      </c>
      <c r="G41" s="196">
        <f>+G36+G40</f>
        <v>700</v>
      </c>
      <c r="H41" s="160"/>
    </row>
    <row r="42" spans="3:14" x14ac:dyDescent="0.25">
      <c r="C42" s="197"/>
      <c r="G42" s="169"/>
    </row>
    <row r="43" spans="3:14" x14ac:dyDescent="0.25">
      <c r="C43" s="198" t="s">
        <v>97</v>
      </c>
      <c r="D43" s="199"/>
      <c r="E43" s="199"/>
      <c r="F43" s="199"/>
      <c r="G43" s="200"/>
    </row>
    <row r="44" spans="3:14" x14ac:dyDescent="0.25">
      <c r="C44" s="201" t="s">
        <v>98</v>
      </c>
      <c r="E44" s="154">
        <v>700</v>
      </c>
      <c r="F44" s="154">
        <v>600</v>
      </c>
      <c r="G44" s="169">
        <v>500</v>
      </c>
    </row>
    <row r="45" spans="3:14" x14ac:dyDescent="0.25">
      <c r="C45" s="201" t="s">
        <v>99</v>
      </c>
      <c r="E45" s="154">
        <v>300</v>
      </c>
      <c r="F45" s="154">
        <v>300</v>
      </c>
      <c r="G45" s="169">
        <v>300</v>
      </c>
    </row>
    <row r="46" spans="3:14" x14ac:dyDescent="0.25">
      <c r="C46" s="202" t="s">
        <v>100</v>
      </c>
      <c r="D46" s="203"/>
      <c r="E46" s="203">
        <f>SUM(E44:E45)</f>
        <v>1000</v>
      </c>
      <c r="F46" s="203">
        <f>SUM(F44:F45)</f>
        <v>900</v>
      </c>
      <c r="G46" s="204">
        <f>SUM(G44:G45)</f>
        <v>800</v>
      </c>
      <c r="H46" s="160"/>
    </row>
    <row r="47" spans="3:14" x14ac:dyDescent="0.25">
      <c r="C47" s="197"/>
      <c r="D47" s="160"/>
      <c r="G47" s="169"/>
    </row>
    <row r="48" spans="3:14" ht="14.4" thickBot="1" x14ac:dyDescent="0.3">
      <c r="C48" s="205" t="s">
        <v>101</v>
      </c>
      <c r="D48" s="206"/>
      <c r="E48" s="206">
        <f>+E41+E46</f>
        <v>2100</v>
      </c>
      <c r="F48" s="206">
        <f>+F41+F46</f>
        <v>1700</v>
      </c>
      <c r="G48" s="207">
        <f>+G41+G46</f>
        <v>1500</v>
      </c>
      <c r="H48" s="160"/>
    </row>
    <row r="49" spans="2:16" customFormat="1" ht="14.4" x14ac:dyDescent="0.3"/>
    <row r="50" spans="2:16" customFormat="1" ht="14.4" x14ac:dyDescent="0.3"/>
    <row r="52" spans="2:16" x14ac:dyDescent="0.25">
      <c r="B52" s="662">
        <v>1</v>
      </c>
      <c r="C52" s="663" t="s">
        <v>102</v>
      </c>
      <c r="D52" s="663"/>
      <c r="E52" s="663"/>
      <c r="F52" s="663"/>
      <c r="G52" s="663"/>
      <c r="H52" s="663"/>
      <c r="I52" s="663"/>
      <c r="J52" s="663"/>
      <c r="K52" s="663"/>
      <c r="L52" s="663"/>
      <c r="M52" s="663"/>
      <c r="N52" s="663"/>
    </row>
    <row r="53" spans="2:16" x14ac:dyDescent="0.25">
      <c r="B53" s="662"/>
      <c r="C53" s="663"/>
      <c r="D53" s="663"/>
      <c r="E53" s="663"/>
      <c r="F53" s="663"/>
      <c r="G53" s="663"/>
      <c r="H53" s="663"/>
      <c r="I53" s="663"/>
      <c r="J53" s="663"/>
      <c r="K53" s="663"/>
      <c r="L53" s="663"/>
      <c r="M53" s="663"/>
      <c r="N53" s="663"/>
    </row>
    <row r="55" spans="2:16" ht="20.399999999999999" x14ac:dyDescent="0.35">
      <c r="C55" s="208" t="s">
        <v>28</v>
      </c>
    </row>
    <row r="56" spans="2:16" ht="14.4" thickBot="1" x14ac:dyDescent="0.3"/>
    <row r="57" spans="2:16" ht="15.6" x14ac:dyDescent="0.3">
      <c r="C57" s="209" t="s">
        <v>67</v>
      </c>
      <c r="E57" s="664" t="s">
        <v>71</v>
      </c>
      <c r="F57" s="665"/>
      <c r="G57" s="665"/>
      <c r="H57" s="666"/>
      <c r="I57" s="664" t="s">
        <v>72</v>
      </c>
      <c r="J57" s="665"/>
      <c r="K57" s="665"/>
      <c r="L57" s="665"/>
      <c r="M57" s="664" t="s">
        <v>73</v>
      </c>
      <c r="N57" s="665"/>
      <c r="O57" s="665"/>
      <c r="P57" s="666"/>
    </row>
    <row r="58" spans="2:16" ht="15.6" x14ac:dyDescent="0.3">
      <c r="C58" s="209" t="s">
        <v>69</v>
      </c>
      <c r="E58" s="667"/>
      <c r="F58" s="658"/>
      <c r="G58" s="658"/>
      <c r="H58" s="659"/>
      <c r="I58" s="667"/>
      <c r="J58" s="658"/>
      <c r="K58" s="658"/>
      <c r="L58" s="658"/>
      <c r="M58" s="667"/>
      <c r="N58" s="658"/>
      <c r="O58" s="658"/>
      <c r="P58" s="659"/>
    </row>
    <row r="59" spans="2:16" ht="14.4" thickBot="1" x14ac:dyDescent="0.3">
      <c r="C59" s="154" t="s">
        <v>70</v>
      </c>
      <c r="E59" s="668"/>
      <c r="F59" s="669"/>
      <c r="G59" s="669"/>
      <c r="H59" s="670"/>
      <c r="I59" s="668"/>
      <c r="J59" s="669"/>
      <c r="K59" s="669"/>
      <c r="L59" s="669"/>
      <c r="M59" s="668"/>
      <c r="N59" s="669"/>
      <c r="O59" s="669"/>
      <c r="P59" s="670"/>
    </row>
    <row r="60" spans="2:16" ht="14.4" thickTop="1" x14ac:dyDescent="0.25">
      <c r="C60" s="186" t="s">
        <v>74</v>
      </c>
      <c r="D60" s="173"/>
      <c r="E60" s="210"/>
      <c r="F60" s="173"/>
      <c r="G60" s="173"/>
      <c r="H60" s="174"/>
      <c r="I60" s="210"/>
      <c r="J60" s="173"/>
      <c r="K60" s="173"/>
      <c r="L60" s="173"/>
      <c r="M60" s="210"/>
      <c r="N60" s="173"/>
      <c r="O60" s="173"/>
      <c r="P60" s="174"/>
    </row>
    <row r="61" spans="2:16" x14ac:dyDescent="0.25">
      <c r="C61" s="154" t="s">
        <v>75</v>
      </c>
      <c r="E61" s="170"/>
      <c r="F61" s="211"/>
      <c r="H61" s="212"/>
      <c r="I61" s="170"/>
      <c r="J61" s="211"/>
      <c r="L61" s="211"/>
      <c r="M61" s="170"/>
      <c r="N61" s="211"/>
      <c r="P61" s="212"/>
    </row>
    <row r="62" spans="2:16" x14ac:dyDescent="0.25">
      <c r="C62" s="154" t="s">
        <v>76</v>
      </c>
      <c r="E62" s="170">
        <v>200</v>
      </c>
      <c r="F62" s="211">
        <f>+E62/E69</f>
        <v>9.5238095238095233E-2</v>
      </c>
      <c r="H62" s="212">
        <f>+E62/E65</f>
        <v>0.14285714285714285</v>
      </c>
      <c r="I62" s="154">
        <v>150</v>
      </c>
      <c r="J62" s="211">
        <f>+I62/I69</f>
        <v>8.8235294117647065E-2</v>
      </c>
      <c r="L62" s="211">
        <f>+I62/I65</f>
        <v>0.15</v>
      </c>
      <c r="M62" s="170">
        <v>100</v>
      </c>
      <c r="N62" s="211">
        <f>+M62/M69</f>
        <v>6.6666666666666666E-2</v>
      </c>
      <c r="P62" s="212">
        <f>+M62/M65</f>
        <v>0.125</v>
      </c>
    </row>
    <row r="63" spans="2:16" x14ac:dyDescent="0.25">
      <c r="C63" s="154" t="s">
        <v>36</v>
      </c>
      <c r="E63" s="170">
        <v>500</v>
      </c>
      <c r="F63" s="211">
        <f>+E63/E69</f>
        <v>0.23809523809523808</v>
      </c>
      <c r="H63" s="212">
        <f>+E63/E65</f>
        <v>0.35714285714285715</v>
      </c>
      <c r="I63" s="154">
        <v>350</v>
      </c>
      <c r="J63" s="211">
        <f>+I63/I69</f>
        <v>0.20588235294117646</v>
      </c>
      <c r="L63" s="211">
        <f>+I63/I65</f>
        <v>0.35</v>
      </c>
      <c r="M63" s="170">
        <v>300</v>
      </c>
      <c r="N63" s="211">
        <f>+M63/M69</f>
        <v>0.2</v>
      </c>
      <c r="P63" s="212">
        <f>+M63/M65</f>
        <v>0.375</v>
      </c>
    </row>
    <row r="64" spans="2:16" x14ac:dyDescent="0.25">
      <c r="C64" s="154" t="s">
        <v>37</v>
      </c>
      <c r="E64" s="170">
        <v>700</v>
      </c>
      <c r="F64" s="211">
        <f>+E64/E69</f>
        <v>0.33333333333333331</v>
      </c>
      <c r="H64" s="213">
        <f>+E64/E65</f>
        <v>0.5</v>
      </c>
      <c r="I64" s="154">
        <v>500</v>
      </c>
      <c r="J64" s="211">
        <f>+I64/I69</f>
        <v>0.29411764705882354</v>
      </c>
      <c r="L64" s="214">
        <f>+I64/I65</f>
        <v>0.5</v>
      </c>
      <c r="M64" s="215">
        <v>400</v>
      </c>
      <c r="N64" s="211">
        <f>+M64/M69</f>
        <v>0.26666666666666666</v>
      </c>
      <c r="P64" s="213">
        <f>+M64/M65</f>
        <v>0.5</v>
      </c>
    </row>
    <row r="65" spans="3:16" x14ac:dyDescent="0.25">
      <c r="C65" s="184" t="s">
        <v>80</v>
      </c>
      <c r="D65" s="184"/>
      <c r="E65" s="183">
        <f>SUM(E62:E64)</f>
        <v>1400</v>
      </c>
      <c r="F65" s="211"/>
      <c r="G65" s="216">
        <f>SUM(F62:F64)</f>
        <v>0.66666666666666663</v>
      </c>
      <c r="H65" s="217">
        <f>SUM(H62:H64)</f>
        <v>1</v>
      </c>
      <c r="I65" s="183">
        <f>SUM(I62:I64)</f>
        <v>1000</v>
      </c>
      <c r="J65" s="211"/>
      <c r="K65" s="216">
        <f>SUM(J62:J64)</f>
        <v>0.58823529411764708</v>
      </c>
      <c r="L65" s="218">
        <f>SUM(L62:L64)</f>
        <v>1</v>
      </c>
      <c r="M65" s="183">
        <f>SUM(M62:M64)</f>
        <v>800</v>
      </c>
      <c r="N65" s="211"/>
      <c r="O65" s="216">
        <f>SUM(N62:N64)</f>
        <v>0.53333333333333333</v>
      </c>
      <c r="P65" s="217">
        <f>SUM(P62:P64)</f>
        <v>1</v>
      </c>
    </row>
    <row r="66" spans="3:16" x14ac:dyDescent="0.25">
      <c r="C66" s="154" t="s">
        <v>39</v>
      </c>
      <c r="E66" s="170"/>
      <c r="F66" s="211"/>
      <c r="H66" s="212"/>
      <c r="I66" s="170"/>
      <c r="J66" s="211"/>
      <c r="L66" s="211"/>
      <c r="M66" s="170"/>
      <c r="N66" s="211"/>
      <c r="P66" s="212"/>
    </row>
    <row r="67" spans="3:16" x14ac:dyDescent="0.25">
      <c r="C67" s="154" t="s">
        <v>83</v>
      </c>
      <c r="E67" s="215">
        <v>700</v>
      </c>
      <c r="F67" s="211">
        <f>+E67/E69</f>
        <v>0.33333333333333331</v>
      </c>
      <c r="H67" s="212"/>
      <c r="I67" s="154">
        <v>700</v>
      </c>
      <c r="J67" s="211">
        <f>+I67/I69</f>
        <v>0.41176470588235292</v>
      </c>
      <c r="L67" s="211"/>
      <c r="M67" s="170">
        <v>700</v>
      </c>
      <c r="N67" s="211">
        <f>+M67/M69</f>
        <v>0.46666666666666667</v>
      </c>
      <c r="P67" s="212"/>
    </row>
    <row r="68" spans="3:16" x14ac:dyDescent="0.25">
      <c r="C68" s="184" t="s">
        <v>42</v>
      </c>
      <c r="D68" s="184"/>
      <c r="E68" s="219">
        <f>+E67</f>
        <v>700</v>
      </c>
      <c r="F68" s="211"/>
      <c r="G68" s="220">
        <f>+F67</f>
        <v>0.33333333333333331</v>
      </c>
      <c r="H68" s="212">
        <f>+E67/E68</f>
        <v>1</v>
      </c>
      <c r="I68" s="219">
        <f>+I67</f>
        <v>700</v>
      </c>
      <c r="J68" s="211"/>
      <c r="K68" s="220">
        <f>+J67</f>
        <v>0.41176470588235292</v>
      </c>
      <c r="L68" s="211">
        <f>+I67/I68</f>
        <v>1</v>
      </c>
      <c r="M68" s="221">
        <f>+M67</f>
        <v>700</v>
      </c>
      <c r="N68" s="211"/>
      <c r="O68" s="220">
        <f>+N67</f>
        <v>0.46666666666666667</v>
      </c>
      <c r="P68" s="212">
        <f>+M67/M68</f>
        <v>1</v>
      </c>
    </row>
    <row r="69" spans="3:16" x14ac:dyDescent="0.25">
      <c r="C69" s="186" t="s">
        <v>43</v>
      </c>
      <c r="D69" s="186"/>
      <c r="E69" s="172">
        <f>+E65+E68</f>
        <v>2100</v>
      </c>
      <c r="F69" s="222"/>
      <c r="G69" s="223">
        <f>SUM(G65:G68)</f>
        <v>1</v>
      </c>
      <c r="H69" s="224"/>
      <c r="I69" s="172">
        <f>+I65+I68</f>
        <v>1700</v>
      </c>
      <c r="J69" s="222"/>
      <c r="K69" s="223">
        <f>SUM(K65:K68)</f>
        <v>1</v>
      </c>
      <c r="L69" s="222"/>
      <c r="M69" s="172">
        <f>+M65+M68</f>
        <v>1500</v>
      </c>
      <c r="N69" s="222"/>
      <c r="O69" s="223">
        <f>SUM(O65:O68)</f>
        <v>1</v>
      </c>
      <c r="P69" s="224"/>
    </row>
    <row r="70" spans="3:16" x14ac:dyDescent="0.25">
      <c r="E70" s="170"/>
      <c r="F70" s="211"/>
      <c r="H70" s="212"/>
      <c r="I70" s="170"/>
      <c r="J70" s="211"/>
      <c r="L70" s="211"/>
      <c r="M70" s="170"/>
      <c r="N70" s="211"/>
      <c r="P70" s="212"/>
    </row>
    <row r="71" spans="3:16" x14ac:dyDescent="0.25">
      <c r="C71" s="195" t="s">
        <v>86</v>
      </c>
      <c r="D71" s="189"/>
      <c r="E71" s="225"/>
      <c r="F71" s="226"/>
      <c r="G71" s="189"/>
      <c r="H71" s="227"/>
      <c r="I71" s="225"/>
      <c r="J71" s="226"/>
      <c r="K71" s="189"/>
      <c r="L71" s="226"/>
      <c r="M71" s="225"/>
      <c r="N71" s="226"/>
      <c r="O71" s="189"/>
      <c r="P71" s="227"/>
    </row>
    <row r="72" spans="3:16" x14ac:dyDescent="0.25">
      <c r="C72" s="154" t="s">
        <v>88</v>
      </c>
      <c r="E72" s="170"/>
      <c r="F72" s="211"/>
      <c r="H72" s="212"/>
      <c r="I72" s="170"/>
      <c r="J72" s="211"/>
      <c r="L72" s="211"/>
      <c r="M72" s="170"/>
      <c r="N72" s="211"/>
      <c r="P72" s="212"/>
    </row>
    <row r="73" spans="3:16" x14ac:dyDescent="0.25">
      <c r="C73" s="154" t="s">
        <v>89</v>
      </c>
      <c r="E73" s="170">
        <v>200</v>
      </c>
      <c r="F73" s="211">
        <f>+E73/E80</f>
        <v>0.18181818181818182</v>
      </c>
      <c r="H73" s="212">
        <f>+E73/E75</f>
        <v>0.5714285714285714</v>
      </c>
      <c r="I73" s="154">
        <v>200</v>
      </c>
      <c r="J73" s="211">
        <f>+I73/I80</f>
        <v>0.25</v>
      </c>
      <c r="L73" s="211">
        <f>+I73/I75</f>
        <v>0.5714285714285714</v>
      </c>
      <c r="M73" s="170">
        <v>200</v>
      </c>
      <c r="N73" s="211">
        <f>+M73/M80</f>
        <v>0.2857142857142857</v>
      </c>
      <c r="P73" s="212">
        <f>+M73/M75</f>
        <v>0.5714285714285714</v>
      </c>
    </row>
    <row r="74" spans="3:16" x14ac:dyDescent="0.25">
      <c r="C74" s="154" t="s">
        <v>90</v>
      </c>
      <c r="E74" s="170">
        <v>150</v>
      </c>
      <c r="F74" s="211">
        <f>+E74/E80</f>
        <v>0.13636363636363635</v>
      </c>
      <c r="H74" s="213">
        <f>+E74/E75</f>
        <v>0.42857142857142855</v>
      </c>
      <c r="I74" s="154">
        <v>150</v>
      </c>
      <c r="J74" s="211">
        <f>+I74/I80</f>
        <v>0.1875</v>
      </c>
      <c r="L74" s="214">
        <f>+I74/I75</f>
        <v>0.42857142857142855</v>
      </c>
      <c r="M74" s="215">
        <v>150</v>
      </c>
      <c r="N74" s="211">
        <f>+M74/M80</f>
        <v>0.21428571428571427</v>
      </c>
      <c r="P74" s="213">
        <f>+M74/M75</f>
        <v>0.42857142857142855</v>
      </c>
    </row>
    <row r="75" spans="3:16" x14ac:dyDescent="0.25">
      <c r="C75" s="184" t="s">
        <v>91</v>
      </c>
      <c r="D75" s="184"/>
      <c r="E75" s="183">
        <f>SUM(E73:E74)</f>
        <v>350</v>
      </c>
      <c r="F75" s="211"/>
      <c r="G75" s="216">
        <f>SUM(F73:F74)</f>
        <v>0.31818181818181818</v>
      </c>
      <c r="H75" s="217">
        <f>SUM(H73:H74)</f>
        <v>1</v>
      </c>
      <c r="I75" s="183">
        <f>SUM(I73:I74)</f>
        <v>350</v>
      </c>
      <c r="J75" s="211"/>
      <c r="K75" s="216">
        <f>SUM(J73:J74)</f>
        <v>0.4375</v>
      </c>
      <c r="L75" s="218">
        <f>SUM(L73:L74)</f>
        <v>1</v>
      </c>
      <c r="M75" s="183">
        <f>SUM(M73:M74)</f>
        <v>350</v>
      </c>
      <c r="N75" s="211"/>
      <c r="O75" s="216">
        <f>SUM(N73:N74)</f>
        <v>0.5</v>
      </c>
      <c r="P75" s="217">
        <f>SUM(P73:P74)</f>
        <v>1</v>
      </c>
    </row>
    <row r="76" spans="3:16" x14ac:dyDescent="0.25">
      <c r="C76" s="154" t="s">
        <v>92</v>
      </c>
      <c r="D76" s="160"/>
      <c r="E76" s="170"/>
      <c r="F76" s="211"/>
      <c r="H76" s="212"/>
      <c r="I76" s="170"/>
      <c r="J76" s="211"/>
      <c r="L76" s="211"/>
      <c r="M76" s="170"/>
      <c r="N76" s="211"/>
      <c r="P76" s="212"/>
    </row>
    <row r="77" spans="3:16" x14ac:dyDescent="0.25">
      <c r="C77" s="154" t="s">
        <v>93</v>
      </c>
      <c r="E77" s="170">
        <v>350</v>
      </c>
      <c r="F77" s="211">
        <f>+E77/E80</f>
        <v>0.31818181818181818</v>
      </c>
      <c r="H77" s="212">
        <f>+E77/E79</f>
        <v>0.46666666666666667</v>
      </c>
      <c r="I77" s="154">
        <v>220</v>
      </c>
      <c r="J77" s="211">
        <f>+I77/I80</f>
        <v>0.27500000000000002</v>
      </c>
      <c r="L77" s="211">
        <f>+I77/I79</f>
        <v>0.48888888888888887</v>
      </c>
      <c r="M77" s="170">
        <v>200</v>
      </c>
      <c r="N77" s="211">
        <f>+M77/M80</f>
        <v>0.2857142857142857</v>
      </c>
      <c r="P77" s="212">
        <f>+M77/M79</f>
        <v>0.5714285714285714</v>
      </c>
    </row>
    <row r="78" spans="3:16" x14ac:dyDescent="0.25">
      <c r="C78" s="154" t="s">
        <v>94</v>
      </c>
      <c r="E78" s="170">
        <v>400</v>
      </c>
      <c r="F78" s="228">
        <f>+E78/E80</f>
        <v>0.36363636363636365</v>
      </c>
      <c r="H78" s="213">
        <f>+E78/E79</f>
        <v>0.53333333333333333</v>
      </c>
      <c r="I78" s="154">
        <v>230</v>
      </c>
      <c r="J78" s="211">
        <f>+I78/I80</f>
        <v>0.28749999999999998</v>
      </c>
      <c r="L78" s="214">
        <f>+I78/I79</f>
        <v>0.51111111111111107</v>
      </c>
      <c r="M78" s="170">
        <v>150</v>
      </c>
      <c r="N78" s="211">
        <f>+M78/M80</f>
        <v>0.21428571428571427</v>
      </c>
      <c r="P78" s="213">
        <f>+M78/M79</f>
        <v>0.42857142857142855</v>
      </c>
    </row>
    <row r="79" spans="3:16" x14ac:dyDescent="0.25">
      <c r="C79" s="229" t="s">
        <v>95</v>
      </c>
      <c r="D79" s="184"/>
      <c r="E79" s="219">
        <f>SUM(E77:E78)</f>
        <v>750</v>
      </c>
      <c r="F79" s="211"/>
      <c r="G79" s="216">
        <f>SUM(F77:F78)</f>
        <v>0.68181818181818188</v>
      </c>
      <c r="H79" s="217">
        <f>SUM(H77:H78)</f>
        <v>1</v>
      </c>
      <c r="I79" s="219">
        <f>SUM(I77:I78)</f>
        <v>450</v>
      </c>
      <c r="J79" s="211"/>
      <c r="K79" s="216">
        <f>SUM(J77:J78)</f>
        <v>0.5625</v>
      </c>
      <c r="L79" s="218">
        <f>SUM(L77:L78)</f>
        <v>1</v>
      </c>
      <c r="M79" s="221">
        <f>SUM(M77:M78)</f>
        <v>350</v>
      </c>
      <c r="N79" s="211"/>
      <c r="O79" s="216">
        <f>SUM(N77:N78)</f>
        <v>0.5</v>
      </c>
      <c r="P79" s="217">
        <f>SUM(P77:P78)</f>
        <v>1</v>
      </c>
    </row>
    <row r="80" spans="3:16" x14ac:dyDescent="0.25">
      <c r="C80" s="230" t="s">
        <v>96</v>
      </c>
      <c r="D80" s="195"/>
      <c r="E80" s="188">
        <f>+E75+E79</f>
        <v>1100</v>
      </c>
      <c r="F80" s="226"/>
      <c r="G80" s="231">
        <f>+E80/E87</f>
        <v>0.52380952380952384</v>
      </c>
      <c r="H80" s="227"/>
      <c r="I80" s="188">
        <f>+I75+I79</f>
        <v>800</v>
      </c>
      <c r="J80" s="226"/>
      <c r="K80" s="231">
        <f>+I80/I87</f>
        <v>0.47058823529411764</v>
      </c>
      <c r="L80" s="226"/>
      <c r="M80" s="188">
        <f>+M75+M79</f>
        <v>700</v>
      </c>
      <c r="N80" s="226"/>
      <c r="O80" s="231">
        <f>+M80/M87</f>
        <v>0.46666666666666667</v>
      </c>
      <c r="P80" s="227"/>
    </row>
    <row r="81" spans="3:16" x14ac:dyDescent="0.25">
      <c r="C81" s="232"/>
      <c r="E81" s="170"/>
      <c r="F81" s="211"/>
      <c r="H81" s="212"/>
      <c r="I81" s="170"/>
      <c r="J81" s="211"/>
      <c r="L81" s="211"/>
      <c r="M81" s="170"/>
      <c r="N81" s="211"/>
      <c r="P81" s="212"/>
    </row>
    <row r="82" spans="3:16" x14ac:dyDescent="0.25">
      <c r="C82" s="233" t="s">
        <v>97</v>
      </c>
      <c r="D82" s="199"/>
      <c r="E82" s="234"/>
      <c r="F82" s="235"/>
      <c r="G82" s="199"/>
      <c r="H82" s="236"/>
      <c r="I82" s="234"/>
      <c r="J82" s="235"/>
      <c r="K82" s="199"/>
      <c r="L82" s="235"/>
      <c r="M82" s="234"/>
      <c r="N82" s="235"/>
      <c r="O82" s="199"/>
      <c r="P82" s="236"/>
    </row>
    <row r="83" spans="3:16" x14ac:dyDescent="0.25">
      <c r="C83" s="237" t="s">
        <v>98</v>
      </c>
      <c r="E83" s="170">
        <v>700</v>
      </c>
      <c r="F83" s="211">
        <f>+E83/E87</f>
        <v>0.33333333333333331</v>
      </c>
      <c r="H83" s="212">
        <f>+E83/E85</f>
        <v>0.7</v>
      </c>
      <c r="I83" s="215">
        <v>600</v>
      </c>
      <c r="J83" s="211">
        <f>+I83/I87</f>
        <v>0.35294117647058826</v>
      </c>
      <c r="L83" s="211">
        <f>+I83/I85</f>
        <v>0.66666666666666663</v>
      </c>
      <c r="M83" s="170">
        <v>500</v>
      </c>
      <c r="N83" s="211">
        <f>+M83/M87</f>
        <v>0.33333333333333331</v>
      </c>
      <c r="P83" s="212">
        <f>+M83/M85</f>
        <v>0.625</v>
      </c>
    </row>
    <row r="84" spans="3:16" x14ac:dyDescent="0.25">
      <c r="C84" s="237" t="s">
        <v>99</v>
      </c>
      <c r="E84" s="170">
        <v>300</v>
      </c>
      <c r="F84" s="211">
        <f>+E84/E87</f>
        <v>0.14285714285714285</v>
      </c>
      <c r="H84" s="213">
        <f>+E84/E85</f>
        <v>0.3</v>
      </c>
      <c r="I84" s="154">
        <v>300</v>
      </c>
      <c r="J84" s="211">
        <f>+I84/I87</f>
        <v>0.17647058823529413</v>
      </c>
      <c r="L84" s="214">
        <f>+I84/I85</f>
        <v>0.33333333333333331</v>
      </c>
      <c r="M84" s="215">
        <v>300</v>
      </c>
      <c r="N84" s="211">
        <f>+M84/M87</f>
        <v>0.2</v>
      </c>
      <c r="P84" s="213">
        <f>+M84/M85</f>
        <v>0.375</v>
      </c>
    </row>
    <row r="85" spans="3:16" x14ac:dyDescent="0.25">
      <c r="C85" s="238" t="s">
        <v>100</v>
      </c>
      <c r="D85" s="203"/>
      <c r="E85" s="239">
        <f>SUM(E83:E84)</f>
        <v>1000</v>
      </c>
      <c r="F85" s="235"/>
      <c r="G85" s="240">
        <f>SUM(F83:F84)</f>
        <v>0.47619047619047616</v>
      </c>
      <c r="H85" s="241">
        <f>SUM(H83:H84)</f>
        <v>1</v>
      </c>
      <c r="I85" s="239">
        <f>SUM(I83:I84)</f>
        <v>900</v>
      </c>
      <c r="J85" s="235"/>
      <c r="K85" s="240">
        <f>SUM(J83:J84)</f>
        <v>0.52941176470588236</v>
      </c>
      <c r="L85" s="242">
        <f>SUM(L83:L84)</f>
        <v>1</v>
      </c>
      <c r="M85" s="239">
        <f>SUM(M83:M84)</f>
        <v>800</v>
      </c>
      <c r="N85" s="235"/>
      <c r="O85" s="240">
        <f>SUM(N83:N84)</f>
        <v>0.53333333333333333</v>
      </c>
      <c r="P85" s="241">
        <f>SUM(P83:P84)</f>
        <v>1</v>
      </c>
    </row>
    <row r="86" spans="3:16" x14ac:dyDescent="0.25">
      <c r="C86" s="232"/>
      <c r="D86" s="160"/>
      <c r="E86" s="170"/>
      <c r="F86" s="211"/>
      <c r="H86" s="212"/>
      <c r="I86" s="170"/>
      <c r="J86" s="211"/>
      <c r="L86" s="211"/>
      <c r="M86" s="170"/>
      <c r="N86" s="211"/>
      <c r="P86" s="212"/>
    </row>
    <row r="87" spans="3:16" ht="14.4" thickBot="1" x14ac:dyDescent="0.3">
      <c r="C87" s="243" t="s">
        <v>101</v>
      </c>
      <c r="D87" s="244"/>
      <c r="E87" s="245">
        <f>+E80+E85</f>
        <v>2100</v>
      </c>
      <c r="F87" s="246"/>
      <c r="G87" s="247">
        <f>+G80+G85</f>
        <v>1</v>
      </c>
      <c r="H87" s="248"/>
      <c r="I87" s="245">
        <f>+I80+I85</f>
        <v>1700</v>
      </c>
      <c r="J87" s="246"/>
      <c r="K87" s="247">
        <f>+K80+K85</f>
        <v>1</v>
      </c>
      <c r="L87" s="246"/>
      <c r="M87" s="245">
        <f>+M80+M85</f>
        <v>1500</v>
      </c>
      <c r="N87" s="246"/>
      <c r="O87" s="247">
        <f>+O80+O85</f>
        <v>1</v>
      </c>
      <c r="P87" s="248"/>
    </row>
    <row r="91" spans="3:16" ht="16.2" thickBot="1" x14ac:dyDescent="0.35">
      <c r="D91" s="639" t="s">
        <v>186</v>
      </c>
      <c r="E91" s="639"/>
      <c r="F91" s="639"/>
      <c r="G91" s="639"/>
      <c r="H91" s="639"/>
      <c r="I91" s="639" t="s">
        <v>187</v>
      </c>
      <c r="J91" s="639"/>
      <c r="K91" s="639"/>
      <c r="L91" s="639"/>
      <c r="M91" s="639"/>
    </row>
    <row r="92" spans="3:16" ht="14.4" thickTop="1" x14ac:dyDescent="0.25">
      <c r="C92" s="636" t="s">
        <v>71</v>
      </c>
      <c r="D92" s="640" t="s">
        <v>188</v>
      </c>
      <c r="E92" s="640"/>
      <c r="F92" s="640"/>
      <c r="G92" s="640"/>
      <c r="H92" s="640"/>
      <c r="I92" s="640" t="s">
        <v>189</v>
      </c>
      <c r="J92" s="640"/>
      <c r="K92" s="640"/>
      <c r="L92" s="640"/>
      <c r="M92" s="640"/>
    </row>
    <row r="93" spans="3:16" ht="25.2" customHeight="1" x14ac:dyDescent="0.25">
      <c r="C93" s="637"/>
      <c r="D93" s="638"/>
      <c r="E93" s="638"/>
      <c r="F93" s="638"/>
      <c r="G93" s="638"/>
      <c r="H93" s="638"/>
      <c r="I93" s="638"/>
      <c r="J93" s="638"/>
      <c r="K93" s="638"/>
      <c r="L93" s="638"/>
      <c r="M93" s="638"/>
    </row>
    <row r="94" spans="3:16" x14ac:dyDescent="0.25">
      <c r="C94" s="636" t="s">
        <v>72</v>
      </c>
      <c r="D94" s="638" t="s">
        <v>259</v>
      </c>
      <c r="E94" s="638"/>
      <c r="F94" s="638"/>
      <c r="G94" s="638"/>
      <c r="H94" s="638"/>
      <c r="I94" s="638" t="s">
        <v>260</v>
      </c>
      <c r="J94" s="638"/>
      <c r="K94" s="638"/>
      <c r="L94" s="638"/>
      <c r="M94" s="638"/>
    </row>
    <row r="95" spans="3:16" x14ac:dyDescent="0.25">
      <c r="C95" s="637"/>
      <c r="D95" s="638"/>
      <c r="E95" s="638"/>
      <c r="F95" s="638"/>
      <c r="G95" s="638"/>
      <c r="H95" s="638"/>
      <c r="I95" s="638"/>
      <c r="J95" s="638"/>
      <c r="K95" s="638"/>
      <c r="L95" s="638"/>
      <c r="M95" s="638"/>
    </row>
    <row r="96" spans="3:16" x14ac:dyDescent="0.25">
      <c r="C96" s="636" t="s">
        <v>73</v>
      </c>
      <c r="D96" s="638" t="s">
        <v>262</v>
      </c>
      <c r="E96" s="638"/>
      <c r="F96" s="638"/>
      <c r="G96" s="638"/>
      <c r="H96" s="638"/>
      <c r="I96" s="638" t="s">
        <v>261</v>
      </c>
      <c r="J96" s="638"/>
      <c r="K96" s="638"/>
      <c r="L96" s="638"/>
      <c r="M96" s="638"/>
    </row>
    <row r="97" spans="3:13" x14ac:dyDescent="0.25">
      <c r="C97" s="637"/>
      <c r="D97" s="638"/>
      <c r="E97" s="638"/>
      <c r="F97" s="638"/>
      <c r="G97" s="638"/>
      <c r="H97" s="638"/>
      <c r="I97" s="638"/>
      <c r="J97" s="638"/>
      <c r="K97" s="638"/>
      <c r="L97" s="638"/>
      <c r="M97" s="638"/>
    </row>
  </sheetData>
  <mergeCells count="39">
    <mergeCell ref="B52:B53"/>
    <mergeCell ref="C52:N53"/>
    <mergeCell ref="E57:H59"/>
    <mergeCell ref="I57:L59"/>
    <mergeCell ref="M57:P59"/>
    <mergeCell ref="M27:M28"/>
    <mergeCell ref="N27:N28"/>
    <mergeCell ref="I29:K29"/>
    <mergeCell ref="I30:K30"/>
    <mergeCell ref="I31:K31"/>
    <mergeCell ref="L27:L28"/>
    <mergeCell ref="I32:K32"/>
    <mergeCell ref="I23:K23"/>
    <mergeCell ref="I24:K24"/>
    <mergeCell ref="I25:K25"/>
    <mergeCell ref="I26:K26"/>
    <mergeCell ref="I27:K28"/>
    <mergeCell ref="I22:K22"/>
    <mergeCell ref="C2:M2"/>
    <mergeCell ref="B4:B5"/>
    <mergeCell ref="C4:N6"/>
    <mergeCell ref="B8:B9"/>
    <mergeCell ref="C8:N9"/>
    <mergeCell ref="B11:B12"/>
    <mergeCell ref="C11:N12"/>
    <mergeCell ref="B14:B15"/>
    <mergeCell ref="C14:N15"/>
    <mergeCell ref="I21:K21"/>
    <mergeCell ref="D91:H91"/>
    <mergeCell ref="I91:M91"/>
    <mergeCell ref="C92:C93"/>
    <mergeCell ref="D92:H93"/>
    <mergeCell ref="I92:M93"/>
    <mergeCell ref="C94:C95"/>
    <mergeCell ref="D94:H95"/>
    <mergeCell ref="I94:M95"/>
    <mergeCell ref="C96:C97"/>
    <mergeCell ref="D96:H97"/>
    <mergeCell ref="I96:M9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21D52-7CE7-4B3B-8566-E3F1B5A1F18E}">
  <dimension ref="A2:V116"/>
  <sheetViews>
    <sheetView topLeftCell="D75" zoomScale="115" zoomScaleNormal="115" workbookViewId="0">
      <selection activeCell="L92" sqref="L92"/>
    </sheetView>
  </sheetViews>
  <sheetFormatPr baseColWidth="10" defaultColWidth="9.109375" defaultRowHeight="13.8" x14ac:dyDescent="0.25"/>
  <cols>
    <col min="1" max="1" width="9.109375" style="280"/>
    <col min="2" max="2" width="37.88671875" style="280" customWidth="1"/>
    <col min="3" max="3" width="9.88671875" style="280" bestFit="1" customWidth="1"/>
    <col min="4" max="4" width="13.44140625" style="280" customWidth="1"/>
    <col min="5" max="5" width="10.6640625" style="280" customWidth="1"/>
    <col min="6" max="6" width="9.109375" style="280"/>
    <col min="7" max="8" width="10.33203125" style="280" bestFit="1" customWidth="1"/>
    <col min="9" max="9" width="9.109375" style="280"/>
    <col min="10" max="10" width="11.77734375" style="280" customWidth="1"/>
    <col min="11" max="11" width="10.77734375" style="280" customWidth="1"/>
    <col min="12" max="13" width="9.109375" style="280"/>
    <col min="14" max="14" width="11.33203125" style="280" customWidth="1"/>
    <col min="15" max="15" width="15.109375" style="280" customWidth="1"/>
    <col min="16" max="16" width="11.88671875" style="280" customWidth="1"/>
    <col min="17" max="17" width="12" style="280" customWidth="1"/>
    <col min="18" max="18" width="13.33203125" style="280" customWidth="1"/>
    <col min="19" max="19" width="13" style="280" customWidth="1"/>
    <col min="20" max="20" width="11.33203125" style="280" customWidth="1"/>
    <col min="21" max="21" width="13.109375" style="280" customWidth="1"/>
    <col min="22" max="16384" width="9.109375" style="280"/>
  </cols>
  <sheetData>
    <row r="2" spans="2:19" ht="17.399999999999999" customHeight="1" x14ac:dyDescent="0.35">
      <c r="B2" s="714" t="s">
        <v>196</v>
      </c>
      <c r="C2" s="714"/>
      <c r="D2" s="714"/>
      <c r="E2" s="714"/>
      <c r="F2" s="714"/>
      <c r="G2" s="714"/>
      <c r="H2" s="714"/>
      <c r="I2" s="714"/>
      <c r="J2" s="714"/>
      <c r="K2" s="714"/>
      <c r="L2" s="714"/>
      <c r="M2" s="714"/>
      <c r="N2" s="714"/>
      <c r="O2" s="714"/>
      <c r="P2" s="714"/>
      <c r="Q2" s="714"/>
      <c r="R2" s="714"/>
      <c r="S2" s="714"/>
    </row>
    <row r="3" spans="2:19" x14ac:dyDescent="0.25">
      <c r="B3" s="713"/>
      <c r="C3" s="713"/>
      <c r="D3" s="713"/>
      <c r="E3" s="713"/>
      <c r="F3" s="713"/>
      <c r="G3" s="713"/>
      <c r="H3" s="713"/>
    </row>
    <row r="4" spans="2:19" x14ac:dyDescent="0.25">
      <c r="B4" s="713"/>
      <c r="C4" s="713"/>
      <c r="D4" s="713"/>
      <c r="E4" s="713"/>
      <c r="F4" s="713"/>
      <c r="G4" s="713"/>
      <c r="H4" s="713"/>
    </row>
    <row r="5" spans="2:19" x14ac:dyDescent="0.25">
      <c r="B5" s="282"/>
      <c r="C5" s="282"/>
      <c r="D5" s="282"/>
      <c r="E5" s="282"/>
      <c r="F5" s="282"/>
      <c r="G5" s="282"/>
      <c r="H5" s="282"/>
      <c r="Q5" s="283"/>
      <c r="R5" s="283"/>
      <c r="S5" s="284"/>
    </row>
    <row r="6" spans="2:19" x14ac:dyDescent="0.25">
      <c r="B6" s="713" t="s">
        <v>197</v>
      </c>
      <c r="C6" s="713"/>
      <c r="D6" s="713"/>
      <c r="E6" s="285"/>
      <c r="F6" s="285"/>
      <c r="G6" s="713" t="s">
        <v>29</v>
      </c>
      <c r="H6" s="713"/>
      <c r="I6" s="713"/>
      <c r="J6" s="713"/>
      <c r="K6" s="713"/>
      <c r="Q6" s="283"/>
      <c r="R6" s="283"/>
      <c r="S6" s="284"/>
    </row>
    <row r="7" spans="2:19" x14ac:dyDescent="0.25">
      <c r="B7" s="713" t="s">
        <v>5</v>
      </c>
      <c r="C7" s="713"/>
      <c r="D7" s="713"/>
      <c r="E7" s="285"/>
      <c r="F7" s="285"/>
      <c r="G7" s="713" t="s">
        <v>198</v>
      </c>
      <c r="H7" s="713"/>
      <c r="I7" s="713"/>
      <c r="J7" s="713"/>
      <c r="K7" s="713"/>
      <c r="Q7" s="286"/>
      <c r="R7" s="287"/>
      <c r="S7" s="284"/>
    </row>
    <row r="8" spans="2:19" x14ac:dyDescent="0.25">
      <c r="B8" s="713" t="s">
        <v>6</v>
      </c>
      <c r="C8" s="713"/>
      <c r="D8" s="713"/>
      <c r="E8" s="285"/>
      <c r="F8" s="285"/>
      <c r="G8" s="713" t="s">
        <v>31</v>
      </c>
      <c r="H8" s="713"/>
      <c r="I8" s="713"/>
      <c r="J8" s="713"/>
      <c r="K8" s="713"/>
      <c r="Q8" s="288"/>
      <c r="R8" s="289"/>
      <c r="S8" s="284"/>
    </row>
    <row r="9" spans="2:19" x14ac:dyDescent="0.25">
      <c r="B9" s="281"/>
      <c r="C9" s="281"/>
      <c r="D9" s="281"/>
      <c r="E9" s="281"/>
      <c r="F9" s="281"/>
      <c r="G9" s="713" t="s">
        <v>6</v>
      </c>
      <c r="H9" s="713"/>
      <c r="I9" s="713"/>
      <c r="J9" s="713"/>
      <c r="K9" s="713"/>
      <c r="Q9" s="288"/>
      <c r="R9" s="289"/>
      <c r="S9" s="284"/>
    </row>
    <row r="10" spans="2:19" x14ac:dyDescent="0.25">
      <c r="B10" s="290"/>
      <c r="C10" s="291" t="s">
        <v>199</v>
      </c>
      <c r="D10" s="292" t="s">
        <v>10</v>
      </c>
      <c r="H10" s="293"/>
      <c r="Q10" s="286"/>
      <c r="R10" s="287"/>
      <c r="S10" s="284"/>
    </row>
    <row r="11" spans="2:19" ht="15.6" x14ac:dyDescent="0.3">
      <c r="B11" s="294" t="s">
        <v>15</v>
      </c>
      <c r="C11" s="295">
        <v>2500</v>
      </c>
      <c r="D11" s="296">
        <v>3000</v>
      </c>
      <c r="E11" s="285"/>
      <c r="G11" s="297" t="s">
        <v>32</v>
      </c>
      <c r="H11" s="298"/>
      <c r="I11" s="298"/>
      <c r="J11" s="299" t="s">
        <v>199</v>
      </c>
      <c r="K11" s="292" t="s">
        <v>10</v>
      </c>
      <c r="Q11" s="288"/>
      <c r="R11" s="289"/>
      <c r="S11" s="284"/>
    </row>
    <row r="12" spans="2:19" x14ac:dyDescent="0.25">
      <c r="B12" s="300" t="s">
        <v>16</v>
      </c>
      <c r="C12" s="301">
        <v>1600</v>
      </c>
      <c r="D12" s="302">
        <v>1900</v>
      </c>
      <c r="E12" s="303"/>
      <c r="G12" s="707" t="s">
        <v>33</v>
      </c>
      <c r="H12" s="707"/>
      <c r="I12" s="707"/>
      <c r="J12" s="304"/>
      <c r="K12" s="305"/>
      <c r="Q12" s="288"/>
      <c r="R12" s="289"/>
      <c r="S12" s="284"/>
    </row>
    <row r="13" spans="2:19" x14ac:dyDescent="0.25">
      <c r="B13" s="300" t="s">
        <v>17</v>
      </c>
      <c r="C13" s="306">
        <f>+C11-C12</f>
        <v>900</v>
      </c>
      <c r="D13" s="307">
        <f>+D11-D12</f>
        <v>1100</v>
      </c>
      <c r="E13" s="303"/>
      <c r="G13" s="707" t="s">
        <v>34</v>
      </c>
      <c r="H13" s="707"/>
      <c r="I13" s="707"/>
      <c r="J13" s="308">
        <v>80</v>
      </c>
      <c r="K13" s="309">
        <v>110</v>
      </c>
      <c r="Q13" s="293"/>
      <c r="R13" s="310"/>
    </row>
    <row r="14" spans="2:19" x14ac:dyDescent="0.25">
      <c r="B14" s="300" t="s">
        <v>18</v>
      </c>
      <c r="C14" s="301">
        <v>145</v>
      </c>
      <c r="D14" s="302">
        <v>165</v>
      </c>
      <c r="E14" s="303"/>
      <c r="G14" s="707" t="s">
        <v>35</v>
      </c>
      <c r="H14" s="707"/>
      <c r="I14" s="707"/>
      <c r="J14" s="308">
        <v>75</v>
      </c>
      <c r="K14" s="309">
        <v>90</v>
      </c>
      <c r="Q14" s="311"/>
      <c r="R14" s="312"/>
    </row>
    <row r="15" spans="2:19" x14ac:dyDescent="0.25">
      <c r="B15" s="300" t="s">
        <v>19</v>
      </c>
      <c r="C15" s="301">
        <v>250</v>
      </c>
      <c r="D15" s="302">
        <v>160</v>
      </c>
      <c r="E15" s="303"/>
      <c r="G15" s="707" t="s">
        <v>36</v>
      </c>
      <c r="H15" s="707"/>
      <c r="I15" s="707"/>
      <c r="J15" s="313">
        <v>200</v>
      </c>
      <c r="K15" s="314">
        <v>235</v>
      </c>
      <c r="Q15" s="293"/>
      <c r="R15" s="310"/>
    </row>
    <row r="16" spans="2:19" x14ac:dyDescent="0.25">
      <c r="B16" s="300" t="s">
        <v>20</v>
      </c>
      <c r="C16" s="301">
        <v>20</v>
      </c>
      <c r="D16" s="302">
        <v>30</v>
      </c>
      <c r="E16" s="303"/>
      <c r="G16" s="707" t="s">
        <v>37</v>
      </c>
      <c r="H16" s="707"/>
      <c r="I16" s="707"/>
      <c r="J16" s="315">
        <v>280</v>
      </c>
      <c r="K16" s="316">
        <v>270</v>
      </c>
      <c r="Q16" s="317"/>
      <c r="R16" s="318"/>
    </row>
    <row r="17" spans="2:22" x14ac:dyDescent="0.25">
      <c r="B17" s="300" t="s">
        <v>21</v>
      </c>
      <c r="C17" s="319">
        <f>+C14+C15+C16</f>
        <v>415</v>
      </c>
      <c r="D17" s="320">
        <f>+D14+D15+D16</f>
        <v>355</v>
      </c>
      <c r="E17" s="303"/>
      <c r="G17" s="712" t="s">
        <v>38</v>
      </c>
      <c r="H17" s="712"/>
      <c r="I17" s="712"/>
      <c r="J17" s="321">
        <f>SUM(J13:J16)</f>
        <v>635</v>
      </c>
      <c r="K17" s="322">
        <f>SUM(K13:K16)</f>
        <v>705</v>
      </c>
      <c r="Q17" s="323"/>
      <c r="R17" s="324"/>
    </row>
    <row r="18" spans="2:22" x14ac:dyDescent="0.25">
      <c r="B18" s="300" t="s">
        <v>22</v>
      </c>
      <c r="C18" s="301">
        <f>+C13-C17</f>
        <v>485</v>
      </c>
      <c r="D18" s="302">
        <f>+D13-D17</f>
        <v>745</v>
      </c>
      <c r="E18" s="303"/>
      <c r="G18" s="707" t="s">
        <v>39</v>
      </c>
      <c r="H18" s="707"/>
      <c r="I18" s="707"/>
      <c r="J18" s="325"/>
      <c r="K18" s="326"/>
      <c r="Q18" s="317"/>
      <c r="R18" s="318"/>
    </row>
    <row r="19" spans="2:22" x14ac:dyDescent="0.25">
      <c r="B19" s="300" t="s">
        <v>23</v>
      </c>
      <c r="C19" s="301">
        <v>40</v>
      </c>
      <c r="D19" s="302">
        <v>50</v>
      </c>
      <c r="E19" s="303"/>
      <c r="G19" s="707" t="s">
        <v>200</v>
      </c>
      <c r="H19" s="707"/>
      <c r="I19" s="707"/>
      <c r="J19" s="327">
        <v>200</v>
      </c>
      <c r="K19" s="328">
        <v>260</v>
      </c>
      <c r="Q19" s="323"/>
      <c r="R19" s="324"/>
    </row>
    <row r="20" spans="2:22" x14ac:dyDescent="0.25">
      <c r="B20" s="300" t="s">
        <v>24</v>
      </c>
      <c r="C20" s="306">
        <f>+C18-C19</f>
        <v>445</v>
      </c>
      <c r="D20" s="329">
        <f>+D18-D19</f>
        <v>695</v>
      </c>
      <c r="E20" s="303"/>
      <c r="G20" s="709" t="s">
        <v>41</v>
      </c>
      <c r="H20" s="709"/>
      <c r="I20" s="709"/>
      <c r="J20" s="330">
        <v>-80</v>
      </c>
      <c r="K20" s="331">
        <v>-95</v>
      </c>
    </row>
    <row r="21" spans="2:22" x14ac:dyDescent="0.25">
      <c r="B21" s="300" t="s">
        <v>25</v>
      </c>
      <c r="C21" s="301">
        <f>+C20*30%</f>
        <v>133.5</v>
      </c>
      <c r="D21" s="302">
        <f>+D20*30%</f>
        <v>208.5</v>
      </c>
      <c r="E21" s="303"/>
      <c r="G21" s="708" t="s">
        <v>42</v>
      </c>
      <c r="H21" s="708"/>
      <c r="I21" s="708"/>
      <c r="J21" s="332">
        <f>SUM(J19:J20)</f>
        <v>120</v>
      </c>
      <c r="K21" s="333">
        <f>SUM(K19:K20)</f>
        <v>165</v>
      </c>
    </row>
    <row r="22" spans="2:22" x14ac:dyDescent="0.25">
      <c r="B22" s="334" t="s">
        <v>27</v>
      </c>
      <c r="C22" s="319">
        <f>+C20-C21</f>
        <v>311.5</v>
      </c>
      <c r="D22" s="320">
        <f>+D20-D21</f>
        <v>486.5</v>
      </c>
      <c r="E22" s="303"/>
      <c r="G22" s="710" t="s">
        <v>43</v>
      </c>
      <c r="H22" s="710"/>
      <c r="I22" s="710"/>
      <c r="J22" s="335">
        <f>+J17+J21</f>
        <v>755</v>
      </c>
      <c r="K22" s="335">
        <f>+K17+K21</f>
        <v>870</v>
      </c>
    </row>
    <row r="23" spans="2:22" x14ac:dyDescent="0.25">
      <c r="D23" s="336"/>
      <c r="F23" s="336"/>
      <c r="J23" s="337"/>
      <c r="K23" s="338"/>
    </row>
    <row r="24" spans="2:22" ht="15.6" x14ac:dyDescent="0.3">
      <c r="D24" s="336"/>
      <c r="F24" s="336"/>
      <c r="G24" s="711" t="s">
        <v>44</v>
      </c>
      <c r="H24" s="711"/>
      <c r="I24" s="711"/>
      <c r="J24" s="290"/>
      <c r="K24" s="339"/>
    </row>
    <row r="25" spans="2:22" x14ac:dyDescent="0.25">
      <c r="G25" s="707" t="s">
        <v>45</v>
      </c>
      <c r="H25" s="707"/>
      <c r="I25" s="707"/>
      <c r="J25" s="337"/>
      <c r="K25" s="305"/>
    </row>
    <row r="26" spans="2:22" ht="17.399999999999999" x14ac:dyDescent="0.3">
      <c r="G26" s="707" t="s">
        <v>46</v>
      </c>
      <c r="H26" s="707"/>
      <c r="I26" s="707"/>
      <c r="J26" s="308"/>
      <c r="K26" s="309"/>
      <c r="M26" s="340"/>
      <c r="N26" s="340"/>
      <c r="O26" s="285"/>
      <c r="P26" s="285"/>
      <c r="Q26" s="285"/>
      <c r="R26" s="285"/>
      <c r="S26" s="285"/>
      <c r="T26" s="285"/>
      <c r="U26" s="285"/>
      <c r="V26" s="285"/>
    </row>
    <row r="27" spans="2:22" ht="13.8" customHeight="1" x14ac:dyDescent="0.3">
      <c r="G27" s="707" t="s">
        <v>47</v>
      </c>
      <c r="H27" s="707"/>
      <c r="I27" s="707"/>
      <c r="J27" s="308">
        <v>170</v>
      </c>
      <c r="K27" s="309">
        <v>200</v>
      </c>
      <c r="M27" s="340"/>
      <c r="N27" s="340"/>
      <c r="O27" s="285"/>
      <c r="P27" s="285"/>
      <c r="Q27" s="285"/>
      <c r="R27" s="285"/>
      <c r="S27" s="285"/>
      <c r="T27" s="285"/>
      <c r="U27" s="285"/>
      <c r="V27" s="285"/>
    </row>
    <row r="28" spans="2:22" x14ac:dyDescent="0.25">
      <c r="G28" s="707" t="s">
        <v>48</v>
      </c>
      <c r="H28" s="707"/>
      <c r="I28" s="707"/>
      <c r="J28" s="308">
        <v>200</v>
      </c>
      <c r="K28" s="309">
        <v>240</v>
      </c>
      <c r="O28" s="285"/>
      <c r="P28" s="285"/>
      <c r="Q28" s="285"/>
      <c r="R28" s="285"/>
      <c r="S28" s="285"/>
      <c r="T28" s="285"/>
      <c r="U28" s="285"/>
      <c r="V28" s="285"/>
    </row>
    <row r="29" spans="2:22" x14ac:dyDescent="0.25">
      <c r="G29" s="707" t="s">
        <v>49</v>
      </c>
      <c r="H29" s="707"/>
      <c r="I29" s="707"/>
      <c r="J29" s="315">
        <v>45</v>
      </c>
      <c r="K29" s="316">
        <v>55</v>
      </c>
      <c r="O29" s="285"/>
      <c r="P29" s="285"/>
      <c r="Q29" s="285"/>
      <c r="R29" s="285"/>
      <c r="S29" s="285"/>
      <c r="T29" s="285"/>
      <c r="U29" s="285"/>
      <c r="V29" s="285"/>
    </row>
    <row r="30" spans="2:22" x14ac:dyDescent="0.25">
      <c r="G30" s="708" t="s">
        <v>50</v>
      </c>
      <c r="H30" s="708"/>
      <c r="I30" s="708"/>
      <c r="J30" s="321">
        <f>SUM(J27:J29)</f>
        <v>415</v>
      </c>
      <c r="K30" s="341">
        <f>SUM(K27:K29)</f>
        <v>495</v>
      </c>
      <c r="T30" s="281"/>
      <c r="U30" s="281"/>
      <c r="V30" s="285"/>
    </row>
    <row r="31" spans="2:22" ht="15.6" x14ac:dyDescent="0.3">
      <c r="G31" s="707" t="s">
        <v>51</v>
      </c>
      <c r="H31" s="707"/>
      <c r="I31" s="707"/>
      <c r="J31" s="342"/>
      <c r="K31" s="343"/>
      <c r="O31" s="344"/>
      <c r="R31" s="281"/>
      <c r="S31" s="281"/>
      <c r="T31" s="281"/>
      <c r="U31" s="281"/>
      <c r="V31" s="281"/>
    </row>
    <row r="32" spans="2:22" x14ac:dyDescent="0.25">
      <c r="G32" s="702" t="s">
        <v>52</v>
      </c>
      <c r="H32" s="702"/>
      <c r="I32" s="702"/>
      <c r="J32" s="345">
        <v>50</v>
      </c>
      <c r="K32" s="346">
        <v>45</v>
      </c>
      <c r="R32" s="282"/>
    </row>
    <row r="33" spans="2:22" x14ac:dyDescent="0.25">
      <c r="G33" s="347" t="s">
        <v>201</v>
      </c>
      <c r="J33" s="327">
        <f>+J32</f>
        <v>50</v>
      </c>
      <c r="K33" s="328">
        <f>+K32</f>
        <v>45</v>
      </c>
      <c r="R33" s="348"/>
      <c r="S33" s="348"/>
      <c r="T33" s="349"/>
      <c r="U33" s="350"/>
      <c r="V33" s="350"/>
    </row>
    <row r="34" spans="2:22" x14ac:dyDescent="0.25">
      <c r="G34" s="703" t="s">
        <v>53</v>
      </c>
      <c r="H34" s="703"/>
      <c r="I34" s="703"/>
      <c r="J34" s="351">
        <f>+J30+J33</f>
        <v>465</v>
      </c>
      <c r="K34" s="352">
        <f>+K30+K33</f>
        <v>540</v>
      </c>
      <c r="R34" s="348"/>
      <c r="S34" s="348"/>
      <c r="T34" s="349"/>
      <c r="U34" s="350"/>
      <c r="V34" s="350"/>
    </row>
    <row r="35" spans="2:22" x14ac:dyDescent="0.25">
      <c r="G35" s="347"/>
      <c r="J35" s="353"/>
      <c r="K35" s="354"/>
      <c r="R35" s="355"/>
      <c r="S35" s="355"/>
      <c r="T35" s="349"/>
      <c r="U35" s="350"/>
      <c r="V35" s="350"/>
    </row>
    <row r="36" spans="2:22" ht="15.6" x14ac:dyDescent="0.25">
      <c r="G36" s="704" t="s">
        <v>54</v>
      </c>
      <c r="H36" s="704"/>
      <c r="I36" s="704"/>
      <c r="J36" s="356"/>
      <c r="K36" s="357"/>
      <c r="M36" s="358"/>
      <c r="R36" s="348"/>
      <c r="S36" s="348"/>
      <c r="T36" s="349"/>
      <c r="U36" s="350"/>
      <c r="V36" s="350"/>
    </row>
    <row r="37" spans="2:22" x14ac:dyDescent="0.25">
      <c r="G37" s="705" t="s">
        <v>55</v>
      </c>
      <c r="H37" s="705"/>
      <c r="I37" s="705"/>
      <c r="J37" s="353">
        <v>40</v>
      </c>
      <c r="K37" s="354">
        <v>40</v>
      </c>
      <c r="O37" s="359"/>
      <c r="P37" s="359"/>
      <c r="Q37" s="359"/>
      <c r="R37" s="360"/>
      <c r="S37" s="361"/>
      <c r="T37" s="362"/>
      <c r="U37" s="363"/>
      <c r="V37" s="363"/>
    </row>
    <row r="38" spans="2:22" x14ac:dyDescent="0.25">
      <c r="G38" s="706" t="s">
        <v>56</v>
      </c>
      <c r="H38" s="706"/>
      <c r="I38" s="706"/>
      <c r="J38" s="353">
        <v>50</v>
      </c>
      <c r="K38" s="354">
        <v>50</v>
      </c>
      <c r="R38" s="348"/>
      <c r="S38" s="348"/>
      <c r="T38" s="349"/>
      <c r="U38" s="350"/>
      <c r="V38" s="318"/>
    </row>
    <row r="39" spans="2:22" x14ac:dyDescent="0.25">
      <c r="G39" s="702" t="s">
        <v>57</v>
      </c>
      <c r="H39" s="702"/>
      <c r="I39" s="702"/>
      <c r="J39" s="345">
        <v>200</v>
      </c>
      <c r="K39" s="346">
        <v>240</v>
      </c>
      <c r="R39" s="349"/>
      <c r="S39" s="349"/>
      <c r="T39" s="349"/>
      <c r="U39" s="350"/>
      <c r="V39" s="350"/>
    </row>
    <row r="40" spans="2:22" x14ac:dyDescent="0.25">
      <c r="G40" s="689" t="s">
        <v>58</v>
      </c>
      <c r="H40" s="689"/>
      <c r="I40" s="689"/>
      <c r="J40" s="364">
        <f>SUM(J37:J39)</f>
        <v>290</v>
      </c>
      <c r="K40" s="365">
        <f>SUM(K37:K39)</f>
        <v>330</v>
      </c>
      <c r="O40" s="366"/>
      <c r="P40" s="366"/>
      <c r="Q40" s="366"/>
      <c r="R40" s="367"/>
      <c r="S40" s="367"/>
      <c r="T40" s="367"/>
      <c r="U40" s="350"/>
      <c r="V40" s="350"/>
    </row>
    <row r="41" spans="2:22" x14ac:dyDescent="0.25">
      <c r="G41" s="690"/>
      <c r="H41" s="690"/>
      <c r="I41" s="690"/>
      <c r="J41" s="368"/>
      <c r="K41" s="369"/>
      <c r="O41" s="285"/>
      <c r="P41" s="285"/>
      <c r="Q41" s="285"/>
      <c r="R41" s="362"/>
      <c r="S41" s="362"/>
      <c r="T41" s="349"/>
      <c r="U41" s="350"/>
      <c r="V41" s="350"/>
    </row>
    <row r="42" spans="2:22" x14ac:dyDescent="0.25">
      <c r="G42" s="691" t="s">
        <v>59</v>
      </c>
      <c r="H42" s="691"/>
      <c r="I42" s="691"/>
      <c r="J42" s="370">
        <f>+J34+J40</f>
        <v>755</v>
      </c>
      <c r="K42" s="371">
        <f>+K34+K40</f>
        <v>870</v>
      </c>
      <c r="O42" s="285"/>
      <c r="P42" s="285"/>
      <c r="Q42" s="285"/>
      <c r="R42" s="362"/>
      <c r="S42" s="362"/>
      <c r="T42" s="349"/>
      <c r="U42" s="350"/>
      <c r="V42" s="350"/>
    </row>
    <row r="43" spans="2:22" x14ac:dyDescent="0.25">
      <c r="G43" s="372"/>
      <c r="H43" s="362"/>
      <c r="I43" s="373"/>
      <c r="J43" s="374"/>
      <c r="K43" s="372"/>
      <c r="T43" s="349"/>
      <c r="U43" s="350"/>
      <c r="V43" s="318"/>
    </row>
    <row r="44" spans="2:22" x14ac:dyDescent="0.25">
      <c r="G44" s="318"/>
      <c r="H44" s="348"/>
      <c r="I44" s="318"/>
      <c r="K44" s="318"/>
      <c r="O44" s="303"/>
      <c r="P44" s="303"/>
      <c r="Q44" s="303"/>
      <c r="R44" s="348"/>
      <c r="S44" s="348"/>
      <c r="T44" s="349"/>
      <c r="U44" s="350"/>
      <c r="V44" s="350"/>
    </row>
    <row r="45" spans="2:22" x14ac:dyDescent="0.25">
      <c r="G45" s="318"/>
      <c r="H45" s="348"/>
      <c r="I45" s="318"/>
      <c r="J45" s="318"/>
      <c r="K45" s="318"/>
      <c r="O45" s="347"/>
      <c r="P45" s="347"/>
      <c r="Q45" s="347"/>
      <c r="R45" s="360"/>
      <c r="S45" s="360"/>
      <c r="T45" s="349"/>
      <c r="U45" s="350"/>
      <c r="V45" s="350"/>
    </row>
    <row r="46" spans="2:22" x14ac:dyDescent="0.25">
      <c r="B46" s="347"/>
      <c r="C46" s="285"/>
      <c r="D46" s="360"/>
      <c r="E46" s="324"/>
      <c r="F46" s="324"/>
      <c r="G46" s="324"/>
      <c r="H46" s="360"/>
      <c r="I46" s="324"/>
      <c r="J46" s="324"/>
      <c r="K46" s="324"/>
      <c r="O46" s="347"/>
      <c r="P46" s="347"/>
      <c r="Q46" s="347"/>
      <c r="R46" s="360"/>
      <c r="S46" s="360"/>
      <c r="T46" s="362"/>
      <c r="U46" s="363"/>
      <c r="V46" s="363"/>
    </row>
    <row r="47" spans="2:22" x14ac:dyDescent="0.25">
      <c r="B47" s="347"/>
      <c r="D47" s="360"/>
      <c r="E47" s="363"/>
      <c r="F47" s="375"/>
      <c r="G47" s="376"/>
      <c r="H47" s="360"/>
      <c r="I47" s="363"/>
      <c r="J47" s="375"/>
      <c r="K47" s="376"/>
    </row>
    <row r="50" spans="2:19" ht="14.4" thickBot="1" x14ac:dyDescent="0.3"/>
    <row r="51" spans="2:19" ht="30.6" thickBot="1" x14ac:dyDescent="0.55000000000000004">
      <c r="B51" s="692" t="s">
        <v>202</v>
      </c>
      <c r="C51" s="693"/>
      <c r="D51" s="693"/>
      <c r="E51" s="693"/>
      <c r="F51" s="693"/>
      <c r="G51" s="693"/>
      <c r="H51" s="693"/>
      <c r="I51" s="693"/>
      <c r="J51" s="693"/>
      <c r="K51" s="693"/>
      <c r="L51" s="693"/>
      <c r="M51" s="693"/>
      <c r="N51" s="693"/>
      <c r="O51" s="693"/>
      <c r="P51" s="693"/>
      <c r="Q51" s="693"/>
      <c r="R51" s="693"/>
      <c r="S51" s="694"/>
    </row>
    <row r="52" spans="2:19" ht="30" customHeight="1" x14ac:dyDescent="0.25">
      <c r="B52" s="695" t="s">
        <v>203</v>
      </c>
      <c r="C52" s="695"/>
      <c r="D52" s="695"/>
      <c r="E52" s="695"/>
      <c r="F52" s="695"/>
      <c r="G52" s="695"/>
      <c r="H52" s="695"/>
      <c r="I52" s="695"/>
      <c r="J52" s="695"/>
      <c r="K52" s="695"/>
      <c r="L52" s="696" t="s">
        <v>204</v>
      </c>
      <c r="M52" s="696"/>
      <c r="N52" s="696"/>
      <c r="O52" s="697" t="s">
        <v>205</v>
      </c>
      <c r="P52" s="696" t="s">
        <v>8</v>
      </c>
      <c r="Q52" s="696"/>
      <c r="R52" s="696"/>
      <c r="S52" s="697" t="s">
        <v>206</v>
      </c>
    </row>
    <row r="53" spans="2:19" ht="17.399999999999999" x14ac:dyDescent="0.3">
      <c r="B53" s="699" t="s">
        <v>207</v>
      </c>
      <c r="C53" s="700"/>
      <c r="D53" s="700"/>
      <c r="E53" s="700"/>
      <c r="F53" s="700"/>
      <c r="G53" s="700"/>
      <c r="H53" s="700"/>
      <c r="I53" s="700"/>
      <c r="J53" s="700"/>
      <c r="K53" s="701"/>
      <c r="L53" s="695"/>
      <c r="M53" s="695"/>
      <c r="N53" s="695"/>
      <c r="O53" s="698"/>
      <c r="P53" s="695"/>
      <c r="Q53" s="695"/>
      <c r="R53" s="695"/>
      <c r="S53" s="698"/>
    </row>
    <row r="54" spans="2:19" x14ac:dyDescent="0.25">
      <c r="B54" s="290"/>
      <c r="C54" s="377"/>
      <c r="D54" s="377"/>
      <c r="E54" s="377"/>
      <c r="F54" s="377"/>
      <c r="G54" s="377"/>
      <c r="H54" s="377"/>
      <c r="I54" s="377"/>
      <c r="J54" s="377"/>
      <c r="K54" s="377"/>
      <c r="L54" s="377"/>
      <c r="M54" s="377"/>
      <c r="N54" s="377"/>
      <c r="O54" s="378"/>
      <c r="P54" s="377"/>
      <c r="Q54" s="377"/>
      <c r="R54" s="377"/>
      <c r="S54" s="379"/>
    </row>
    <row r="55" spans="2:19" x14ac:dyDescent="0.25">
      <c r="B55" s="380" t="s">
        <v>208</v>
      </c>
      <c r="O55" s="381"/>
      <c r="S55" s="382"/>
    </row>
    <row r="56" spans="2:19" ht="15" customHeight="1" x14ac:dyDescent="0.25">
      <c r="B56" s="685" t="s">
        <v>209</v>
      </c>
      <c r="C56" s="686"/>
      <c r="D56" s="686"/>
      <c r="E56" s="686"/>
      <c r="G56" s="674" t="s">
        <v>210</v>
      </c>
      <c r="H56" s="674"/>
      <c r="I56" s="674"/>
      <c r="J56" s="280" t="s">
        <v>211</v>
      </c>
      <c r="L56" s="383">
        <f>+J17</f>
        <v>635</v>
      </c>
      <c r="M56" s="282" t="s">
        <v>212</v>
      </c>
      <c r="N56" s="384">
        <f>+L56/L57</f>
        <v>1.5301204819277108</v>
      </c>
      <c r="O56" s="381">
        <v>1.6</v>
      </c>
      <c r="P56" s="383">
        <f>+K17</f>
        <v>705</v>
      </c>
      <c r="Q56" s="282" t="s">
        <v>212</v>
      </c>
      <c r="R56" s="384">
        <f>+P56/P57</f>
        <v>1.4242424242424243</v>
      </c>
      <c r="S56" s="382">
        <v>1.5</v>
      </c>
    </row>
    <row r="57" spans="2:19" x14ac:dyDescent="0.25">
      <c r="B57" s="685"/>
      <c r="C57" s="686"/>
      <c r="D57" s="686"/>
      <c r="E57" s="686"/>
      <c r="H57" s="282" t="s">
        <v>213</v>
      </c>
      <c r="I57" s="282"/>
      <c r="L57" s="385">
        <f>+J30</f>
        <v>415</v>
      </c>
      <c r="M57" s="282"/>
      <c r="N57" s="282"/>
      <c r="O57" s="381"/>
      <c r="P57" s="385">
        <f>+K30</f>
        <v>495</v>
      </c>
      <c r="Q57" s="282"/>
      <c r="R57" s="282"/>
      <c r="S57" s="382"/>
    </row>
    <row r="58" spans="2:19" x14ac:dyDescent="0.25">
      <c r="B58" s="685"/>
      <c r="C58" s="686"/>
      <c r="D58" s="686"/>
      <c r="E58" s="686"/>
      <c r="L58" s="282"/>
      <c r="M58" s="282"/>
      <c r="N58" s="282"/>
      <c r="O58" s="381"/>
      <c r="P58" s="282"/>
      <c r="Q58" s="282"/>
      <c r="R58" s="282"/>
      <c r="S58" s="382"/>
    </row>
    <row r="59" spans="2:19" x14ac:dyDescent="0.25">
      <c r="B59" s="337"/>
      <c r="L59" s="282"/>
      <c r="M59" s="282"/>
      <c r="N59" s="282"/>
      <c r="O59" s="381"/>
      <c r="P59" s="282"/>
      <c r="Q59" s="282"/>
      <c r="R59" s="282"/>
      <c r="S59" s="382"/>
    </row>
    <row r="60" spans="2:19" x14ac:dyDescent="0.25">
      <c r="B60" s="380" t="s">
        <v>214</v>
      </c>
      <c r="L60" s="282"/>
      <c r="M60" s="282"/>
      <c r="N60" s="282"/>
      <c r="O60" s="381"/>
      <c r="P60" s="282"/>
      <c r="Q60" s="282"/>
      <c r="R60" s="282"/>
      <c r="S60" s="382"/>
    </row>
    <row r="61" spans="2:19" x14ac:dyDescent="0.25">
      <c r="B61" s="687" t="s">
        <v>215</v>
      </c>
      <c r="C61" s="688"/>
      <c r="D61" s="688"/>
      <c r="E61" s="688"/>
      <c r="G61" s="674" t="s">
        <v>216</v>
      </c>
      <c r="H61" s="674"/>
      <c r="I61" s="674"/>
      <c r="J61" s="280" t="s">
        <v>211</v>
      </c>
      <c r="L61" s="383">
        <f>+(J17-J16)</f>
        <v>355</v>
      </c>
      <c r="M61" s="282" t="s">
        <v>212</v>
      </c>
      <c r="N61" s="384">
        <f>+L61/L62</f>
        <v>0.85542168674698793</v>
      </c>
      <c r="O61" s="386">
        <v>1.1000000000000001</v>
      </c>
      <c r="P61" s="383">
        <f>+(K17-K16)</f>
        <v>435</v>
      </c>
      <c r="Q61" s="282" t="s">
        <v>212</v>
      </c>
      <c r="R61" s="384">
        <f>+P61/P62</f>
        <v>0.87878787878787878</v>
      </c>
      <c r="S61" s="387">
        <v>1</v>
      </c>
    </row>
    <row r="62" spans="2:19" x14ac:dyDescent="0.25">
      <c r="B62" s="687"/>
      <c r="C62" s="688"/>
      <c r="D62" s="688"/>
      <c r="E62" s="688"/>
      <c r="G62" s="680" t="s">
        <v>213</v>
      </c>
      <c r="H62" s="680"/>
      <c r="I62" s="680"/>
      <c r="L62" s="385">
        <f>+J30</f>
        <v>415</v>
      </c>
      <c r="M62" s="282"/>
      <c r="N62" s="282"/>
      <c r="O62" s="381"/>
      <c r="P62" s="385">
        <f>+K30</f>
        <v>495</v>
      </c>
      <c r="Q62" s="282"/>
      <c r="R62" s="282"/>
      <c r="S62" s="382"/>
    </row>
    <row r="63" spans="2:19" x14ac:dyDescent="0.25">
      <c r="B63" s="687"/>
      <c r="C63" s="688"/>
      <c r="D63" s="688"/>
      <c r="E63" s="688"/>
      <c r="O63" s="381"/>
      <c r="S63" s="382"/>
    </row>
    <row r="64" spans="2:19" x14ac:dyDescent="0.25">
      <c r="B64" s="337"/>
      <c r="O64" s="381"/>
      <c r="S64" s="382"/>
    </row>
    <row r="65" spans="2:19" ht="29.25" customHeight="1" x14ac:dyDescent="0.25">
      <c r="B65" s="388" t="s">
        <v>217</v>
      </c>
      <c r="G65" s="684" t="s">
        <v>218</v>
      </c>
      <c r="H65" s="684"/>
      <c r="I65" s="684"/>
      <c r="J65" s="280" t="s">
        <v>211</v>
      </c>
      <c r="L65" s="389">
        <f>+C12</f>
        <v>1600</v>
      </c>
      <c r="M65" s="282" t="s">
        <v>212</v>
      </c>
      <c r="N65" s="384">
        <f>+L65/L66</f>
        <v>5.7142857142857144</v>
      </c>
      <c r="O65" s="381">
        <v>9</v>
      </c>
      <c r="P65" s="389">
        <f>+D12</f>
        <v>1900</v>
      </c>
      <c r="Q65" s="282" t="s">
        <v>212</v>
      </c>
      <c r="R65" s="384">
        <f>+P65/P66</f>
        <v>7.0370370370370372</v>
      </c>
      <c r="S65" s="382">
        <v>10</v>
      </c>
    </row>
    <row r="66" spans="2:19" x14ac:dyDescent="0.25">
      <c r="B66" s="337" t="s">
        <v>219</v>
      </c>
      <c r="G66" s="680" t="s">
        <v>220</v>
      </c>
      <c r="H66" s="680"/>
      <c r="I66" s="680"/>
      <c r="L66" s="349">
        <f>+J16</f>
        <v>280</v>
      </c>
      <c r="O66" s="381"/>
      <c r="P66" s="349">
        <f>+K16</f>
        <v>270</v>
      </c>
      <c r="S66" s="305"/>
    </row>
    <row r="67" spans="2:19" x14ac:dyDescent="0.25">
      <c r="B67" s="337"/>
      <c r="O67" s="381"/>
      <c r="S67" s="305"/>
    </row>
    <row r="68" spans="2:19" ht="39" customHeight="1" x14ac:dyDescent="0.25">
      <c r="B68" s="380" t="s">
        <v>221</v>
      </c>
      <c r="G68" s="684" t="s">
        <v>36</v>
      </c>
      <c r="H68" s="684"/>
      <c r="I68" s="684"/>
      <c r="J68" s="282" t="s">
        <v>222</v>
      </c>
      <c r="L68" s="390">
        <f>+J15</f>
        <v>200</v>
      </c>
      <c r="M68" s="282" t="s">
        <v>212</v>
      </c>
      <c r="N68" s="391">
        <f>+L68/L69</f>
        <v>29.2</v>
      </c>
      <c r="O68" s="381">
        <v>32</v>
      </c>
      <c r="P68" s="390">
        <f>+K15</f>
        <v>235</v>
      </c>
      <c r="Q68" s="282" t="s">
        <v>212</v>
      </c>
      <c r="R68" s="391">
        <f>+P68/P69</f>
        <v>28.591666666666665</v>
      </c>
      <c r="S68" s="382">
        <v>30</v>
      </c>
    </row>
    <row r="69" spans="2:19" x14ac:dyDescent="0.25">
      <c r="B69" s="675" t="s">
        <v>223</v>
      </c>
      <c r="C69" s="676"/>
      <c r="D69" s="676"/>
      <c r="E69" s="676"/>
      <c r="G69" s="680" t="s">
        <v>224</v>
      </c>
      <c r="H69" s="680"/>
      <c r="I69" s="680"/>
      <c r="L69" s="394">
        <f>+(C11/365)</f>
        <v>6.8493150684931505</v>
      </c>
      <c r="O69" s="381"/>
      <c r="P69" s="394">
        <f>+(D11/365)</f>
        <v>8.2191780821917817</v>
      </c>
      <c r="S69" s="305"/>
    </row>
    <row r="70" spans="2:19" x14ac:dyDescent="0.25">
      <c r="B70" s="675"/>
      <c r="C70" s="676"/>
      <c r="D70" s="676"/>
      <c r="E70" s="676"/>
      <c r="O70" s="381"/>
      <c r="S70" s="305"/>
    </row>
    <row r="71" spans="2:19" x14ac:dyDescent="0.25">
      <c r="B71" s="392"/>
      <c r="C71" s="393"/>
      <c r="D71" s="393"/>
      <c r="E71" s="393"/>
      <c r="O71" s="381"/>
      <c r="S71" s="305"/>
    </row>
    <row r="72" spans="2:19" ht="39" customHeight="1" x14ac:dyDescent="0.25">
      <c r="B72" s="380" t="s">
        <v>225</v>
      </c>
      <c r="G72" s="684" t="s">
        <v>47</v>
      </c>
      <c r="H72" s="684"/>
      <c r="I72" s="684"/>
      <c r="J72" s="282" t="s">
        <v>222</v>
      </c>
      <c r="L72" s="390">
        <f>+J27</f>
        <v>170</v>
      </c>
      <c r="M72" s="282" t="s">
        <v>212</v>
      </c>
      <c r="N72" s="391">
        <f>+L72/L73</f>
        <v>24.82</v>
      </c>
      <c r="O72" s="381">
        <v>30</v>
      </c>
      <c r="P72" s="390">
        <f>+K27</f>
        <v>200</v>
      </c>
      <c r="Q72" s="282" t="s">
        <v>212</v>
      </c>
      <c r="R72" s="391">
        <f>+P72/P73</f>
        <v>24.333333333333332</v>
      </c>
      <c r="S72" s="382">
        <v>35</v>
      </c>
    </row>
    <row r="73" spans="2:19" x14ac:dyDescent="0.25">
      <c r="B73" s="675" t="s">
        <v>226</v>
      </c>
      <c r="C73" s="676"/>
      <c r="D73" s="676"/>
      <c r="E73" s="676"/>
      <c r="G73" s="677" t="s">
        <v>224</v>
      </c>
      <c r="H73" s="677"/>
      <c r="I73" s="677"/>
      <c r="L73" s="394">
        <f>+(C11/365)</f>
        <v>6.8493150684931505</v>
      </c>
      <c r="O73" s="381"/>
      <c r="P73" s="394">
        <f>+(D11/365)</f>
        <v>8.2191780821917817</v>
      </c>
      <c r="S73" s="305"/>
    </row>
    <row r="74" spans="2:19" x14ac:dyDescent="0.25">
      <c r="B74" s="675"/>
      <c r="C74" s="676"/>
      <c r="D74" s="676"/>
      <c r="E74" s="676"/>
      <c r="O74" s="381"/>
      <c r="S74" s="305"/>
    </row>
    <row r="75" spans="2:19" x14ac:dyDescent="0.25">
      <c r="B75" s="337"/>
      <c r="O75" s="381"/>
      <c r="S75" s="305"/>
    </row>
    <row r="76" spans="2:19" x14ac:dyDescent="0.25">
      <c r="B76" s="380" t="s">
        <v>227</v>
      </c>
      <c r="G76" s="674" t="s">
        <v>103</v>
      </c>
      <c r="H76" s="674"/>
      <c r="I76" s="674"/>
      <c r="J76" s="280" t="s">
        <v>211</v>
      </c>
      <c r="L76" s="389">
        <f>+C11</f>
        <v>2500</v>
      </c>
      <c r="M76" s="282" t="s">
        <v>212</v>
      </c>
      <c r="N76" s="391">
        <f>+L76/L77</f>
        <v>3.3112582781456954</v>
      </c>
      <c r="O76" s="381">
        <v>3.5</v>
      </c>
      <c r="P76" s="389">
        <f>+D11</f>
        <v>3000</v>
      </c>
      <c r="Q76" s="282" t="s">
        <v>212</v>
      </c>
      <c r="R76" s="391">
        <f>+P76/P77</f>
        <v>3.4482758620689653</v>
      </c>
      <c r="S76" s="382">
        <v>3.5</v>
      </c>
    </row>
    <row r="77" spans="2:19" x14ac:dyDescent="0.25">
      <c r="B77" s="675" t="s">
        <v>228</v>
      </c>
      <c r="C77" s="676"/>
      <c r="D77" s="676"/>
      <c r="E77" s="676"/>
      <c r="G77" s="680" t="s">
        <v>229</v>
      </c>
      <c r="H77" s="680"/>
      <c r="I77" s="680"/>
      <c r="L77" s="349">
        <f>+J22</f>
        <v>755</v>
      </c>
      <c r="P77" s="349">
        <f>+K22</f>
        <v>870</v>
      </c>
      <c r="S77" s="305"/>
    </row>
    <row r="78" spans="2:19" x14ac:dyDescent="0.25">
      <c r="B78" s="678"/>
      <c r="C78" s="679"/>
      <c r="D78" s="679"/>
      <c r="E78" s="679"/>
      <c r="F78" s="395"/>
      <c r="G78" s="395"/>
      <c r="H78" s="395"/>
      <c r="I78" s="395"/>
      <c r="J78" s="395"/>
      <c r="K78" s="395"/>
      <c r="L78" s="395"/>
      <c r="M78" s="395"/>
      <c r="N78" s="395"/>
      <c r="O78" s="395"/>
      <c r="P78" s="395"/>
      <c r="Q78" s="395"/>
      <c r="R78" s="395"/>
      <c r="S78" s="396"/>
    </row>
    <row r="80" spans="2:19" ht="17.399999999999999" x14ac:dyDescent="0.3">
      <c r="B80" s="681" t="s">
        <v>230</v>
      </c>
      <c r="C80" s="682"/>
      <c r="D80" s="682"/>
      <c r="E80" s="682"/>
      <c r="F80" s="682"/>
      <c r="G80" s="682"/>
      <c r="H80" s="682"/>
      <c r="I80" s="682"/>
      <c r="J80" s="682"/>
      <c r="K80" s="682"/>
      <c r="L80" s="377"/>
      <c r="M80" s="377"/>
      <c r="N80" s="377"/>
      <c r="O80" s="377"/>
      <c r="P80" s="377"/>
      <c r="Q80" s="377"/>
      <c r="R80" s="377"/>
      <c r="S80" s="339"/>
    </row>
    <row r="81" spans="2:19" x14ac:dyDescent="0.25">
      <c r="B81" s="337"/>
      <c r="S81" s="305"/>
    </row>
    <row r="82" spans="2:19" x14ac:dyDescent="0.25">
      <c r="B82" s="380" t="s">
        <v>231</v>
      </c>
      <c r="S82" s="305"/>
    </row>
    <row r="83" spans="2:19" ht="14.25" customHeight="1" x14ac:dyDescent="0.25">
      <c r="B83" s="675" t="s">
        <v>232</v>
      </c>
      <c r="C83" s="676"/>
      <c r="D83" s="676"/>
      <c r="E83" s="676"/>
      <c r="G83" s="674" t="s">
        <v>233</v>
      </c>
      <c r="H83" s="674"/>
      <c r="I83" s="674"/>
      <c r="J83" s="280" t="s">
        <v>234</v>
      </c>
      <c r="L83" s="390">
        <f>+J34</f>
        <v>465</v>
      </c>
      <c r="M83" s="282" t="s">
        <v>212</v>
      </c>
      <c r="N83" s="397">
        <f>+L83/L84</f>
        <v>0.61589403973509937</v>
      </c>
      <c r="O83" s="398">
        <v>0.55000000000000004</v>
      </c>
      <c r="P83" s="390">
        <f>+K34</f>
        <v>540</v>
      </c>
      <c r="Q83" s="282" t="s">
        <v>212</v>
      </c>
      <c r="R83" s="397">
        <f>+P83/P84</f>
        <v>0.62068965517241381</v>
      </c>
      <c r="S83" s="399">
        <v>0.52</v>
      </c>
    </row>
    <row r="84" spans="2:19" x14ac:dyDescent="0.25">
      <c r="B84" s="678"/>
      <c r="C84" s="679"/>
      <c r="D84" s="679"/>
      <c r="E84" s="679"/>
      <c r="F84" s="395"/>
      <c r="G84" s="683" t="s">
        <v>229</v>
      </c>
      <c r="H84" s="683"/>
      <c r="I84" s="683"/>
      <c r="J84" s="395"/>
      <c r="K84" s="395"/>
      <c r="L84" s="390">
        <f>+J22</f>
        <v>755</v>
      </c>
      <c r="M84" s="395"/>
      <c r="N84" s="395"/>
      <c r="O84" s="400"/>
      <c r="P84" s="390">
        <f>+K22</f>
        <v>870</v>
      </c>
      <c r="Q84" s="395"/>
      <c r="R84" s="395"/>
      <c r="S84" s="396"/>
    </row>
    <row r="85" spans="2:19" x14ac:dyDescent="0.25">
      <c r="O85" s="381"/>
    </row>
    <row r="86" spans="2:19" ht="17.399999999999999" x14ac:dyDescent="0.3">
      <c r="B86" s="401" t="s">
        <v>235</v>
      </c>
      <c r="C86" s="377"/>
      <c r="D86" s="377"/>
      <c r="E86" s="377"/>
      <c r="F86" s="377"/>
      <c r="G86" s="377"/>
      <c r="H86" s="377"/>
      <c r="I86" s="377"/>
      <c r="J86" s="377"/>
      <c r="K86" s="377"/>
      <c r="L86" s="377"/>
      <c r="M86" s="377"/>
      <c r="N86" s="377"/>
      <c r="O86" s="378"/>
      <c r="P86" s="377"/>
      <c r="Q86" s="377"/>
      <c r="R86" s="377"/>
      <c r="S86" s="339"/>
    </row>
    <row r="87" spans="2:19" x14ac:dyDescent="0.25">
      <c r="B87" s="337"/>
      <c r="O87" s="381"/>
      <c r="S87" s="305"/>
    </row>
    <row r="88" spans="2:19" x14ac:dyDescent="0.25">
      <c r="B88" s="380" t="s">
        <v>236</v>
      </c>
      <c r="G88" s="674" t="s">
        <v>237</v>
      </c>
      <c r="H88" s="674"/>
      <c r="I88" s="674"/>
      <c r="J88" s="280" t="s">
        <v>234</v>
      </c>
      <c r="L88" s="389">
        <f>+C18</f>
        <v>485</v>
      </c>
      <c r="M88" s="282" t="s">
        <v>212</v>
      </c>
      <c r="N88" s="402">
        <f>+L88/L89</f>
        <v>0.19400000000000001</v>
      </c>
      <c r="O88" s="403">
        <v>0.25</v>
      </c>
      <c r="P88" s="389">
        <f>+D18</f>
        <v>745</v>
      </c>
      <c r="Q88" s="282" t="s">
        <v>212</v>
      </c>
      <c r="R88" s="397">
        <f>+P88/P89</f>
        <v>0.24833333333333332</v>
      </c>
      <c r="S88" s="404">
        <v>0.3</v>
      </c>
    </row>
    <row r="89" spans="2:19" x14ac:dyDescent="0.25">
      <c r="B89" s="675" t="s">
        <v>238</v>
      </c>
      <c r="C89" s="676"/>
      <c r="D89" s="676"/>
      <c r="E89" s="676"/>
      <c r="G89" s="677" t="s">
        <v>103</v>
      </c>
      <c r="H89" s="677"/>
      <c r="I89" s="677"/>
      <c r="L89" s="394">
        <f>+C11</f>
        <v>2500</v>
      </c>
      <c r="O89" s="381"/>
      <c r="P89" s="394">
        <f>+D11</f>
        <v>3000</v>
      </c>
      <c r="S89" s="305"/>
    </row>
    <row r="90" spans="2:19" x14ac:dyDescent="0.25">
      <c r="B90" s="675"/>
      <c r="C90" s="676"/>
      <c r="D90" s="676"/>
      <c r="E90" s="676"/>
      <c r="O90" s="381"/>
      <c r="S90" s="305"/>
    </row>
    <row r="91" spans="2:19" x14ac:dyDescent="0.25">
      <c r="B91" s="337"/>
      <c r="O91" s="381"/>
      <c r="S91" s="305"/>
    </row>
    <row r="92" spans="2:19" x14ac:dyDescent="0.25">
      <c r="B92" s="380" t="s">
        <v>239</v>
      </c>
      <c r="G92" s="674" t="s">
        <v>104</v>
      </c>
      <c r="H92" s="674"/>
      <c r="I92" s="674"/>
      <c r="J92" s="280" t="s">
        <v>234</v>
      </c>
      <c r="L92" s="389">
        <f>+C22</f>
        <v>311.5</v>
      </c>
      <c r="M92" s="282" t="s">
        <v>212</v>
      </c>
      <c r="N92" s="405">
        <f>+L92/L93</f>
        <v>0.1246</v>
      </c>
      <c r="O92" s="403">
        <v>0.1</v>
      </c>
      <c r="P92" s="389">
        <f>+D22</f>
        <v>486.5</v>
      </c>
      <c r="Q92" s="282" t="s">
        <v>212</v>
      </c>
      <c r="R92" s="406">
        <f>+P92/P93</f>
        <v>0.16216666666666665</v>
      </c>
      <c r="S92" s="404">
        <v>0.15</v>
      </c>
    </row>
    <row r="93" spans="2:19" x14ac:dyDescent="0.25">
      <c r="B93" s="675" t="s">
        <v>240</v>
      </c>
      <c r="C93" s="676"/>
      <c r="D93" s="676"/>
      <c r="E93" s="676"/>
      <c r="G93" s="677" t="s">
        <v>103</v>
      </c>
      <c r="H93" s="677"/>
      <c r="I93" s="677"/>
      <c r="L93" s="394">
        <f>+C11</f>
        <v>2500</v>
      </c>
      <c r="O93" s="381"/>
      <c r="P93" s="394">
        <f>+D11</f>
        <v>3000</v>
      </c>
      <c r="S93" s="305"/>
    </row>
    <row r="94" spans="2:19" x14ac:dyDescent="0.25">
      <c r="B94" s="675"/>
      <c r="C94" s="676"/>
      <c r="D94" s="676"/>
      <c r="E94" s="676"/>
      <c r="O94" s="381"/>
      <c r="S94" s="305"/>
    </row>
    <row r="95" spans="2:19" x14ac:dyDescent="0.25">
      <c r="B95" s="337"/>
      <c r="O95" s="381"/>
      <c r="S95" s="305"/>
    </row>
    <row r="96" spans="2:19" x14ac:dyDescent="0.25">
      <c r="B96" s="380" t="s">
        <v>241</v>
      </c>
      <c r="G96" s="674" t="s">
        <v>104</v>
      </c>
      <c r="H96" s="674"/>
      <c r="I96" s="674"/>
      <c r="J96" s="280" t="s">
        <v>234</v>
      </c>
      <c r="L96" s="389">
        <f>+C22</f>
        <v>311.5</v>
      </c>
      <c r="M96" s="282" t="s">
        <v>212</v>
      </c>
      <c r="N96" s="407">
        <f>+L96/L97</f>
        <v>0.41258278145695365</v>
      </c>
      <c r="O96" s="408">
        <v>0.4</v>
      </c>
      <c r="P96" s="389">
        <f>+D22</f>
        <v>486.5</v>
      </c>
      <c r="Q96" s="282" t="s">
        <v>212</v>
      </c>
      <c r="R96" s="406">
        <f>+P96/P97</f>
        <v>0.55919540229885056</v>
      </c>
      <c r="S96" s="409">
        <v>0.5</v>
      </c>
    </row>
    <row r="97" spans="1:19" x14ac:dyDescent="0.25">
      <c r="B97" s="675" t="s">
        <v>242</v>
      </c>
      <c r="C97" s="676"/>
      <c r="D97" s="676"/>
      <c r="E97" s="676"/>
      <c r="G97" s="677" t="s">
        <v>243</v>
      </c>
      <c r="H97" s="677"/>
      <c r="I97" s="677"/>
      <c r="L97" s="349">
        <f>+J22</f>
        <v>755</v>
      </c>
      <c r="O97" s="381"/>
      <c r="P97" s="349">
        <f>+K22</f>
        <v>870</v>
      </c>
      <c r="S97" s="305"/>
    </row>
    <row r="98" spans="1:19" x14ac:dyDescent="0.25">
      <c r="B98" s="675"/>
      <c r="C98" s="676"/>
      <c r="D98" s="676"/>
      <c r="E98" s="676"/>
      <c r="O98" s="381"/>
      <c r="S98" s="305"/>
    </row>
    <row r="99" spans="1:19" x14ac:dyDescent="0.25">
      <c r="B99" s="337"/>
      <c r="O99" s="381"/>
      <c r="S99" s="305"/>
    </row>
    <row r="100" spans="1:19" x14ac:dyDescent="0.25">
      <c r="B100" s="380" t="s">
        <v>244</v>
      </c>
      <c r="G100" s="674" t="s">
        <v>104</v>
      </c>
      <c r="H100" s="674"/>
      <c r="I100" s="674"/>
      <c r="J100" s="280" t="s">
        <v>234</v>
      </c>
      <c r="L100" s="389">
        <f>+C22</f>
        <v>311.5</v>
      </c>
      <c r="M100" s="282" t="s">
        <v>212</v>
      </c>
      <c r="N100" s="407">
        <f>+L100/L101</f>
        <v>1.0741379310344827</v>
      </c>
      <c r="O100" s="408">
        <v>0.8</v>
      </c>
      <c r="P100" s="389">
        <f>+D22</f>
        <v>486.5</v>
      </c>
      <c r="Q100" s="282" t="s">
        <v>212</v>
      </c>
      <c r="R100" s="406">
        <f>+P100/P101</f>
        <v>1.4742424242424241</v>
      </c>
      <c r="S100" s="409">
        <v>0.9</v>
      </c>
    </row>
    <row r="101" spans="1:19" x14ac:dyDescent="0.25">
      <c r="B101" s="675" t="s">
        <v>245</v>
      </c>
      <c r="C101" s="676"/>
      <c r="D101" s="676"/>
      <c r="E101" s="676"/>
      <c r="F101" s="676"/>
      <c r="G101" s="677" t="s">
        <v>246</v>
      </c>
      <c r="H101" s="677"/>
      <c r="I101" s="677"/>
      <c r="L101" s="349">
        <f>+J40</f>
        <v>290</v>
      </c>
      <c r="O101" s="381"/>
      <c r="P101" s="349">
        <f>+K40</f>
        <v>330</v>
      </c>
      <c r="S101" s="305"/>
    </row>
    <row r="102" spans="1:19" x14ac:dyDescent="0.25">
      <c r="B102" s="678"/>
      <c r="C102" s="679"/>
      <c r="D102" s="679"/>
      <c r="E102" s="679"/>
      <c r="F102" s="679"/>
      <c r="G102" s="395"/>
      <c r="H102" s="395"/>
      <c r="I102" s="395"/>
      <c r="J102" s="395"/>
      <c r="K102" s="395"/>
      <c r="L102" s="395"/>
      <c r="M102" s="395"/>
      <c r="N102" s="395"/>
      <c r="O102" s="395"/>
      <c r="P102" s="395"/>
      <c r="Q102" s="395"/>
      <c r="R102" s="395"/>
      <c r="S102" s="396"/>
    </row>
    <row r="106" spans="1:19" x14ac:dyDescent="0.25">
      <c r="A106" s="662">
        <v>3</v>
      </c>
      <c r="B106" s="598" t="s">
        <v>269</v>
      </c>
      <c r="C106" s="598"/>
      <c r="D106" s="598"/>
      <c r="E106" s="598"/>
      <c r="F106" s="598"/>
      <c r="G106" s="598"/>
      <c r="H106" s="598"/>
      <c r="I106" s="598"/>
      <c r="J106" s="598"/>
      <c r="K106" s="598"/>
      <c r="L106" s="598"/>
      <c r="M106" s="598"/>
      <c r="N106" s="598"/>
      <c r="O106" s="598"/>
      <c r="P106" s="598"/>
      <c r="Q106" s="598"/>
      <c r="R106" s="598"/>
      <c r="S106" s="598"/>
    </row>
    <row r="107" spans="1:19" x14ac:dyDescent="0.25">
      <c r="A107" s="662"/>
      <c r="B107" s="598"/>
      <c r="C107" s="598"/>
      <c r="D107" s="598"/>
      <c r="E107" s="598"/>
      <c r="F107" s="598"/>
      <c r="G107" s="598"/>
      <c r="H107" s="598"/>
      <c r="I107" s="598"/>
      <c r="J107" s="598"/>
      <c r="K107" s="598"/>
      <c r="L107" s="598"/>
      <c r="M107" s="598"/>
      <c r="N107" s="598"/>
      <c r="O107" s="598"/>
      <c r="P107" s="598"/>
      <c r="Q107" s="598"/>
      <c r="R107" s="598"/>
      <c r="S107" s="598"/>
    </row>
    <row r="108" spans="1:19" x14ac:dyDescent="0.25">
      <c r="A108" s="278"/>
      <c r="B108" s="279"/>
      <c r="C108" s="279"/>
      <c r="D108" s="279"/>
      <c r="E108" s="279"/>
      <c r="F108" s="279"/>
      <c r="G108" s="279"/>
      <c r="H108" s="279"/>
      <c r="I108" s="279"/>
      <c r="J108" s="279"/>
      <c r="K108" s="279"/>
      <c r="L108" s="279"/>
      <c r="M108" s="279"/>
      <c r="N108" s="279"/>
      <c r="O108" s="279"/>
      <c r="P108" s="279"/>
      <c r="Q108" s="279"/>
      <c r="R108" s="279"/>
      <c r="S108" s="279"/>
    </row>
    <row r="109" spans="1:19" ht="16.2" thickBot="1" x14ac:dyDescent="0.35">
      <c r="A109" s="160"/>
      <c r="B109" s="154"/>
      <c r="C109" s="639" t="s">
        <v>186</v>
      </c>
      <c r="D109" s="639"/>
      <c r="E109" s="639"/>
      <c r="F109" s="639"/>
      <c r="G109" s="639"/>
      <c r="H109" s="639" t="s">
        <v>187</v>
      </c>
      <c r="I109" s="639"/>
      <c r="J109" s="639"/>
      <c r="K109" s="639"/>
      <c r="L109" s="639"/>
      <c r="M109" s="154"/>
      <c r="N109" s="154"/>
      <c r="O109" s="154"/>
      <c r="P109" s="154"/>
      <c r="Q109" s="154"/>
      <c r="R109" s="154"/>
      <c r="S109" s="154"/>
    </row>
    <row r="110" spans="1:19" ht="14.4" thickTop="1" x14ac:dyDescent="0.25">
      <c r="A110" s="154"/>
      <c r="B110" s="671" t="s">
        <v>71</v>
      </c>
      <c r="C110" s="640" t="s">
        <v>263</v>
      </c>
      <c r="D110" s="640"/>
      <c r="E110" s="640"/>
      <c r="F110" s="640"/>
      <c r="G110" s="640"/>
      <c r="H110" s="673" t="s">
        <v>264</v>
      </c>
      <c r="I110" s="673"/>
      <c r="J110" s="673"/>
      <c r="K110" s="673"/>
      <c r="L110" s="673"/>
      <c r="M110" s="154"/>
      <c r="N110" s="154"/>
      <c r="O110" s="154"/>
      <c r="P110" s="154"/>
      <c r="Q110" s="154"/>
      <c r="R110" s="154"/>
      <c r="S110" s="154"/>
    </row>
    <row r="111" spans="1:19" x14ac:dyDescent="0.25">
      <c r="A111" s="154"/>
      <c r="B111" s="671"/>
      <c r="C111" s="638"/>
      <c r="D111" s="638"/>
      <c r="E111" s="638"/>
      <c r="F111" s="638"/>
      <c r="G111" s="638"/>
      <c r="H111" s="672"/>
      <c r="I111" s="672"/>
      <c r="J111" s="672"/>
      <c r="K111" s="672"/>
      <c r="L111" s="672"/>
      <c r="M111" s="154"/>
      <c r="N111" s="154"/>
      <c r="O111" s="154"/>
      <c r="P111" s="154"/>
      <c r="Q111" s="154"/>
      <c r="R111" s="154"/>
      <c r="S111" s="154"/>
    </row>
    <row r="112" spans="1:19" x14ac:dyDescent="0.25">
      <c r="A112" s="154"/>
      <c r="B112" s="671" t="s">
        <v>72</v>
      </c>
      <c r="C112" s="638" t="s">
        <v>265</v>
      </c>
      <c r="D112" s="638"/>
      <c r="E112" s="638"/>
      <c r="F112" s="638"/>
      <c r="G112" s="638"/>
      <c r="H112" s="672" t="s">
        <v>266</v>
      </c>
      <c r="I112" s="672"/>
      <c r="J112" s="672"/>
      <c r="K112" s="672"/>
      <c r="L112" s="672"/>
      <c r="M112" s="154"/>
      <c r="N112" s="154"/>
      <c r="O112" s="154"/>
      <c r="P112" s="154"/>
      <c r="Q112" s="154"/>
      <c r="R112" s="154"/>
      <c r="S112" s="154"/>
    </row>
    <row r="113" spans="1:19" x14ac:dyDescent="0.25">
      <c r="A113" s="154"/>
      <c r="B113" s="671"/>
      <c r="C113" s="638"/>
      <c r="D113" s="638"/>
      <c r="E113" s="638"/>
      <c r="F113" s="638"/>
      <c r="G113" s="638"/>
      <c r="H113" s="672"/>
      <c r="I113" s="672"/>
      <c r="J113" s="672"/>
      <c r="K113" s="672"/>
      <c r="L113" s="672"/>
      <c r="M113" s="154"/>
      <c r="N113" s="154"/>
      <c r="O113" s="154"/>
      <c r="P113" s="154"/>
      <c r="Q113" s="154"/>
      <c r="R113" s="154"/>
      <c r="S113" s="154"/>
    </row>
    <row r="114" spans="1:19" x14ac:dyDescent="0.25">
      <c r="A114" s="154"/>
      <c r="B114" s="671" t="s">
        <v>73</v>
      </c>
      <c r="C114" s="672" t="s">
        <v>267</v>
      </c>
      <c r="D114" s="672"/>
      <c r="E114" s="672"/>
      <c r="F114" s="672"/>
      <c r="G114" s="672"/>
      <c r="H114" s="672" t="s">
        <v>268</v>
      </c>
      <c r="I114" s="672"/>
      <c r="J114" s="672"/>
      <c r="K114" s="672"/>
      <c r="L114" s="672"/>
      <c r="M114" s="154"/>
      <c r="N114" s="154"/>
      <c r="O114" s="154"/>
      <c r="P114" s="154"/>
      <c r="Q114" s="154"/>
      <c r="R114" s="154"/>
      <c r="S114" s="154"/>
    </row>
    <row r="115" spans="1:19" x14ac:dyDescent="0.25">
      <c r="A115" s="154"/>
      <c r="B115" s="671"/>
      <c r="C115" s="672"/>
      <c r="D115" s="672"/>
      <c r="E115" s="672"/>
      <c r="F115" s="672"/>
      <c r="G115" s="672"/>
      <c r="H115" s="672"/>
      <c r="I115" s="672"/>
      <c r="J115" s="672"/>
      <c r="K115" s="672"/>
      <c r="L115" s="672"/>
      <c r="M115" s="154"/>
      <c r="N115" s="154"/>
      <c r="O115" s="154"/>
      <c r="P115" s="154"/>
      <c r="Q115" s="154"/>
      <c r="R115" s="154"/>
      <c r="S115" s="154"/>
    </row>
    <row r="116" spans="1:19" ht="14.4" x14ac:dyDescent="0.3">
      <c r="A116"/>
      <c r="B116"/>
      <c r="C116"/>
      <c r="D116"/>
      <c r="E116"/>
      <c r="F116"/>
      <c r="G116"/>
      <c r="H116"/>
      <c r="I116"/>
      <c r="J116"/>
      <c r="K116"/>
      <c r="L116"/>
      <c r="M116"/>
      <c r="N116"/>
      <c r="O116"/>
      <c r="P116"/>
      <c r="Q116"/>
      <c r="R116"/>
      <c r="S116"/>
    </row>
  </sheetData>
  <mergeCells count="90">
    <mergeCell ref="G12:I12"/>
    <mergeCell ref="B2:S2"/>
    <mergeCell ref="B3:H3"/>
    <mergeCell ref="B4:H4"/>
    <mergeCell ref="B6:D6"/>
    <mergeCell ref="G6:K6"/>
    <mergeCell ref="B7:D7"/>
    <mergeCell ref="G7:K7"/>
    <mergeCell ref="B8:D8"/>
    <mergeCell ref="G8:K8"/>
    <mergeCell ref="G9:K9"/>
    <mergeCell ref="G25:I25"/>
    <mergeCell ref="G13:I13"/>
    <mergeCell ref="G14:I14"/>
    <mergeCell ref="G15:I15"/>
    <mergeCell ref="G16:I16"/>
    <mergeCell ref="G17:I17"/>
    <mergeCell ref="G18:I18"/>
    <mergeCell ref="G19:I19"/>
    <mergeCell ref="G20:I20"/>
    <mergeCell ref="G21:I21"/>
    <mergeCell ref="G22:I22"/>
    <mergeCell ref="G24:I24"/>
    <mergeCell ref="G39:I39"/>
    <mergeCell ref="G26:I26"/>
    <mergeCell ref="G27:I27"/>
    <mergeCell ref="G28:I28"/>
    <mergeCell ref="G29:I29"/>
    <mergeCell ref="G30:I30"/>
    <mergeCell ref="G31:I31"/>
    <mergeCell ref="G32:I32"/>
    <mergeCell ref="G34:I34"/>
    <mergeCell ref="G36:I36"/>
    <mergeCell ref="G37:I37"/>
    <mergeCell ref="G38:I38"/>
    <mergeCell ref="G40:I40"/>
    <mergeCell ref="G41:I41"/>
    <mergeCell ref="G42:I42"/>
    <mergeCell ref="B51:S51"/>
    <mergeCell ref="B52:K52"/>
    <mergeCell ref="L52:N53"/>
    <mergeCell ref="O52:O53"/>
    <mergeCell ref="P52:R53"/>
    <mergeCell ref="S52:S53"/>
    <mergeCell ref="B53:K53"/>
    <mergeCell ref="B73:E74"/>
    <mergeCell ref="G73:I73"/>
    <mergeCell ref="B56:E58"/>
    <mergeCell ref="G56:I56"/>
    <mergeCell ref="B61:E63"/>
    <mergeCell ref="G61:I61"/>
    <mergeCell ref="G62:I62"/>
    <mergeCell ref="G65:I65"/>
    <mergeCell ref="G66:I66"/>
    <mergeCell ref="G68:I68"/>
    <mergeCell ref="B69:E70"/>
    <mergeCell ref="G69:I69"/>
    <mergeCell ref="G72:I72"/>
    <mergeCell ref="G76:I76"/>
    <mergeCell ref="B77:E78"/>
    <mergeCell ref="G77:I77"/>
    <mergeCell ref="B80:K80"/>
    <mergeCell ref="B83:E84"/>
    <mergeCell ref="G83:I83"/>
    <mergeCell ref="G84:I84"/>
    <mergeCell ref="G88:I88"/>
    <mergeCell ref="B89:E90"/>
    <mergeCell ref="G89:I89"/>
    <mergeCell ref="G92:I92"/>
    <mergeCell ref="B93:E94"/>
    <mergeCell ref="G93:I93"/>
    <mergeCell ref="G96:I96"/>
    <mergeCell ref="B97:E98"/>
    <mergeCell ref="G97:I97"/>
    <mergeCell ref="G100:I100"/>
    <mergeCell ref="B101:F102"/>
    <mergeCell ref="G101:I101"/>
    <mergeCell ref="A106:A107"/>
    <mergeCell ref="B106:S107"/>
    <mergeCell ref="C109:G109"/>
    <mergeCell ref="H109:L109"/>
    <mergeCell ref="B110:B111"/>
    <mergeCell ref="C110:G111"/>
    <mergeCell ref="H110:L111"/>
    <mergeCell ref="B112:B113"/>
    <mergeCell ref="C112:G113"/>
    <mergeCell ref="H112:L113"/>
    <mergeCell ref="B114:B115"/>
    <mergeCell ref="C114:G115"/>
    <mergeCell ref="H114:L1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4336E-BC4F-46CB-89F6-72334E3DBB8E}">
  <sheetPr>
    <pageSetUpPr fitToPage="1"/>
  </sheetPr>
  <dimension ref="B2:N54"/>
  <sheetViews>
    <sheetView topLeftCell="A11" workbookViewId="0">
      <selection activeCell="I29" sqref="I29:K29"/>
    </sheetView>
  </sheetViews>
  <sheetFormatPr baseColWidth="10" defaultColWidth="11.44140625" defaultRowHeight="13.8" x14ac:dyDescent="0.25"/>
  <cols>
    <col min="1" max="1" width="11.44140625" style="154"/>
    <col min="2" max="2" width="3.88671875" style="154" customWidth="1"/>
    <col min="3" max="6" width="11.44140625" style="154"/>
    <col min="7" max="7" width="14.109375" style="154" customWidth="1"/>
    <col min="8" max="8" width="16.5546875" style="154" customWidth="1"/>
    <col min="9" max="9" width="19.5546875" style="154" customWidth="1"/>
    <col min="10" max="10" width="11.44140625" style="154"/>
    <col min="11" max="11" width="18.44140625" style="154" customWidth="1"/>
    <col min="12" max="16384" width="11.44140625" style="154"/>
  </cols>
  <sheetData>
    <row r="2" spans="2:14" ht="14.25" customHeight="1" x14ac:dyDescent="0.25">
      <c r="B2" s="662">
        <v>2</v>
      </c>
      <c r="C2" s="598" t="s">
        <v>270</v>
      </c>
      <c r="D2" s="598"/>
      <c r="E2" s="598"/>
      <c r="F2" s="598"/>
      <c r="G2" s="598"/>
      <c r="H2" s="598"/>
      <c r="I2" s="598"/>
      <c r="J2" s="598"/>
      <c r="K2" s="598"/>
      <c r="L2" s="157"/>
      <c r="M2" s="157"/>
      <c r="N2" s="157"/>
    </row>
    <row r="3" spans="2:14" x14ac:dyDescent="0.25">
      <c r="B3" s="662"/>
      <c r="C3" s="598"/>
      <c r="D3" s="598"/>
      <c r="E3" s="598"/>
      <c r="F3" s="598"/>
      <c r="G3" s="598"/>
      <c r="H3" s="598"/>
      <c r="I3" s="598"/>
      <c r="J3" s="598"/>
      <c r="K3" s="598"/>
      <c r="L3" s="157"/>
      <c r="M3" s="157"/>
      <c r="N3" s="157"/>
    </row>
    <row r="4" spans="2:14" x14ac:dyDescent="0.25">
      <c r="B4" s="662"/>
      <c r="C4" s="598"/>
      <c r="D4" s="598"/>
      <c r="E4" s="598"/>
      <c r="F4" s="598"/>
      <c r="G4" s="598"/>
      <c r="H4" s="598"/>
      <c r="I4" s="598"/>
      <c r="J4" s="598"/>
      <c r="K4" s="598"/>
      <c r="L4" s="157"/>
      <c r="M4" s="157"/>
      <c r="N4" s="157"/>
    </row>
    <row r="5" spans="2:14" x14ac:dyDescent="0.25">
      <c r="B5" s="662"/>
      <c r="C5" s="598"/>
      <c r="D5" s="598"/>
      <c r="E5" s="598"/>
      <c r="F5" s="598"/>
      <c r="G5" s="598"/>
      <c r="H5" s="598"/>
      <c r="I5" s="598"/>
      <c r="J5" s="598"/>
      <c r="K5" s="598"/>
      <c r="L5" s="157"/>
      <c r="M5" s="157"/>
      <c r="N5" s="157"/>
    </row>
    <row r="6" spans="2:14" x14ac:dyDescent="0.25">
      <c r="B6" s="417"/>
      <c r="C6" s="418"/>
      <c r="D6" s="418"/>
      <c r="E6" s="418"/>
      <c r="F6" s="418"/>
      <c r="G6" s="418"/>
      <c r="H6" s="418"/>
      <c r="I6" s="418"/>
      <c r="J6" s="418"/>
      <c r="K6" s="418"/>
      <c r="L6" s="418"/>
      <c r="M6" s="418"/>
      <c r="N6" s="418"/>
    </row>
    <row r="7" spans="2:14" ht="15" customHeight="1" x14ac:dyDescent="0.25">
      <c r="C7" s="725" t="s">
        <v>271</v>
      </c>
      <c r="D7" s="725"/>
      <c r="E7" s="725"/>
      <c r="F7" s="725" t="s">
        <v>204</v>
      </c>
      <c r="G7" s="725" t="s">
        <v>8</v>
      </c>
      <c r="H7" s="726" t="s">
        <v>272</v>
      </c>
      <c r="I7" s="726" t="s">
        <v>273</v>
      </c>
    </row>
    <row r="8" spans="2:14" ht="27" customHeight="1" x14ac:dyDescent="0.25">
      <c r="C8" s="725"/>
      <c r="D8" s="725"/>
      <c r="E8" s="725"/>
      <c r="F8" s="725"/>
      <c r="G8" s="725"/>
      <c r="H8" s="726"/>
      <c r="I8" s="726"/>
    </row>
    <row r="9" spans="2:14" x14ac:dyDescent="0.25">
      <c r="C9" s="653" t="s">
        <v>274</v>
      </c>
      <c r="D9" s="653"/>
      <c r="E9" s="653"/>
      <c r="F9" s="175" t="s">
        <v>275</v>
      </c>
      <c r="G9" s="175" t="s">
        <v>276</v>
      </c>
      <c r="H9" s="175" t="s">
        <v>277</v>
      </c>
      <c r="I9" s="175" t="s">
        <v>278</v>
      </c>
    </row>
    <row r="10" spans="2:14" x14ac:dyDescent="0.25">
      <c r="C10" s="653" t="s">
        <v>279</v>
      </c>
      <c r="D10" s="653"/>
      <c r="E10" s="653"/>
      <c r="F10" s="419">
        <v>0.57999999999999996</v>
      </c>
      <c r="G10" s="419">
        <v>0.52</v>
      </c>
      <c r="H10" s="419">
        <v>0.5</v>
      </c>
      <c r="I10" s="419">
        <v>0.53</v>
      </c>
    </row>
    <row r="11" spans="2:14" x14ac:dyDescent="0.25">
      <c r="C11" s="653" t="s">
        <v>239</v>
      </c>
      <c r="D11" s="653"/>
      <c r="E11" s="653"/>
      <c r="F11" s="419">
        <v>0.1</v>
      </c>
      <c r="G11" s="419">
        <v>0.08</v>
      </c>
      <c r="H11" s="419">
        <v>0.12</v>
      </c>
      <c r="I11" s="419">
        <v>0.14000000000000001</v>
      </c>
    </row>
    <row r="12" spans="2:14" x14ac:dyDescent="0.25">
      <c r="C12" s="653" t="s">
        <v>280</v>
      </c>
      <c r="D12" s="653"/>
      <c r="E12" s="653"/>
      <c r="F12" s="175" t="s">
        <v>281</v>
      </c>
      <c r="G12" s="175" t="s">
        <v>282</v>
      </c>
      <c r="H12" s="175" t="s">
        <v>283</v>
      </c>
      <c r="I12" s="175" t="s">
        <v>283</v>
      </c>
    </row>
    <row r="13" spans="2:14" x14ac:dyDescent="0.25">
      <c r="C13" s="653" t="s">
        <v>284</v>
      </c>
      <c r="D13" s="653"/>
      <c r="E13" s="653"/>
      <c r="F13" s="420">
        <v>0.63349999999999995</v>
      </c>
      <c r="G13" s="420">
        <v>0.53449999999999998</v>
      </c>
      <c r="H13" s="419">
        <v>0.5</v>
      </c>
      <c r="I13" s="419">
        <v>0.45</v>
      </c>
    </row>
    <row r="14" spans="2:14" x14ac:dyDescent="0.25">
      <c r="C14" s="653" t="s">
        <v>285</v>
      </c>
      <c r="D14" s="653"/>
      <c r="E14" s="653"/>
      <c r="F14" s="175" t="s">
        <v>286</v>
      </c>
      <c r="G14" s="175" t="s">
        <v>287</v>
      </c>
      <c r="H14" s="175" t="s">
        <v>288</v>
      </c>
      <c r="I14" s="175" t="s">
        <v>289</v>
      </c>
    </row>
    <row r="15" spans="2:14" x14ac:dyDescent="0.25">
      <c r="C15" s="653" t="s">
        <v>290</v>
      </c>
      <c r="D15" s="653"/>
      <c r="E15" s="653"/>
      <c r="F15" s="419">
        <v>0.09</v>
      </c>
      <c r="G15" s="419">
        <v>0.11</v>
      </c>
      <c r="H15" s="419">
        <v>0.15</v>
      </c>
      <c r="I15" s="419">
        <v>0.18</v>
      </c>
    </row>
    <row r="16" spans="2:14" x14ac:dyDescent="0.25">
      <c r="C16" s="653" t="s">
        <v>291</v>
      </c>
      <c r="D16" s="653"/>
      <c r="E16" s="653"/>
      <c r="F16" s="175" t="s">
        <v>292</v>
      </c>
      <c r="G16" s="175" t="s">
        <v>293</v>
      </c>
      <c r="H16" s="175" t="s">
        <v>294</v>
      </c>
      <c r="I16" s="175" t="s">
        <v>295</v>
      </c>
    </row>
    <row r="17" spans="2:11" x14ac:dyDescent="0.25">
      <c r="C17" s="653" t="s">
        <v>296</v>
      </c>
      <c r="D17" s="653"/>
      <c r="E17" s="653"/>
      <c r="F17" s="175" t="s">
        <v>297</v>
      </c>
      <c r="G17" s="175" t="s">
        <v>298</v>
      </c>
      <c r="H17" s="175" t="s">
        <v>299</v>
      </c>
      <c r="I17" s="175" t="s">
        <v>300</v>
      </c>
    </row>
    <row r="18" spans="2:11" x14ac:dyDescent="0.25">
      <c r="C18" s="653" t="s">
        <v>301</v>
      </c>
      <c r="D18" s="653"/>
      <c r="E18" s="653"/>
      <c r="F18" s="419">
        <v>0.41</v>
      </c>
      <c r="G18" s="419">
        <v>0.43</v>
      </c>
      <c r="H18" s="419">
        <v>0.5</v>
      </c>
      <c r="I18" s="419">
        <v>0.5</v>
      </c>
    </row>
    <row r="19" spans="2:11" x14ac:dyDescent="0.25">
      <c r="C19" s="653" t="s">
        <v>302</v>
      </c>
      <c r="D19" s="653"/>
      <c r="E19" s="653"/>
      <c r="F19" s="175" t="s">
        <v>303</v>
      </c>
      <c r="G19" s="175" t="s">
        <v>304</v>
      </c>
      <c r="H19" s="175" t="s">
        <v>286</v>
      </c>
      <c r="I19" s="175" t="s">
        <v>286</v>
      </c>
    </row>
    <row r="20" spans="2:11" x14ac:dyDescent="0.25">
      <c r="C20" s="653" t="s">
        <v>305</v>
      </c>
      <c r="D20" s="653"/>
      <c r="E20" s="653"/>
      <c r="F20" s="419">
        <v>0.03</v>
      </c>
      <c r="G20" s="420">
        <v>3.1E-2</v>
      </c>
      <c r="H20" s="419">
        <v>0.04</v>
      </c>
      <c r="I20" s="419">
        <v>0.05</v>
      </c>
    </row>
    <row r="23" spans="2:11" x14ac:dyDescent="0.25">
      <c r="B23" s="646" t="s">
        <v>306</v>
      </c>
      <c r="C23" s="723" t="s">
        <v>307</v>
      </c>
      <c r="D23" s="723"/>
      <c r="E23" s="723"/>
      <c r="F23" s="723"/>
      <c r="G23" s="723"/>
      <c r="H23" s="723"/>
      <c r="I23" s="723"/>
      <c r="J23" s="723"/>
      <c r="K23" s="723"/>
    </row>
    <row r="24" spans="2:11" x14ac:dyDescent="0.25">
      <c r="B24" s="646"/>
      <c r="C24" s="723"/>
      <c r="D24" s="723"/>
      <c r="E24" s="723"/>
      <c r="F24" s="723"/>
      <c r="G24" s="723"/>
      <c r="H24" s="723"/>
      <c r="I24" s="723"/>
      <c r="J24" s="723"/>
      <c r="K24" s="723"/>
    </row>
    <row r="26" spans="2:11" x14ac:dyDescent="0.25">
      <c r="C26" s="724" t="s">
        <v>271</v>
      </c>
      <c r="D26" s="724"/>
      <c r="E26" s="724"/>
      <c r="F26" s="724" t="s">
        <v>308</v>
      </c>
      <c r="G26" s="724"/>
      <c r="H26" s="724"/>
      <c r="I26" s="724" t="s">
        <v>309</v>
      </c>
      <c r="J26" s="724"/>
      <c r="K26" s="724"/>
    </row>
    <row r="27" spans="2:11" x14ac:dyDescent="0.25">
      <c r="C27" s="724"/>
      <c r="D27" s="724"/>
      <c r="E27" s="724"/>
      <c r="F27" s="724"/>
      <c r="G27" s="724"/>
      <c r="H27" s="724"/>
      <c r="I27" s="724"/>
      <c r="J27" s="724"/>
      <c r="K27" s="724"/>
    </row>
    <row r="28" spans="2:11" ht="74.25" customHeight="1" x14ac:dyDescent="0.25">
      <c r="C28" s="715" t="s">
        <v>274</v>
      </c>
      <c r="D28" s="715"/>
      <c r="E28" s="715"/>
      <c r="F28" s="721"/>
      <c r="G28" s="721"/>
      <c r="H28" s="721"/>
      <c r="I28" s="716" t="s">
        <v>310</v>
      </c>
      <c r="J28" s="716"/>
      <c r="K28" s="716"/>
    </row>
    <row r="29" spans="2:11" ht="109.2" customHeight="1" x14ac:dyDescent="0.25">
      <c r="C29" s="715" t="s">
        <v>279</v>
      </c>
      <c r="D29" s="715"/>
      <c r="E29" s="715"/>
      <c r="F29" s="716" t="s">
        <v>311</v>
      </c>
      <c r="G29" s="716"/>
      <c r="H29" s="716"/>
      <c r="I29" s="716" t="s">
        <v>312</v>
      </c>
      <c r="J29" s="716"/>
      <c r="K29" s="716"/>
    </row>
    <row r="30" spans="2:11" ht="75.75" customHeight="1" x14ac:dyDescent="0.25">
      <c r="C30" s="715" t="s">
        <v>239</v>
      </c>
      <c r="D30" s="715"/>
      <c r="E30" s="715"/>
      <c r="F30" s="722"/>
      <c r="G30" s="722"/>
      <c r="H30" s="722"/>
      <c r="I30" s="720" t="s">
        <v>313</v>
      </c>
      <c r="J30" s="720"/>
      <c r="K30" s="720"/>
    </row>
    <row r="31" spans="2:11" ht="41.25" customHeight="1" x14ac:dyDescent="0.25">
      <c r="C31" s="715" t="s">
        <v>280</v>
      </c>
      <c r="D31" s="715"/>
      <c r="E31" s="715"/>
      <c r="F31" s="717" t="s">
        <v>314</v>
      </c>
      <c r="G31" s="717"/>
      <c r="H31" s="717"/>
      <c r="I31" s="716" t="s">
        <v>315</v>
      </c>
      <c r="J31" s="716"/>
      <c r="K31" s="716"/>
    </row>
    <row r="32" spans="2:11" ht="74.25" customHeight="1" x14ac:dyDescent="0.25">
      <c r="C32" s="715" t="s">
        <v>284</v>
      </c>
      <c r="D32" s="715"/>
      <c r="E32" s="715"/>
      <c r="F32" s="720" t="s">
        <v>316</v>
      </c>
      <c r="G32" s="720"/>
      <c r="H32" s="720"/>
      <c r="I32" s="720" t="s">
        <v>317</v>
      </c>
      <c r="J32" s="720"/>
      <c r="K32" s="720"/>
    </row>
    <row r="33" spans="2:11" ht="48.75" customHeight="1" x14ac:dyDescent="0.25">
      <c r="C33" s="715" t="s">
        <v>285</v>
      </c>
      <c r="D33" s="715"/>
      <c r="E33" s="715"/>
      <c r="F33" s="720" t="s">
        <v>318</v>
      </c>
      <c r="G33" s="720"/>
      <c r="H33" s="720"/>
      <c r="I33" s="720" t="s">
        <v>319</v>
      </c>
      <c r="J33" s="720"/>
      <c r="K33" s="720"/>
    </row>
    <row r="34" spans="2:11" ht="63.75" customHeight="1" x14ac:dyDescent="0.25">
      <c r="C34" s="715" t="s">
        <v>290</v>
      </c>
      <c r="D34" s="715"/>
      <c r="E34" s="715"/>
      <c r="F34" s="716" t="s">
        <v>320</v>
      </c>
      <c r="G34" s="716"/>
      <c r="H34" s="716"/>
      <c r="I34" s="716" t="s">
        <v>321</v>
      </c>
      <c r="J34" s="716"/>
      <c r="K34" s="716"/>
    </row>
    <row r="35" spans="2:11" ht="87.75" customHeight="1" x14ac:dyDescent="0.25">
      <c r="C35" s="715" t="s">
        <v>291</v>
      </c>
      <c r="D35" s="715"/>
      <c r="E35" s="715"/>
      <c r="F35" s="721"/>
      <c r="G35" s="721"/>
      <c r="H35" s="721"/>
      <c r="I35" s="716" t="s">
        <v>322</v>
      </c>
      <c r="J35" s="716"/>
      <c r="K35" s="716"/>
    </row>
    <row r="36" spans="2:11" ht="72" customHeight="1" x14ac:dyDescent="0.25">
      <c r="C36" s="715" t="s">
        <v>296</v>
      </c>
      <c r="D36" s="715"/>
      <c r="E36" s="715"/>
      <c r="F36" s="716" t="s">
        <v>323</v>
      </c>
      <c r="G36" s="716"/>
      <c r="H36" s="716"/>
      <c r="I36" s="717" t="s">
        <v>324</v>
      </c>
      <c r="J36" s="717"/>
      <c r="K36" s="717"/>
    </row>
    <row r="37" spans="2:11" ht="57" customHeight="1" x14ac:dyDescent="0.25">
      <c r="C37" s="715" t="s">
        <v>301</v>
      </c>
      <c r="D37" s="715"/>
      <c r="E37" s="715"/>
      <c r="F37" s="716" t="s">
        <v>325</v>
      </c>
      <c r="G37" s="716"/>
      <c r="H37" s="716"/>
      <c r="I37" s="720" t="s">
        <v>326</v>
      </c>
      <c r="J37" s="720"/>
      <c r="K37" s="720"/>
    </row>
    <row r="38" spans="2:11" ht="48" customHeight="1" x14ac:dyDescent="0.25">
      <c r="C38" s="715" t="s">
        <v>302</v>
      </c>
      <c r="D38" s="715"/>
      <c r="E38" s="715"/>
      <c r="F38" s="717" t="s">
        <v>327</v>
      </c>
      <c r="G38" s="717"/>
      <c r="H38" s="717"/>
      <c r="I38" s="720" t="s">
        <v>328</v>
      </c>
      <c r="J38" s="720"/>
      <c r="K38" s="720"/>
    </row>
    <row r="39" spans="2:11" ht="45" customHeight="1" x14ac:dyDescent="0.25">
      <c r="C39" s="715" t="s">
        <v>305</v>
      </c>
      <c r="D39" s="715"/>
      <c r="E39" s="715"/>
      <c r="F39" s="716" t="s">
        <v>329</v>
      </c>
      <c r="G39" s="716"/>
      <c r="H39" s="716"/>
      <c r="I39" s="717" t="s">
        <v>330</v>
      </c>
      <c r="J39" s="717"/>
      <c r="K39" s="717"/>
    </row>
    <row r="43" spans="2:11" x14ac:dyDescent="0.25">
      <c r="B43" s="421" t="s">
        <v>306</v>
      </c>
    </row>
    <row r="44" spans="2:11" x14ac:dyDescent="0.25">
      <c r="C44" s="421" t="s">
        <v>331</v>
      </c>
      <c r="D44" s="421"/>
      <c r="E44" s="421"/>
      <c r="F44" s="421"/>
      <c r="G44" s="421"/>
      <c r="H44" s="421"/>
      <c r="I44" s="421"/>
    </row>
    <row r="46" spans="2:11" x14ac:dyDescent="0.25">
      <c r="C46" s="718" t="s">
        <v>332</v>
      </c>
      <c r="D46" s="718"/>
      <c r="E46" s="718"/>
      <c r="F46" s="718"/>
      <c r="G46" s="718"/>
      <c r="H46" s="718"/>
      <c r="I46" s="718"/>
      <c r="J46" s="718"/>
      <c r="K46" s="718"/>
    </row>
    <row r="47" spans="2:11" x14ac:dyDescent="0.25">
      <c r="C47" s="718"/>
      <c r="D47" s="718"/>
      <c r="E47" s="718"/>
      <c r="F47" s="718"/>
      <c r="G47" s="718"/>
      <c r="H47" s="718"/>
      <c r="I47" s="718"/>
      <c r="J47" s="718"/>
      <c r="K47" s="718"/>
    </row>
    <row r="48" spans="2:11" ht="36" customHeight="1" x14ac:dyDescent="0.25">
      <c r="C48" s="718"/>
      <c r="D48" s="718"/>
      <c r="E48" s="718"/>
      <c r="F48" s="718"/>
      <c r="G48" s="718"/>
      <c r="H48" s="718"/>
      <c r="I48" s="718"/>
      <c r="J48" s="718"/>
      <c r="K48" s="718"/>
    </row>
    <row r="49" spans="2:11" ht="36" customHeight="1" x14ac:dyDescent="0.25">
      <c r="C49" s="718" t="s">
        <v>333</v>
      </c>
      <c r="D49" s="718"/>
      <c r="E49" s="718"/>
      <c r="F49" s="718"/>
      <c r="G49" s="718"/>
      <c r="H49" s="718"/>
      <c r="I49" s="718"/>
      <c r="J49" s="718"/>
      <c r="K49" s="718"/>
    </row>
    <row r="50" spans="2:11" x14ac:dyDescent="0.25">
      <c r="B50" s="421" t="s">
        <v>306</v>
      </c>
    </row>
    <row r="51" spans="2:11" x14ac:dyDescent="0.25">
      <c r="C51" s="421" t="s">
        <v>334</v>
      </c>
    </row>
    <row r="53" spans="2:11" x14ac:dyDescent="0.25">
      <c r="C53" s="719" t="s">
        <v>335</v>
      </c>
      <c r="D53" s="719"/>
      <c r="E53" s="719"/>
      <c r="F53" s="719"/>
      <c r="G53" s="719"/>
      <c r="H53" s="719"/>
      <c r="I53" s="719"/>
      <c r="J53" s="719"/>
      <c r="K53" s="719"/>
    </row>
    <row r="54" spans="2:11" x14ac:dyDescent="0.25">
      <c r="C54" s="719"/>
      <c r="D54" s="719"/>
      <c r="E54" s="719"/>
      <c r="F54" s="719"/>
      <c r="G54" s="719"/>
      <c r="H54" s="719"/>
      <c r="I54" s="719"/>
      <c r="J54" s="719"/>
      <c r="K54" s="719"/>
    </row>
  </sheetData>
  <mergeCells count="63">
    <mergeCell ref="C14:E14"/>
    <mergeCell ref="B2:B5"/>
    <mergeCell ref="C2:K5"/>
    <mergeCell ref="C7:E8"/>
    <mergeCell ref="F7:F8"/>
    <mergeCell ref="G7:G8"/>
    <mergeCell ref="H7:H8"/>
    <mergeCell ref="I7:I8"/>
    <mergeCell ref="C9:E9"/>
    <mergeCell ref="C10:E10"/>
    <mergeCell ref="C11:E11"/>
    <mergeCell ref="C12:E12"/>
    <mergeCell ref="C13:E13"/>
    <mergeCell ref="C28:E28"/>
    <mergeCell ref="F28:H28"/>
    <mergeCell ref="I28:K28"/>
    <mergeCell ref="C15:E15"/>
    <mergeCell ref="C16:E16"/>
    <mergeCell ref="C17:E17"/>
    <mergeCell ref="C18:E18"/>
    <mergeCell ref="C19:E19"/>
    <mergeCell ref="C20:E20"/>
    <mergeCell ref="B23:B24"/>
    <mergeCell ref="C23:K24"/>
    <mergeCell ref="C26:E27"/>
    <mergeCell ref="F26:H27"/>
    <mergeCell ref="I26:K27"/>
    <mergeCell ref="C29:E29"/>
    <mergeCell ref="F29:H29"/>
    <mergeCell ref="I29:K29"/>
    <mergeCell ref="C30:E30"/>
    <mergeCell ref="F30:H30"/>
    <mergeCell ref="I30:K30"/>
    <mergeCell ref="C31:E31"/>
    <mergeCell ref="F31:H31"/>
    <mergeCell ref="I31:K31"/>
    <mergeCell ref="C32:E32"/>
    <mergeCell ref="F32:H32"/>
    <mergeCell ref="I32:K32"/>
    <mergeCell ref="C33:E33"/>
    <mergeCell ref="F33:H33"/>
    <mergeCell ref="I33:K33"/>
    <mergeCell ref="C34:E34"/>
    <mergeCell ref="F34:H34"/>
    <mergeCell ref="I34:K34"/>
    <mergeCell ref="C35:E35"/>
    <mergeCell ref="F35:H35"/>
    <mergeCell ref="I35:K35"/>
    <mergeCell ref="C36:E36"/>
    <mergeCell ref="F36:H36"/>
    <mergeCell ref="I36:K36"/>
    <mergeCell ref="C53:K54"/>
    <mergeCell ref="C37:E37"/>
    <mergeCell ref="F37:H37"/>
    <mergeCell ref="I37:K37"/>
    <mergeCell ref="C38:E38"/>
    <mergeCell ref="F38:H38"/>
    <mergeCell ref="I38:K38"/>
    <mergeCell ref="C39:E39"/>
    <mergeCell ref="F39:H39"/>
    <mergeCell ref="I39:K39"/>
    <mergeCell ref="C46:K48"/>
    <mergeCell ref="C49:K49"/>
  </mergeCells>
  <pageMargins left="0.7" right="0.7" top="0.75" bottom="0.75" header="0.3" footer="0.3"/>
  <pageSetup scale="86"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9AC3-646B-4F13-9809-59EA2D7B57AC}">
  <dimension ref="B2:T199"/>
  <sheetViews>
    <sheetView tabSelected="1" topLeftCell="C110" workbookViewId="0">
      <selection activeCell="C9" sqref="C9:N10"/>
    </sheetView>
  </sheetViews>
  <sheetFormatPr baseColWidth="10" defaultColWidth="11.44140625" defaultRowHeight="13.8" x14ac:dyDescent="0.25"/>
  <cols>
    <col min="1" max="1" width="11.44140625" style="422"/>
    <col min="2" max="2" width="7.5546875" style="422" customWidth="1"/>
    <col min="3" max="3" width="36.109375" style="422" bestFit="1" customWidth="1"/>
    <col min="4" max="4" width="9.88671875" style="422" customWidth="1"/>
    <col min="5" max="5" width="12.33203125" style="422" customWidth="1"/>
    <col min="6" max="6" width="12" style="422" customWidth="1"/>
    <col min="7" max="7" width="12.6640625" style="422" customWidth="1"/>
    <col min="8" max="11" width="11.44140625" style="422"/>
    <col min="12" max="12" width="13.33203125" style="422" customWidth="1"/>
    <col min="13" max="14" width="12.6640625" style="422" customWidth="1"/>
    <col min="15" max="16384" width="11.44140625" style="422"/>
  </cols>
  <sheetData>
    <row r="2" spans="2:14" ht="17.399999999999999" x14ac:dyDescent="0.3">
      <c r="C2" s="423"/>
      <c r="D2" s="423"/>
      <c r="E2" s="423"/>
      <c r="F2" s="423"/>
      <c r="G2" s="423"/>
    </row>
    <row r="3" spans="2:14" ht="17.399999999999999" customHeight="1" x14ac:dyDescent="0.35">
      <c r="C3" s="795" t="s">
        <v>336</v>
      </c>
      <c r="D3" s="795"/>
      <c r="E3" s="795"/>
      <c r="F3" s="795"/>
      <c r="G3" s="795"/>
      <c r="H3" s="795"/>
      <c r="I3" s="795"/>
      <c r="J3" s="795"/>
      <c r="K3" s="795"/>
      <c r="L3" s="795"/>
      <c r="M3" s="795"/>
    </row>
    <row r="4" spans="2:14" ht="17.399999999999999" customHeight="1" x14ac:dyDescent="0.3">
      <c r="C4" s="423"/>
      <c r="D4" s="423"/>
      <c r="E4" s="423"/>
      <c r="F4" s="423"/>
      <c r="G4" s="423"/>
      <c r="H4" s="423"/>
      <c r="I4" s="423"/>
      <c r="J4" s="423"/>
      <c r="K4" s="423"/>
      <c r="L4" s="423"/>
      <c r="M4" s="423"/>
    </row>
    <row r="5" spans="2:14" ht="14.25" customHeight="1" x14ac:dyDescent="0.25">
      <c r="B5" s="796"/>
      <c r="C5" s="797" t="s">
        <v>60</v>
      </c>
      <c r="D5" s="797"/>
      <c r="E5" s="797"/>
      <c r="F5" s="797"/>
      <c r="G5" s="797"/>
      <c r="H5" s="797"/>
      <c r="I5" s="797"/>
      <c r="J5" s="797"/>
      <c r="K5" s="797"/>
      <c r="L5" s="797"/>
      <c r="M5" s="797"/>
      <c r="N5" s="797"/>
    </row>
    <row r="6" spans="2:14" x14ac:dyDescent="0.25">
      <c r="B6" s="796"/>
      <c r="C6" s="797"/>
      <c r="D6" s="797"/>
      <c r="E6" s="797"/>
      <c r="F6" s="797"/>
      <c r="G6" s="797"/>
      <c r="H6" s="797"/>
      <c r="I6" s="797"/>
      <c r="J6" s="797"/>
      <c r="K6" s="797"/>
      <c r="L6" s="797"/>
      <c r="M6" s="797"/>
      <c r="N6" s="797"/>
    </row>
    <row r="7" spans="2:14" x14ac:dyDescent="0.25">
      <c r="B7" s="424"/>
      <c r="C7" s="797"/>
      <c r="D7" s="797"/>
      <c r="E7" s="797"/>
      <c r="F7" s="797"/>
      <c r="G7" s="797"/>
      <c r="H7" s="797"/>
      <c r="I7" s="797"/>
      <c r="J7" s="797"/>
      <c r="K7" s="797"/>
      <c r="L7" s="797"/>
      <c r="M7" s="797"/>
      <c r="N7" s="797"/>
    </row>
    <row r="8" spans="2:14" x14ac:dyDescent="0.25">
      <c r="C8" s="425"/>
      <c r="D8" s="425"/>
      <c r="E8" s="425"/>
      <c r="F8" s="425"/>
      <c r="G8" s="425"/>
      <c r="H8" s="425"/>
      <c r="I8" s="425"/>
      <c r="J8" s="425"/>
      <c r="K8" s="425"/>
      <c r="L8" s="425"/>
      <c r="M8" s="425"/>
    </row>
    <row r="9" spans="2:14" ht="14.25" customHeight="1" x14ac:dyDescent="0.25">
      <c r="B9" s="791" t="s">
        <v>61</v>
      </c>
      <c r="C9" s="792" t="s">
        <v>62</v>
      </c>
      <c r="D9" s="792"/>
      <c r="E9" s="792"/>
      <c r="F9" s="792"/>
      <c r="G9" s="792"/>
      <c r="H9" s="792"/>
      <c r="I9" s="792"/>
      <c r="J9" s="792"/>
      <c r="K9" s="792"/>
      <c r="L9" s="792"/>
      <c r="M9" s="792"/>
      <c r="N9" s="792"/>
    </row>
    <row r="10" spans="2:14" x14ac:dyDescent="0.25">
      <c r="B10" s="791"/>
      <c r="C10" s="792"/>
      <c r="D10" s="792"/>
      <c r="E10" s="792"/>
      <c r="F10" s="792"/>
      <c r="G10" s="792"/>
      <c r="H10" s="792"/>
      <c r="I10" s="792"/>
      <c r="J10" s="792"/>
      <c r="K10" s="792"/>
      <c r="L10" s="792"/>
      <c r="M10" s="792"/>
      <c r="N10" s="792"/>
    </row>
    <row r="11" spans="2:14" x14ac:dyDescent="0.25">
      <c r="B11" s="428"/>
      <c r="C11" s="429"/>
      <c r="D11" s="430"/>
      <c r="E11" s="430"/>
      <c r="F11" s="430"/>
      <c r="G11" s="430"/>
      <c r="H11" s="430"/>
      <c r="I11" s="430"/>
      <c r="J11" s="430"/>
      <c r="K11" s="430"/>
      <c r="L11" s="430"/>
      <c r="M11" s="430"/>
    </row>
    <row r="12" spans="2:14" ht="14.25" customHeight="1" x14ac:dyDescent="0.25">
      <c r="B12" s="791" t="s">
        <v>63</v>
      </c>
      <c r="C12" s="792" t="s">
        <v>64</v>
      </c>
      <c r="D12" s="792"/>
      <c r="E12" s="792"/>
      <c r="F12" s="792"/>
      <c r="G12" s="792"/>
      <c r="H12" s="792"/>
      <c r="I12" s="792"/>
      <c r="J12" s="792"/>
      <c r="K12" s="792"/>
      <c r="L12" s="792"/>
      <c r="M12" s="792"/>
      <c r="N12" s="792"/>
    </row>
    <row r="13" spans="2:14" x14ac:dyDescent="0.25">
      <c r="B13" s="791"/>
      <c r="C13" s="792"/>
      <c r="D13" s="792"/>
      <c r="E13" s="792"/>
      <c r="F13" s="792"/>
      <c r="G13" s="792"/>
      <c r="H13" s="792"/>
      <c r="I13" s="792"/>
      <c r="J13" s="792"/>
      <c r="K13" s="792"/>
      <c r="L13" s="792"/>
      <c r="M13" s="792"/>
      <c r="N13" s="792"/>
    </row>
    <row r="14" spans="2:14" x14ac:dyDescent="0.25">
      <c r="B14" s="426"/>
      <c r="C14" s="427"/>
      <c r="D14" s="427"/>
      <c r="E14" s="427"/>
      <c r="F14" s="427"/>
      <c r="G14" s="427"/>
      <c r="H14" s="427"/>
      <c r="I14" s="427"/>
      <c r="J14" s="427"/>
      <c r="K14" s="427"/>
      <c r="L14" s="427"/>
      <c r="M14" s="427"/>
    </row>
    <row r="15" spans="2:14" ht="14.25" customHeight="1" x14ac:dyDescent="0.25">
      <c r="B15" s="791" t="s">
        <v>65</v>
      </c>
      <c r="C15" s="792" t="s">
        <v>66</v>
      </c>
      <c r="D15" s="792"/>
      <c r="E15" s="792"/>
      <c r="F15" s="792"/>
      <c r="G15" s="792"/>
      <c r="H15" s="792"/>
      <c r="I15" s="792"/>
      <c r="J15" s="792"/>
      <c r="K15" s="792"/>
      <c r="L15" s="792"/>
      <c r="M15" s="792"/>
      <c r="N15" s="792"/>
    </row>
    <row r="16" spans="2:14" x14ac:dyDescent="0.25">
      <c r="B16" s="791"/>
      <c r="C16" s="792"/>
      <c r="D16" s="792"/>
      <c r="E16" s="792"/>
      <c r="F16" s="792"/>
      <c r="G16" s="792"/>
      <c r="H16" s="792"/>
      <c r="I16" s="792"/>
      <c r="J16" s="792"/>
      <c r="K16" s="792"/>
      <c r="L16" s="792"/>
      <c r="M16" s="792"/>
      <c r="N16" s="792"/>
    </row>
    <row r="17" spans="2:14" x14ac:dyDescent="0.25">
      <c r="B17" s="431"/>
      <c r="C17" s="432"/>
      <c r="D17" s="432"/>
      <c r="E17" s="432"/>
      <c r="F17" s="432"/>
      <c r="G17" s="432"/>
      <c r="H17" s="432"/>
      <c r="I17" s="432"/>
      <c r="J17" s="432"/>
      <c r="K17" s="432"/>
      <c r="L17" s="432"/>
      <c r="M17" s="432"/>
    </row>
    <row r="18" spans="2:14" ht="14.4" thickBot="1" x14ac:dyDescent="0.3"/>
    <row r="19" spans="2:14" ht="15.6" x14ac:dyDescent="0.3">
      <c r="C19" s="433" t="s">
        <v>67</v>
      </c>
      <c r="D19" s="434"/>
      <c r="E19" s="434"/>
      <c r="F19" s="434"/>
      <c r="G19" s="435"/>
      <c r="I19" s="433" t="s">
        <v>68</v>
      </c>
      <c r="J19" s="434"/>
      <c r="K19" s="434"/>
      <c r="L19" s="434"/>
      <c r="M19" s="434"/>
      <c r="N19" s="435"/>
    </row>
    <row r="20" spans="2:14" ht="15.6" x14ac:dyDescent="0.3">
      <c r="C20" s="436" t="s">
        <v>69</v>
      </c>
      <c r="G20" s="437"/>
      <c r="I20" s="436" t="s">
        <v>69</v>
      </c>
      <c r="N20" s="437"/>
    </row>
    <row r="21" spans="2:14" x14ac:dyDescent="0.25">
      <c r="C21" s="438" t="s">
        <v>70</v>
      </c>
      <c r="E21" s="428" t="s">
        <v>71</v>
      </c>
      <c r="F21" s="428" t="s">
        <v>72</v>
      </c>
      <c r="G21" s="439" t="s">
        <v>73</v>
      </c>
      <c r="I21" s="438"/>
      <c r="L21" s="428" t="s">
        <v>71</v>
      </c>
      <c r="M21" s="428" t="s">
        <v>72</v>
      </c>
      <c r="N21" s="439" t="s">
        <v>73</v>
      </c>
    </row>
    <row r="22" spans="2:14" x14ac:dyDescent="0.25">
      <c r="C22" s="440" t="s">
        <v>74</v>
      </c>
      <c r="D22" s="441"/>
      <c r="E22" s="441"/>
      <c r="F22" s="441"/>
      <c r="G22" s="442"/>
      <c r="I22" s="793" t="s">
        <v>15</v>
      </c>
      <c r="J22" s="794"/>
      <c r="K22" s="794"/>
      <c r="L22" s="443">
        <v>3000</v>
      </c>
      <c r="M22" s="443">
        <v>3000</v>
      </c>
      <c r="N22" s="444">
        <v>3000</v>
      </c>
    </row>
    <row r="23" spans="2:14" x14ac:dyDescent="0.25">
      <c r="C23" s="438" t="s">
        <v>75</v>
      </c>
      <c r="G23" s="437"/>
      <c r="I23" s="779" t="s">
        <v>16</v>
      </c>
      <c r="J23" s="780"/>
      <c r="K23" s="780"/>
      <c r="L23" s="445">
        <v>-1650</v>
      </c>
      <c r="M23" s="445">
        <v>-1650</v>
      </c>
      <c r="N23" s="446">
        <v>-1650</v>
      </c>
    </row>
    <row r="24" spans="2:14" x14ac:dyDescent="0.25">
      <c r="C24" s="438" t="s">
        <v>76</v>
      </c>
      <c r="E24" s="422">
        <v>200</v>
      </c>
      <c r="F24" s="422">
        <v>150</v>
      </c>
      <c r="G24" s="437">
        <v>100</v>
      </c>
      <c r="I24" s="785" t="s">
        <v>77</v>
      </c>
      <c r="J24" s="786"/>
      <c r="K24" s="786"/>
      <c r="L24" s="447">
        <f>SUM(L22:L23)</f>
        <v>1350</v>
      </c>
      <c r="M24" s="447">
        <f t="shared" ref="M24:N24" si="0">SUM(M22:M23)</f>
        <v>1350</v>
      </c>
      <c r="N24" s="448">
        <f t="shared" si="0"/>
        <v>1350</v>
      </c>
    </row>
    <row r="25" spans="2:14" x14ac:dyDescent="0.25">
      <c r="C25" s="438" t="s">
        <v>36</v>
      </c>
      <c r="E25" s="422">
        <v>500</v>
      </c>
      <c r="F25" s="422">
        <v>350</v>
      </c>
      <c r="G25" s="437">
        <v>300</v>
      </c>
      <c r="I25" s="779" t="s">
        <v>78</v>
      </c>
      <c r="J25" s="780"/>
      <c r="K25" s="780"/>
      <c r="L25" s="445">
        <v>-230</v>
      </c>
      <c r="M25" s="445">
        <v>-230</v>
      </c>
      <c r="N25" s="446">
        <v>-230</v>
      </c>
    </row>
    <row r="26" spans="2:14" x14ac:dyDescent="0.25">
      <c r="C26" s="438" t="s">
        <v>37</v>
      </c>
      <c r="E26" s="422">
        <v>700</v>
      </c>
      <c r="F26" s="422">
        <v>500</v>
      </c>
      <c r="G26" s="437">
        <v>400</v>
      </c>
      <c r="I26" s="787" t="s">
        <v>79</v>
      </c>
      <c r="J26" s="788"/>
      <c r="K26" s="788"/>
      <c r="L26" s="449">
        <v>-300</v>
      </c>
      <c r="M26" s="449">
        <v>-300</v>
      </c>
      <c r="N26" s="450">
        <v>-300</v>
      </c>
    </row>
    <row r="27" spans="2:14" x14ac:dyDescent="0.25">
      <c r="C27" s="451" t="s">
        <v>80</v>
      </c>
      <c r="D27" s="452"/>
      <c r="E27" s="452">
        <f>SUM(E24:E26)</f>
        <v>1400</v>
      </c>
      <c r="F27" s="452">
        <f>SUM(F24:F26)</f>
        <v>1000</v>
      </c>
      <c r="G27" s="453">
        <f>SUM(G24:G26)</f>
        <v>800</v>
      </c>
      <c r="I27" s="779" t="s">
        <v>81</v>
      </c>
      <c r="J27" s="780"/>
      <c r="K27" s="780"/>
      <c r="L27" s="445">
        <v>-310</v>
      </c>
      <c r="M27" s="445">
        <v>-310</v>
      </c>
      <c r="N27" s="446">
        <v>-310</v>
      </c>
    </row>
    <row r="28" spans="2:14" x14ac:dyDescent="0.25">
      <c r="C28" s="438" t="s">
        <v>39</v>
      </c>
      <c r="G28" s="437"/>
      <c r="I28" s="789" t="s">
        <v>82</v>
      </c>
      <c r="J28" s="790"/>
      <c r="K28" s="790"/>
      <c r="L28" s="774">
        <f>SUM(L24:L27)</f>
        <v>510</v>
      </c>
      <c r="M28" s="774">
        <f t="shared" ref="M28:N28" si="1">SUM(M24:M27)</f>
        <v>510</v>
      </c>
      <c r="N28" s="775">
        <f t="shared" si="1"/>
        <v>510</v>
      </c>
    </row>
    <row r="29" spans="2:14" x14ac:dyDescent="0.25">
      <c r="C29" s="438" t="s">
        <v>83</v>
      </c>
      <c r="E29" s="422">
        <v>700</v>
      </c>
      <c r="F29" s="422">
        <v>700</v>
      </c>
      <c r="G29" s="437">
        <v>700</v>
      </c>
      <c r="I29" s="789"/>
      <c r="J29" s="790"/>
      <c r="K29" s="790"/>
      <c r="L29" s="774"/>
      <c r="M29" s="774"/>
      <c r="N29" s="775"/>
    </row>
    <row r="30" spans="2:14" x14ac:dyDescent="0.25">
      <c r="C30" s="451" t="s">
        <v>42</v>
      </c>
      <c r="D30" s="452"/>
      <c r="E30" s="452">
        <f>+E29</f>
        <v>700</v>
      </c>
      <c r="F30" s="452">
        <f>+F29</f>
        <v>700</v>
      </c>
      <c r="G30" s="453">
        <f>+G29</f>
        <v>700</v>
      </c>
      <c r="I30" s="779" t="s">
        <v>84</v>
      </c>
      <c r="J30" s="780"/>
      <c r="K30" s="780"/>
      <c r="L30" s="445">
        <v>-80</v>
      </c>
      <c r="M30" s="445">
        <v>-70</v>
      </c>
      <c r="N30" s="446">
        <v>-60</v>
      </c>
    </row>
    <row r="31" spans="2:14" x14ac:dyDescent="0.25">
      <c r="C31" s="440" t="s">
        <v>43</v>
      </c>
      <c r="D31" s="454"/>
      <c r="E31" s="454">
        <f>+E27+E30</f>
        <v>2100</v>
      </c>
      <c r="F31" s="454">
        <f>+F27+F30</f>
        <v>1700</v>
      </c>
      <c r="G31" s="455">
        <f>+G27+G30</f>
        <v>1500</v>
      </c>
      <c r="I31" s="781" t="s">
        <v>24</v>
      </c>
      <c r="J31" s="782"/>
      <c r="K31" s="782"/>
      <c r="L31" s="443">
        <f>SUM(L28:L30)</f>
        <v>430</v>
      </c>
      <c r="M31" s="443">
        <f t="shared" ref="M31:N31" si="2">SUM(M28:M30)</f>
        <v>440</v>
      </c>
      <c r="N31" s="444">
        <f t="shared" si="2"/>
        <v>450</v>
      </c>
    </row>
    <row r="32" spans="2:14" x14ac:dyDescent="0.25">
      <c r="C32" s="438"/>
      <c r="G32" s="437"/>
      <c r="I32" s="779" t="s">
        <v>85</v>
      </c>
      <c r="J32" s="780"/>
      <c r="K32" s="780"/>
      <c r="L32" s="445">
        <f>-L31*0.3</f>
        <v>-129</v>
      </c>
      <c r="M32" s="445">
        <f>-M31*0.3</f>
        <v>-132</v>
      </c>
      <c r="N32" s="446">
        <f>-N31*0.3</f>
        <v>-135</v>
      </c>
    </row>
    <row r="33" spans="3:14" ht="14.4" thickBot="1" x14ac:dyDescent="0.3">
      <c r="C33" s="456" t="s">
        <v>86</v>
      </c>
      <c r="D33" s="457"/>
      <c r="E33" s="457"/>
      <c r="F33" s="457"/>
      <c r="G33" s="458"/>
      <c r="I33" s="783" t="s">
        <v>87</v>
      </c>
      <c r="J33" s="784"/>
      <c r="K33" s="784"/>
      <c r="L33" s="459">
        <f>SUM(L31:L32)</f>
        <v>301</v>
      </c>
      <c r="M33" s="459">
        <f t="shared" ref="M33:N33" si="3">SUM(M31:M32)</f>
        <v>308</v>
      </c>
      <c r="N33" s="460">
        <f t="shared" si="3"/>
        <v>315</v>
      </c>
    </row>
    <row r="34" spans="3:14" x14ac:dyDescent="0.25">
      <c r="C34" s="438" t="s">
        <v>88</v>
      </c>
      <c r="G34" s="437"/>
      <c r="L34" s="443"/>
      <c r="M34" s="443"/>
      <c r="N34" s="443"/>
    </row>
    <row r="35" spans="3:14" x14ac:dyDescent="0.25">
      <c r="C35" s="438" t="s">
        <v>89</v>
      </c>
      <c r="E35" s="422">
        <v>200</v>
      </c>
      <c r="F35" s="422">
        <v>200</v>
      </c>
      <c r="G35" s="437">
        <v>200</v>
      </c>
    </row>
    <row r="36" spans="3:14" x14ac:dyDescent="0.25">
      <c r="C36" s="438" t="s">
        <v>90</v>
      </c>
      <c r="E36" s="422">
        <v>150</v>
      </c>
      <c r="F36" s="422">
        <v>150</v>
      </c>
      <c r="G36" s="437">
        <v>150</v>
      </c>
    </row>
    <row r="37" spans="3:14" x14ac:dyDescent="0.25">
      <c r="C37" s="451" t="s">
        <v>91</v>
      </c>
      <c r="D37" s="452"/>
      <c r="E37" s="452">
        <f>SUM(E35:E36)</f>
        <v>350</v>
      </c>
      <c r="F37" s="452">
        <f>SUM(F35:F36)</f>
        <v>350</v>
      </c>
      <c r="G37" s="453">
        <f>SUM(G35:G36)</f>
        <v>350</v>
      </c>
      <c r="H37" s="452"/>
    </row>
    <row r="38" spans="3:14" x14ac:dyDescent="0.25">
      <c r="C38" s="438" t="s">
        <v>92</v>
      </c>
      <c r="D38" s="428"/>
      <c r="G38" s="437"/>
    </row>
    <row r="39" spans="3:14" x14ac:dyDescent="0.25">
      <c r="C39" s="438" t="s">
        <v>93</v>
      </c>
      <c r="E39" s="422">
        <v>350</v>
      </c>
      <c r="F39" s="422">
        <v>220</v>
      </c>
      <c r="G39" s="437">
        <v>200</v>
      </c>
    </row>
    <row r="40" spans="3:14" x14ac:dyDescent="0.25">
      <c r="C40" s="438" t="s">
        <v>94</v>
      </c>
      <c r="E40" s="422">
        <v>400</v>
      </c>
      <c r="F40" s="422">
        <v>230</v>
      </c>
      <c r="G40" s="437">
        <v>150</v>
      </c>
    </row>
    <row r="41" spans="3:14" x14ac:dyDescent="0.25">
      <c r="C41" s="461" t="s">
        <v>95</v>
      </c>
      <c r="D41" s="452"/>
      <c r="E41" s="452">
        <f>SUM(E39:E40)</f>
        <v>750</v>
      </c>
      <c r="F41" s="452">
        <f>SUM(F39:F40)</f>
        <v>450</v>
      </c>
      <c r="G41" s="453">
        <f>SUM(G39:G40)</f>
        <v>350</v>
      </c>
      <c r="H41" s="452"/>
    </row>
    <row r="42" spans="3:14" x14ac:dyDescent="0.25">
      <c r="C42" s="462" t="s">
        <v>96</v>
      </c>
      <c r="D42" s="463"/>
      <c r="E42" s="463">
        <f>+E37+E41</f>
        <v>1100</v>
      </c>
      <c r="F42" s="463">
        <f>+F37+F41</f>
        <v>800</v>
      </c>
      <c r="G42" s="464">
        <f>+G37+G41</f>
        <v>700</v>
      </c>
      <c r="H42" s="428"/>
    </row>
    <row r="43" spans="3:14" x14ac:dyDescent="0.25">
      <c r="C43" s="465"/>
      <c r="G43" s="437"/>
    </row>
    <row r="44" spans="3:14" x14ac:dyDescent="0.25">
      <c r="C44" s="466" t="s">
        <v>97</v>
      </c>
      <c r="D44" s="467"/>
      <c r="E44" s="467"/>
      <c r="F44" s="467"/>
      <c r="G44" s="468"/>
    </row>
    <row r="45" spans="3:14" x14ac:dyDescent="0.25">
      <c r="C45" s="469" t="s">
        <v>98</v>
      </c>
      <c r="E45" s="422">
        <v>700</v>
      </c>
      <c r="F45" s="422">
        <v>600</v>
      </c>
      <c r="G45" s="437">
        <v>500</v>
      </c>
    </row>
    <row r="46" spans="3:14" x14ac:dyDescent="0.25">
      <c r="C46" s="469" t="s">
        <v>99</v>
      </c>
      <c r="E46" s="422">
        <v>300</v>
      </c>
      <c r="F46" s="422">
        <v>300</v>
      </c>
      <c r="G46" s="437">
        <v>300</v>
      </c>
    </row>
    <row r="47" spans="3:14" x14ac:dyDescent="0.25">
      <c r="C47" s="470" t="s">
        <v>100</v>
      </c>
      <c r="D47" s="471"/>
      <c r="E47" s="471">
        <f>SUM(E45:E46)</f>
        <v>1000</v>
      </c>
      <c r="F47" s="471">
        <f>SUM(F45:F46)</f>
        <v>900</v>
      </c>
      <c r="G47" s="472">
        <f>SUM(G45:G46)</f>
        <v>800</v>
      </c>
      <c r="H47" s="428"/>
    </row>
    <row r="48" spans="3:14" x14ac:dyDescent="0.25">
      <c r="C48" s="465"/>
      <c r="D48" s="428"/>
      <c r="G48" s="437"/>
    </row>
    <row r="49" spans="2:16" ht="14.4" thickBot="1" x14ac:dyDescent="0.3">
      <c r="C49" s="473" t="s">
        <v>101</v>
      </c>
      <c r="D49" s="474"/>
      <c r="E49" s="474">
        <f>+E42+E47</f>
        <v>2100</v>
      </c>
      <c r="F49" s="474">
        <f>+F42+F47</f>
        <v>1700</v>
      </c>
      <c r="G49" s="475">
        <f>+G42+G47</f>
        <v>1500</v>
      </c>
      <c r="H49" s="428"/>
    </row>
    <row r="50" spans="2:16" s="476" customFormat="1" ht="13.2" x14ac:dyDescent="0.25"/>
    <row r="51" spans="2:16" s="476" customFormat="1" ht="13.2" x14ac:dyDescent="0.25"/>
    <row r="53" spans="2:16" x14ac:dyDescent="0.25">
      <c r="B53" s="731">
        <v>1</v>
      </c>
      <c r="C53" s="769" t="s">
        <v>102</v>
      </c>
      <c r="D53" s="769"/>
      <c r="E53" s="769"/>
      <c r="F53" s="769"/>
      <c r="G53" s="769"/>
      <c r="H53" s="769"/>
      <c r="I53" s="769"/>
      <c r="J53" s="769"/>
      <c r="K53" s="769"/>
      <c r="L53" s="769"/>
      <c r="M53" s="769"/>
      <c r="N53" s="769"/>
    </row>
    <row r="54" spans="2:16" x14ac:dyDescent="0.25">
      <c r="B54" s="731"/>
      <c r="C54" s="769"/>
      <c r="D54" s="769"/>
      <c r="E54" s="769"/>
      <c r="F54" s="769"/>
      <c r="G54" s="769"/>
      <c r="H54" s="769"/>
      <c r="I54" s="769"/>
      <c r="J54" s="769"/>
      <c r="K54" s="769"/>
      <c r="L54" s="769"/>
      <c r="M54" s="769"/>
      <c r="N54" s="769"/>
    </row>
    <row r="56" spans="2:16" ht="20.399999999999999" x14ac:dyDescent="0.35">
      <c r="C56" s="477" t="s">
        <v>28</v>
      </c>
    </row>
    <row r="57" spans="2:16" ht="14.4" thickBot="1" x14ac:dyDescent="0.3"/>
    <row r="58" spans="2:16" ht="15.6" x14ac:dyDescent="0.3">
      <c r="C58" s="478" t="s">
        <v>67</v>
      </c>
      <c r="E58" s="770" t="s">
        <v>71</v>
      </c>
      <c r="F58" s="771"/>
      <c r="G58" s="771"/>
      <c r="H58" s="772"/>
      <c r="I58" s="770" t="s">
        <v>72</v>
      </c>
      <c r="J58" s="771"/>
      <c r="K58" s="771"/>
      <c r="L58" s="771"/>
      <c r="M58" s="770" t="s">
        <v>73</v>
      </c>
      <c r="N58" s="771"/>
      <c r="O58" s="771"/>
      <c r="P58" s="772"/>
    </row>
    <row r="59" spans="2:16" ht="15.6" x14ac:dyDescent="0.3">
      <c r="C59" s="478" t="s">
        <v>69</v>
      </c>
      <c r="E59" s="773"/>
      <c r="F59" s="774"/>
      <c r="G59" s="774"/>
      <c r="H59" s="775"/>
      <c r="I59" s="773"/>
      <c r="J59" s="774"/>
      <c r="K59" s="774"/>
      <c r="L59" s="774"/>
      <c r="M59" s="773"/>
      <c r="N59" s="774"/>
      <c r="O59" s="774"/>
      <c r="P59" s="775"/>
    </row>
    <row r="60" spans="2:16" ht="14.4" thickBot="1" x14ac:dyDescent="0.3">
      <c r="C60" s="422" t="s">
        <v>70</v>
      </c>
      <c r="E60" s="776"/>
      <c r="F60" s="777"/>
      <c r="G60" s="777"/>
      <c r="H60" s="778"/>
      <c r="I60" s="776"/>
      <c r="J60" s="777"/>
      <c r="K60" s="777"/>
      <c r="L60" s="777"/>
      <c r="M60" s="776"/>
      <c r="N60" s="777"/>
      <c r="O60" s="777"/>
      <c r="P60" s="778"/>
    </row>
    <row r="61" spans="2:16" ht="14.4" thickTop="1" x14ac:dyDescent="0.25">
      <c r="C61" s="454" t="s">
        <v>74</v>
      </c>
      <c r="D61" s="441"/>
      <c r="E61" s="479"/>
      <c r="F61" s="441"/>
      <c r="G61" s="441"/>
      <c r="H61" s="442"/>
      <c r="I61" s="479"/>
      <c r="J61" s="441"/>
      <c r="K61" s="441"/>
      <c r="L61" s="441"/>
      <c r="M61" s="479"/>
      <c r="N61" s="441"/>
      <c r="O61" s="441"/>
      <c r="P61" s="442"/>
    </row>
    <row r="62" spans="2:16" x14ac:dyDescent="0.25">
      <c r="C62" s="422" t="s">
        <v>75</v>
      </c>
      <c r="E62" s="438"/>
      <c r="F62" s="480"/>
      <c r="H62" s="481"/>
      <c r="I62" s="438"/>
      <c r="J62" s="480"/>
      <c r="L62" s="480"/>
      <c r="M62" s="438"/>
      <c r="N62" s="480"/>
      <c r="P62" s="481"/>
    </row>
    <row r="63" spans="2:16" x14ac:dyDescent="0.25">
      <c r="C63" s="422" t="s">
        <v>76</v>
      </c>
      <c r="E63" s="438">
        <v>200</v>
      </c>
      <c r="F63" s="480">
        <f>+E63/E70</f>
        <v>9.5238095238095233E-2</v>
      </c>
      <c r="H63" s="481">
        <f>+E63/E66</f>
        <v>0.14285714285714285</v>
      </c>
      <c r="I63" s="422">
        <v>150</v>
      </c>
      <c r="J63" s="480">
        <f>+I63/I70</f>
        <v>8.8235294117647065E-2</v>
      </c>
      <c r="L63" s="480">
        <f>+I63/I66</f>
        <v>0.15</v>
      </c>
      <c r="M63" s="438">
        <v>100</v>
      </c>
      <c r="N63" s="480">
        <f>+M63/M70</f>
        <v>6.6666666666666666E-2</v>
      </c>
      <c r="P63" s="481">
        <f>+M63/M66</f>
        <v>0.125</v>
      </c>
    </row>
    <row r="64" spans="2:16" x14ac:dyDescent="0.25">
      <c r="C64" s="422" t="s">
        <v>36</v>
      </c>
      <c r="E64" s="438">
        <v>500</v>
      </c>
      <c r="F64" s="480">
        <f>+E64/E70</f>
        <v>0.23809523809523808</v>
      </c>
      <c r="H64" s="481">
        <f>+E64/E66</f>
        <v>0.35714285714285715</v>
      </c>
      <c r="I64" s="422">
        <v>350</v>
      </c>
      <c r="J64" s="480">
        <f>+I64/I70</f>
        <v>0.20588235294117646</v>
      </c>
      <c r="L64" s="480">
        <f>+I64/I66</f>
        <v>0.35</v>
      </c>
      <c r="M64" s="438">
        <v>300</v>
      </c>
      <c r="N64" s="480">
        <f>+M64/M70</f>
        <v>0.2</v>
      </c>
      <c r="P64" s="481">
        <f>+M64/M66</f>
        <v>0.375</v>
      </c>
    </row>
    <row r="65" spans="3:16" x14ac:dyDescent="0.25">
      <c r="C65" s="422" t="s">
        <v>37</v>
      </c>
      <c r="E65" s="438">
        <v>700</v>
      </c>
      <c r="F65" s="480">
        <f>+E65/E70</f>
        <v>0.33333333333333331</v>
      </c>
      <c r="H65" s="482">
        <f>+E65/E66</f>
        <v>0.5</v>
      </c>
      <c r="I65" s="422">
        <v>500</v>
      </c>
      <c r="J65" s="480">
        <f>+I65/I70</f>
        <v>0.29411764705882354</v>
      </c>
      <c r="L65" s="483">
        <f>+I65/I66</f>
        <v>0.5</v>
      </c>
      <c r="M65" s="484">
        <v>400</v>
      </c>
      <c r="N65" s="480">
        <f>+M65/M70</f>
        <v>0.26666666666666666</v>
      </c>
      <c r="P65" s="482">
        <f>+M65/M66</f>
        <v>0.5</v>
      </c>
    </row>
    <row r="66" spans="3:16" x14ac:dyDescent="0.25">
      <c r="C66" s="452" t="s">
        <v>80</v>
      </c>
      <c r="D66" s="452"/>
      <c r="E66" s="451">
        <f>SUM(E63:E65)</f>
        <v>1400</v>
      </c>
      <c r="F66" s="480"/>
      <c r="G66" s="485">
        <f>SUM(F63:F65)</f>
        <v>0.66666666666666663</v>
      </c>
      <c r="H66" s="486">
        <f>SUM(H63:H65)</f>
        <v>1</v>
      </c>
      <c r="I66" s="451">
        <f>SUM(I63:I65)</f>
        <v>1000</v>
      </c>
      <c r="J66" s="480"/>
      <c r="K66" s="485">
        <f>SUM(J63:J65)</f>
        <v>0.58823529411764708</v>
      </c>
      <c r="L66" s="487">
        <f>SUM(L63:L65)</f>
        <v>1</v>
      </c>
      <c r="M66" s="451">
        <f>SUM(M63:M65)</f>
        <v>800</v>
      </c>
      <c r="N66" s="480"/>
      <c r="O66" s="485">
        <f>SUM(N63:N65)</f>
        <v>0.53333333333333333</v>
      </c>
      <c r="P66" s="486">
        <f>SUM(P63:P65)</f>
        <v>1</v>
      </c>
    </row>
    <row r="67" spans="3:16" x14ac:dyDescent="0.25">
      <c r="C67" s="422" t="s">
        <v>39</v>
      </c>
      <c r="E67" s="438"/>
      <c r="F67" s="480"/>
      <c r="H67" s="481"/>
      <c r="I67" s="438"/>
      <c r="J67" s="480"/>
      <c r="L67" s="480"/>
      <c r="M67" s="438"/>
      <c r="N67" s="480"/>
      <c r="P67" s="481"/>
    </row>
    <row r="68" spans="3:16" x14ac:dyDescent="0.25">
      <c r="C68" s="422" t="s">
        <v>83</v>
      </c>
      <c r="E68" s="484">
        <v>700</v>
      </c>
      <c r="F68" s="480">
        <f>+E68/E70</f>
        <v>0.33333333333333331</v>
      </c>
      <c r="H68" s="481"/>
      <c r="I68" s="422">
        <v>700</v>
      </c>
      <c r="J68" s="480">
        <f>+I68/I70</f>
        <v>0.41176470588235292</v>
      </c>
      <c r="L68" s="480"/>
      <c r="M68" s="438">
        <v>700</v>
      </c>
      <c r="N68" s="480">
        <f>+M68/M70</f>
        <v>0.46666666666666667</v>
      </c>
      <c r="P68" s="481"/>
    </row>
    <row r="69" spans="3:16" x14ac:dyDescent="0.25">
      <c r="C69" s="452" t="s">
        <v>42</v>
      </c>
      <c r="D69" s="452"/>
      <c r="E69" s="488">
        <f>+E68</f>
        <v>700</v>
      </c>
      <c r="F69" s="480"/>
      <c r="G69" s="489">
        <f>+F68</f>
        <v>0.33333333333333331</v>
      </c>
      <c r="H69" s="481">
        <f>+E68/E69</f>
        <v>1</v>
      </c>
      <c r="I69" s="488">
        <f>+I68</f>
        <v>700</v>
      </c>
      <c r="J69" s="480"/>
      <c r="K69" s="489">
        <f>+J68</f>
        <v>0.41176470588235292</v>
      </c>
      <c r="L69" s="480">
        <f>+I68/I69</f>
        <v>1</v>
      </c>
      <c r="M69" s="490">
        <f>+M68</f>
        <v>700</v>
      </c>
      <c r="N69" s="480"/>
      <c r="O69" s="489">
        <f>+N68</f>
        <v>0.46666666666666667</v>
      </c>
      <c r="P69" s="481">
        <f>+M68/M69</f>
        <v>1</v>
      </c>
    </row>
    <row r="70" spans="3:16" x14ac:dyDescent="0.25">
      <c r="C70" s="454" t="s">
        <v>43</v>
      </c>
      <c r="D70" s="454"/>
      <c r="E70" s="440">
        <f>+E66+E69</f>
        <v>2100</v>
      </c>
      <c r="F70" s="491"/>
      <c r="G70" s="492">
        <f>SUM(G66:G69)</f>
        <v>1</v>
      </c>
      <c r="H70" s="493"/>
      <c r="I70" s="440">
        <f>+I66+I69</f>
        <v>1700</v>
      </c>
      <c r="J70" s="491"/>
      <c r="K70" s="492">
        <f>SUM(K66:K69)</f>
        <v>1</v>
      </c>
      <c r="L70" s="491"/>
      <c r="M70" s="440">
        <f>+M66+M69</f>
        <v>1500</v>
      </c>
      <c r="N70" s="491"/>
      <c r="O70" s="492">
        <f>SUM(O66:O69)</f>
        <v>1</v>
      </c>
      <c r="P70" s="493"/>
    </row>
    <row r="71" spans="3:16" x14ac:dyDescent="0.25">
      <c r="E71" s="438"/>
      <c r="F71" s="480"/>
      <c r="H71" s="481"/>
      <c r="I71" s="438"/>
      <c r="J71" s="480"/>
      <c r="L71" s="480"/>
      <c r="M71" s="438"/>
      <c r="N71" s="480"/>
      <c r="P71" s="481"/>
    </row>
    <row r="72" spans="3:16" x14ac:dyDescent="0.25">
      <c r="C72" s="463" t="s">
        <v>86</v>
      </c>
      <c r="D72" s="457"/>
      <c r="E72" s="494"/>
      <c r="F72" s="495"/>
      <c r="G72" s="457"/>
      <c r="H72" s="496"/>
      <c r="I72" s="494"/>
      <c r="J72" s="495"/>
      <c r="K72" s="457"/>
      <c r="L72" s="495"/>
      <c r="M72" s="494"/>
      <c r="N72" s="495"/>
      <c r="O72" s="457"/>
      <c r="P72" s="496"/>
    </row>
    <row r="73" spans="3:16" x14ac:dyDescent="0.25">
      <c r="C73" s="422" t="s">
        <v>88</v>
      </c>
      <c r="E73" s="438"/>
      <c r="F73" s="480"/>
      <c r="H73" s="481"/>
      <c r="I73" s="438"/>
      <c r="J73" s="480"/>
      <c r="L73" s="480"/>
      <c r="M73" s="438"/>
      <c r="N73" s="480"/>
      <c r="P73" s="481"/>
    </row>
    <row r="74" spans="3:16" x14ac:dyDescent="0.25">
      <c r="C74" s="422" t="s">
        <v>89</v>
      </c>
      <c r="E74" s="438">
        <v>200</v>
      </c>
      <c r="F74" s="480">
        <f>+E74/E81</f>
        <v>0.18181818181818182</v>
      </c>
      <c r="H74" s="481">
        <f>+E74/E76</f>
        <v>0.5714285714285714</v>
      </c>
      <c r="I74" s="422">
        <v>200</v>
      </c>
      <c r="J74" s="480">
        <f>+I74/I81</f>
        <v>0.25</v>
      </c>
      <c r="L74" s="480">
        <f>+I74/I76</f>
        <v>0.5714285714285714</v>
      </c>
      <c r="M74" s="438">
        <v>200</v>
      </c>
      <c r="N74" s="480">
        <f>+M74/M81</f>
        <v>0.2857142857142857</v>
      </c>
      <c r="P74" s="481">
        <f>+M74/M76</f>
        <v>0.5714285714285714</v>
      </c>
    </row>
    <row r="75" spans="3:16" x14ac:dyDescent="0.25">
      <c r="C75" s="422" t="s">
        <v>90</v>
      </c>
      <c r="E75" s="438">
        <v>150</v>
      </c>
      <c r="F75" s="480">
        <f>+E75/E81</f>
        <v>0.13636363636363635</v>
      </c>
      <c r="H75" s="482">
        <f>+E75/E76</f>
        <v>0.42857142857142855</v>
      </c>
      <c r="I75" s="422">
        <v>150</v>
      </c>
      <c r="J75" s="480">
        <f>+I75/I81</f>
        <v>0.1875</v>
      </c>
      <c r="L75" s="483">
        <f>+I75/I76</f>
        <v>0.42857142857142855</v>
      </c>
      <c r="M75" s="484">
        <v>150</v>
      </c>
      <c r="N75" s="480">
        <f>+M75/M81</f>
        <v>0.21428571428571427</v>
      </c>
      <c r="P75" s="482">
        <f>+M75/M76</f>
        <v>0.42857142857142855</v>
      </c>
    </row>
    <row r="76" spans="3:16" x14ac:dyDescent="0.25">
      <c r="C76" s="452" t="s">
        <v>91</v>
      </c>
      <c r="D76" s="452"/>
      <c r="E76" s="451">
        <f>SUM(E74:E75)</f>
        <v>350</v>
      </c>
      <c r="F76" s="480"/>
      <c r="G76" s="485">
        <f>SUM(F74:F75)</f>
        <v>0.31818181818181818</v>
      </c>
      <c r="H76" s="486">
        <f>SUM(H74:H75)</f>
        <v>1</v>
      </c>
      <c r="I76" s="451">
        <f>SUM(I74:I75)</f>
        <v>350</v>
      </c>
      <c r="J76" s="480"/>
      <c r="K76" s="485">
        <f>SUM(J74:J75)</f>
        <v>0.4375</v>
      </c>
      <c r="L76" s="487">
        <f>SUM(L74:L75)</f>
        <v>1</v>
      </c>
      <c r="M76" s="451">
        <f>SUM(M74:M75)</f>
        <v>350</v>
      </c>
      <c r="N76" s="480"/>
      <c r="O76" s="485">
        <f>SUM(N74:N75)</f>
        <v>0.5</v>
      </c>
      <c r="P76" s="486">
        <f>SUM(P74:P75)</f>
        <v>1</v>
      </c>
    </row>
    <row r="77" spans="3:16" x14ac:dyDescent="0.25">
      <c r="C77" s="422" t="s">
        <v>92</v>
      </c>
      <c r="D77" s="428"/>
      <c r="E77" s="438"/>
      <c r="F77" s="480"/>
      <c r="H77" s="481"/>
      <c r="I77" s="438"/>
      <c r="J77" s="480"/>
      <c r="L77" s="480"/>
      <c r="M77" s="438"/>
      <c r="N77" s="480"/>
      <c r="P77" s="481"/>
    </row>
    <row r="78" spans="3:16" x14ac:dyDescent="0.25">
      <c r="C78" s="422" t="s">
        <v>93</v>
      </c>
      <c r="E78" s="438">
        <v>350</v>
      </c>
      <c r="F78" s="480">
        <f>+E78/E81</f>
        <v>0.31818181818181818</v>
      </c>
      <c r="H78" s="481">
        <f>+E78/E80</f>
        <v>0.46666666666666667</v>
      </c>
      <c r="I78" s="422">
        <v>220</v>
      </c>
      <c r="J78" s="480">
        <f>+I78/I81</f>
        <v>0.27500000000000002</v>
      </c>
      <c r="L78" s="480">
        <f>+I78/I80</f>
        <v>0.48888888888888887</v>
      </c>
      <c r="M78" s="438">
        <v>200</v>
      </c>
      <c r="N78" s="480">
        <f>+M78/M81</f>
        <v>0.2857142857142857</v>
      </c>
      <c r="P78" s="481">
        <f>+M78/M80</f>
        <v>0.5714285714285714</v>
      </c>
    </row>
    <row r="79" spans="3:16" x14ac:dyDescent="0.25">
      <c r="C79" s="422" t="s">
        <v>94</v>
      </c>
      <c r="E79" s="438">
        <v>400</v>
      </c>
      <c r="F79" s="497">
        <f>+E79/E81</f>
        <v>0.36363636363636365</v>
      </c>
      <c r="H79" s="482">
        <f>+E79/E80</f>
        <v>0.53333333333333333</v>
      </c>
      <c r="I79" s="422">
        <v>230</v>
      </c>
      <c r="J79" s="480">
        <f>+I79/I81</f>
        <v>0.28749999999999998</v>
      </c>
      <c r="L79" s="483">
        <f>+I79/I80</f>
        <v>0.51111111111111107</v>
      </c>
      <c r="M79" s="438">
        <v>150</v>
      </c>
      <c r="N79" s="480">
        <f>+M79/M81</f>
        <v>0.21428571428571427</v>
      </c>
      <c r="P79" s="482">
        <f>+M79/M80</f>
        <v>0.42857142857142855</v>
      </c>
    </row>
    <row r="80" spans="3:16" x14ac:dyDescent="0.25">
      <c r="C80" s="498" t="s">
        <v>95</v>
      </c>
      <c r="D80" s="452"/>
      <c r="E80" s="488">
        <f>SUM(E78:E79)</f>
        <v>750</v>
      </c>
      <c r="F80" s="480"/>
      <c r="G80" s="485">
        <f>SUM(F78:F79)</f>
        <v>0.68181818181818188</v>
      </c>
      <c r="H80" s="486">
        <f>SUM(H78:H79)</f>
        <v>1</v>
      </c>
      <c r="I80" s="488">
        <f>SUM(I78:I79)</f>
        <v>450</v>
      </c>
      <c r="J80" s="480"/>
      <c r="K80" s="485">
        <f>SUM(J78:J79)</f>
        <v>0.5625</v>
      </c>
      <c r="L80" s="487">
        <f>SUM(L78:L79)</f>
        <v>1</v>
      </c>
      <c r="M80" s="490">
        <f>SUM(M78:M79)</f>
        <v>350</v>
      </c>
      <c r="N80" s="480"/>
      <c r="O80" s="485">
        <f>SUM(N78:N79)</f>
        <v>0.5</v>
      </c>
      <c r="P80" s="486">
        <f>SUM(P78:P79)</f>
        <v>1</v>
      </c>
    </row>
    <row r="81" spans="3:16" x14ac:dyDescent="0.25">
      <c r="C81" s="499" t="s">
        <v>96</v>
      </c>
      <c r="D81" s="463"/>
      <c r="E81" s="456">
        <f>+E76+E80</f>
        <v>1100</v>
      </c>
      <c r="F81" s="495"/>
      <c r="G81" s="500">
        <f>+E81/E88</f>
        <v>0.52380952380952384</v>
      </c>
      <c r="H81" s="496"/>
      <c r="I81" s="456">
        <f>+I76+I80</f>
        <v>800</v>
      </c>
      <c r="J81" s="495"/>
      <c r="K81" s="500">
        <f>+I81/I88</f>
        <v>0.47058823529411764</v>
      </c>
      <c r="L81" s="495"/>
      <c r="M81" s="456">
        <f>+M76+M80</f>
        <v>700</v>
      </c>
      <c r="N81" s="495"/>
      <c r="O81" s="500">
        <f>+M81/M88</f>
        <v>0.46666666666666667</v>
      </c>
      <c r="P81" s="496"/>
    </row>
    <row r="82" spans="3:16" x14ac:dyDescent="0.25">
      <c r="C82" s="501"/>
      <c r="E82" s="438"/>
      <c r="F82" s="480"/>
      <c r="H82" s="481"/>
      <c r="I82" s="438"/>
      <c r="J82" s="480"/>
      <c r="L82" s="480"/>
      <c r="M82" s="438"/>
      <c r="N82" s="480"/>
      <c r="P82" s="481"/>
    </row>
    <row r="83" spans="3:16" x14ac:dyDescent="0.25">
      <c r="C83" s="502" t="s">
        <v>97</v>
      </c>
      <c r="D83" s="467"/>
      <c r="E83" s="503"/>
      <c r="F83" s="504"/>
      <c r="G83" s="467"/>
      <c r="H83" s="505"/>
      <c r="I83" s="503"/>
      <c r="J83" s="504"/>
      <c r="K83" s="467"/>
      <c r="L83" s="504"/>
      <c r="M83" s="503"/>
      <c r="N83" s="504"/>
      <c r="O83" s="467"/>
      <c r="P83" s="505"/>
    </row>
    <row r="84" spans="3:16" x14ac:dyDescent="0.25">
      <c r="C84" s="506" t="s">
        <v>98</v>
      </c>
      <c r="E84" s="438">
        <v>700</v>
      </c>
      <c r="F84" s="480">
        <f>+E84/E88</f>
        <v>0.33333333333333331</v>
      </c>
      <c r="H84" s="481">
        <f>+E84/E86</f>
        <v>0.7</v>
      </c>
      <c r="I84" s="484">
        <v>600</v>
      </c>
      <c r="J84" s="480">
        <f>+I84/I88</f>
        <v>0.35294117647058826</v>
      </c>
      <c r="L84" s="480">
        <f>+I84/I86</f>
        <v>0.66666666666666663</v>
      </c>
      <c r="M84" s="438">
        <v>500</v>
      </c>
      <c r="N84" s="480">
        <f>+M84/M88</f>
        <v>0.33333333333333331</v>
      </c>
      <c r="P84" s="481">
        <f>+M84/M86</f>
        <v>0.625</v>
      </c>
    </row>
    <row r="85" spans="3:16" x14ac:dyDescent="0.25">
      <c r="C85" s="506" t="s">
        <v>99</v>
      </c>
      <c r="E85" s="438">
        <v>300</v>
      </c>
      <c r="F85" s="480">
        <f>+E85/E88</f>
        <v>0.14285714285714285</v>
      </c>
      <c r="H85" s="482">
        <f>+E85/E86</f>
        <v>0.3</v>
      </c>
      <c r="I85" s="422">
        <v>300</v>
      </c>
      <c r="J85" s="480">
        <f>+I85/I88</f>
        <v>0.17647058823529413</v>
      </c>
      <c r="L85" s="483">
        <f>+I85/I86</f>
        <v>0.33333333333333331</v>
      </c>
      <c r="M85" s="484">
        <v>300</v>
      </c>
      <c r="N85" s="480">
        <f>+M85/M88</f>
        <v>0.2</v>
      </c>
      <c r="P85" s="482">
        <f>+M85/M86</f>
        <v>0.375</v>
      </c>
    </row>
    <row r="86" spans="3:16" x14ac:dyDescent="0.25">
      <c r="C86" s="507" t="s">
        <v>100</v>
      </c>
      <c r="D86" s="471"/>
      <c r="E86" s="508">
        <f>SUM(E84:E85)</f>
        <v>1000</v>
      </c>
      <c r="F86" s="504"/>
      <c r="G86" s="509">
        <f>SUM(F84:F85)</f>
        <v>0.47619047619047616</v>
      </c>
      <c r="H86" s="510">
        <f>SUM(H84:H85)</f>
        <v>1</v>
      </c>
      <c r="I86" s="508">
        <f>SUM(I84:I85)</f>
        <v>900</v>
      </c>
      <c r="J86" s="504"/>
      <c r="K86" s="509">
        <f>SUM(J84:J85)</f>
        <v>0.52941176470588236</v>
      </c>
      <c r="L86" s="511">
        <f>SUM(L84:L85)</f>
        <v>1</v>
      </c>
      <c r="M86" s="508">
        <f>SUM(M84:M85)</f>
        <v>800</v>
      </c>
      <c r="N86" s="504"/>
      <c r="O86" s="509">
        <f>SUM(N84:N85)</f>
        <v>0.53333333333333333</v>
      </c>
      <c r="P86" s="510">
        <f>SUM(P84:P85)</f>
        <v>1</v>
      </c>
    </row>
    <row r="87" spans="3:16" x14ac:dyDescent="0.25">
      <c r="C87" s="501"/>
      <c r="D87" s="428"/>
      <c r="E87" s="438"/>
      <c r="F87" s="480"/>
      <c r="H87" s="481"/>
      <c r="I87" s="438"/>
      <c r="J87" s="480"/>
      <c r="L87" s="480"/>
      <c r="M87" s="438"/>
      <c r="N87" s="480"/>
      <c r="P87" s="481"/>
    </row>
    <row r="88" spans="3:16" ht="14.4" thickBot="1" x14ac:dyDescent="0.3">
      <c r="C88" s="512" t="s">
        <v>101</v>
      </c>
      <c r="D88" s="513"/>
      <c r="E88" s="514">
        <f>+E81+E86</f>
        <v>2100</v>
      </c>
      <c r="F88" s="515"/>
      <c r="G88" s="516">
        <f>+G81+G86</f>
        <v>1</v>
      </c>
      <c r="H88" s="517"/>
      <c r="I88" s="514">
        <f>+I81+I86</f>
        <v>1700</v>
      </c>
      <c r="J88" s="515"/>
      <c r="K88" s="516">
        <f>+K81+K86</f>
        <v>1</v>
      </c>
      <c r="L88" s="515"/>
      <c r="M88" s="514">
        <f>+M81+M86</f>
        <v>1500</v>
      </c>
      <c r="N88" s="515"/>
      <c r="O88" s="516">
        <f>+O81+O86</f>
        <v>1</v>
      </c>
      <c r="P88" s="517"/>
    </row>
    <row r="91" spans="3:16" ht="16.2" thickBot="1" x14ac:dyDescent="0.35">
      <c r="D91" s="733" t="s">
        <v>186</v>
      </c>
      <c r="E91" s="733"/>
      <c r="F91" s="733"/>
      <c r="G91" s="733"/>
      <c r="H91" s="733"/>
      <c r="I91" s="733" t="s">
        <v>187</v>
      </c>
      <c r="J91" s="733"/>
      <c r="K91" s="733"/>
      <c r="L91" s="733"/>
      <c r="M91" s="733"/>
    </row>
    <row r="92" spans="3:16" ht="14.25" customHeight="1" thickTop="1" x14ac:dyDescent="0.25">
      <c r="C92" s="727" t="s">
        <v>71</v>
      </c>
      <c r="D92" s="730" t="s">
        <v>188</v>
      </c>
      <c r="E92" s="730"/>
      <c r="F92" s="730"/>
      <c r="G92" s="730"/>
      <c r="H92" s="730"/>
      <c r="I92" s="730" t="s">
        <v>189</v>
      </c>
      <c r="J92" s="730"/>
      <c r="K92" s="730"/>
      <c r="L92" s="730"/>
      <c r="M92" s="730"/>
    </row>
    <row r="93" spans="3:16" x14ac:dyDescent="0.25">
      <c r="C93" s="727"/>
      <c r="D93" s="728"/>
      <c r="E93" s="728"/>
      <c r="F93" s="728"/>
      <c r="G93" s="728"/>
      <c r="H93" s="728"/>
      <c r="I93" s="728"/>
      <c r="J93" s="728"/>
      <c r="K93" s="728"/>
      <c r="L93" s="728"/>
      <c r="M93" s="728"/>
    </row>
    <row r="94" spans="3:16" ht="14.25" customHeight="1" x14ac:dyDescent="0.25">
      <c r="C94" s="727"/>
      <c r="D94" s="728"/>
      <c r="E94" s="728"/>
      <c r="F94" s="728"/>
      <c r="G94" s="728"/>
      <c r="H94" s="728"/>
      <c r="I94" s="728"/>
      <c r="J94" s="728"/>
      <c r="K94" s="728"/>
      <c r="L94" s="728"/>
      <c r="M94" s="728"/>
    </row>
    <row r="95" spans="3:16" x14ac:dyDescent="0.25">
      <c r="C95" s="727"/>
      <c r="D95" s="728"/>
      <c r="E95" s="728"/>
      <c r="F95" s="728"/>
      <c r="G95" s="728"/>
      <c r="H95" s="728"/>
      <c r="I95" s="728"/>
      <c r="J95" s="728"/>
      <c r="K95" s="728"/>
      <c r="L95" s="728"/>
      <c r="M95" s="728"/>
    </row>
    <row r="96" spans="3:16" ht="14.25" customHeight="1" x14ac:dyDescent="0.25">
      <c r="C96" s="727" t="s">
        <v>72</v>
      </c>
      <c r="D96" s="728"/>
      <c r="E96" s="728"/>
      <c r="F96" s="728"/>
      <c r="G96" s="728"/>
      <c r="H96" s="728"/>
      <c r="I96" s="728"/>
      <c r="J96" s="728"/>
      <c r="K96" s="728"/>
      <c r="L96" s="728"/>
      <c r="M96" s="728"/>
    </row>
    <row r="97" spans="2:20" x14ac:dyDescent="0.25">
      <c r="C97" s="727"/>
      <c r="D97" s="728"/>
      <c r="E97" s="728"/>
      <c r="F97" s="728"/>
      <c r="G97" s="728"/>
      <c r="H97" s="728"/>
      <c r="I97" s="728"/>
      <c r="J97" s="728"/>
      <c r="K97" s="728"/>
      <c r="L97" s="728"/>
      <c r="M97" s="728"/>
    </row>
    <row r="98" spans="2:20" ht="14.25" customHeight="1" x14ac:dyDescent="0.25">
      <c r="C98" s="727"/>
      <c r="D98" s="728"/>
      <c r="E98" s="728"/>
      <c r="F98" s="728"/>
      <c r="G98" s="728"/>
      <c r="H98" s="728"/>
      <c r="I98" s="728"/>
      <c r="J98" s="728"/>
      <c r="K98" s="728"/>
      <c r="L98" s="728"/>
      <c r="M98" s="728"/>
    </row>
    <row r="99" spans="2:20" x14ac:dyDescent="0.25">
      <c r="C99" s="727"/>
      <c r="D99" s="728"/>
      <c r="E99" s="728"/>
      <c r="F99" s="728"/>
      <c r="G99" s="728"/>
      <c r="H99" s="728"/>
      <c r="I99" s="728"/>
      <c r="J99" s="728"/>
      <c r="K99" s="728"/>
      <c r="L99" s="728"/>
      <c r="M99" s="728"/>
    </row>
    <row r="100" spans="2:20" ht="14.25" customHeight="1" x14ac:dyDescent="0.25">
      <c r="C100" s="727" t="s">
        <v>73</v>
      </c>
      <c r="D100" s="728"/>
      <c r="E100" s="728"/>
      <c r="F100" s="728"/>
      <c r="G100" s="728"/>
      <c r="H100" s="728"/>
      <c r="I100" s="728"/>
      <c r="J100" s="728"/>
      <c r="K100" s="728"/>
      <c r="L100" s="728"/>
      <c r="M100" s="728"/>
    </row>
    <row r="101" spans="2:20" x14ac:dyDescent="0.25">
      <c r="C101" s="727"/>
      <c r="D101" s="728"/>
      <c r="E101" s="728"/>
      <c r="F101" s="728"/>
      <c r="G101" s="728"/>
      <c r="H101" s="728"/>
      <c r="I101" s="728"/>
      <c r="J101" s="728"/>
      <c r="K101" s="728"/>
      <c r="L101" s="728"/>
      <c r="M101" s="728"/>
    </row>
    <row r="102" spans="2:20" ht="14.25" customHeight="1" x14ac:dyDescent="0.25">
      <c r="C102" s="727"/>
      <c r="D102" s="728"/>
      <c r="E102" s="728"/>
      <c r="F102" s="728"/>
      <c r="G102" s="728"/>
      <c r="H102" s="728"/>
      <c r="I102" s="728"/>
      <c r="J102" s="728"/>
      <c r="K102" s="728"/>
      <c r="L102" s="728"/>
      <c r="M102" s="728"/>
    </row>
    <row r="103" spans="2:20" ht="18.75" customHeight="1" x14ac:dyDescent="0.25">
      <c r="C103" s="727"/>
      <c r="D103" s="728"/>
      <c r="E103" s="728"/>
      <c r="F103" s="728"/>
      <c r="G103" s="728"/>
      <c r="H103" s="728"/>
      <c r="I103" s="728"/>
      <c r="J103" s="728"/>
      <c r="K103" s="728"/>
      <c r="L103" s="728"/>
      <c r="M103" s="728"/>
    </row>
    <row r="106" spans="2:20" ht="14.25" customHeight="1" x14ac:dyDescent="0.25">
      <c r="B106" s="731">
        <v>2</v>
      </c>
      <c r="C106" s="732" t="s">
        <v>337</v>
      </c>
      <c r="D106" s="732"/>
      <c r="E106" s="732"/>
      <c r="F106" s="732"/>
      <c r="G106" s="732"/>
      <c r="H106" s="732"/>
      <c r="I106" s="732"/>
      <c r="J106" s="732"/>
      <c r="K106" s="732"/>
      <c r="L106" s="732"/>
      <c r="M106" s="732"/>
      <c r="N106" s="732"/>
      <c r="O106" s="732"/>
      <c r="P106" s="732"/>
      <c r="Q106" s="732"/>
      <c r="R106" s="732"/>
      <c r="S106" s="732"/>
      <c r="T106" s="732"/>
    </row>
    <row r="107" spans="2:20" x14ac:dyDescent="0.25">
      <c r="B107" s="731"/>
      <c r="C107" s="732"/>
      <c r="D107" s="732"/>
      <c r="E107" s="732"/>
      <c r="F107" s="732"/>
      <c r="G107" s="732"/>
      <c r="H107" s="732"/>
      <c r="I107" s="732"/>
      <c r="J107" s="732"/>
      <c r="K107" s="732"/>
      <c r="L107" s="732"/>
      <c r="M107" s="732"/>
      <c r="N107" s="732"/>
      <c r="O107" s="732"/>
      <c r="P107" s="732"/>
      <c r="Q107" s="732"/>
      <c r="R107" s="732"/>
      <c r="S107" s="732"/>
      <c r="T107" s="732"/>
    </row>
    <row r="108" spans="2:20" ht="14.4" thickBot="1" x14ac:dyDescent="0.3"/>
    <row r="109" spans="2:20" ht="30.6" thickBot="1" x14ac:dyDescent="0.55000000000000004">
      <c r="B109" s="759" t="s">
        <v>202</v>
      </c>
      <c r="C109" s="760"/>
      <c r="D109" s="760"/>
      <c r="E109" s="760"/>
      <c r="F109" s="760"/>
      <c r="G109" s="760"/>
      <c r="H109" s="760"/>
      <c r="I109" s="760"/>
      <c r="J109" s="760"/>
      <c r="K109" s="760"/>
      <c r="L109" s="760"/>
      <c r="M109" s="760"/>
      <c r="N109" s="760"/>
      <c r="O109" s="760"/>
      <c r="P109" s="760"/>
      <c r="Q109" s="760"/>
      <c r="R109" s="760"/>
      <c r="S109" s="760"/>
      <c r="T109" s="761"/>
    </row>
    <row r="110" spans="2:20" ht="30" customHeight="1" x14ac:dyDescent="0.25">
      <c r="B110" s="731" t="s">
        <v>203</v>
      </c>
      <c r="C110" s="731"/>
      <c r="D110" s="731"/>
      <c r="E110" s="731"/>
      <c r="F110" s="731"/>
      <c r="G110" s="731"/>
      <c r="H110" s="731"/>
      <c r="I110" s="731"/>
      <c r="J110" s="731"/>
      <c r="K110" s="731"/>
      <c r="L110" s="762" t="s">
        <v>71</v>
      </c>
      <c r="M110" s="763"/>
      <c r="N110" s="764"/>
      <c r="O110" s="762" t="s">
        <v>72</v>
      </c>
      <c r="P110" s="763"/>
      <c r="Q110" s="764"/>
      <c r="R110" s="762" t="s">
        <v>73</v>
      </c>
      <c r="S110" s="763"/>
      <c r="T110" s="764"/>
    </row>
    <row r="111" spans="2:20" ht="17.399999999999999" x14ac:dyDescent="0.3">
      <c r="B111" s="767" t="s">
        <v>207</v>
      </c>
      <c r="C111" s="768"/>
      <c r="D111" s="768"/>
      <c r="E111" s="768"/>
      <c r="F111" s="768"/>
      <c r="G111" s="768"/>
      <c r="H111" s="768"/>
      <c r="I111" s="768"/>
      <c r="J111" s="768"/>
      <c r="K111" s="768"/>
      <c r="L111" s="765"/>
      <c r="M111" s="731"/>
      <c r="N111" s="766"/>
      <c r="O111" s="765"/>
      <c r="P111" s="731"/>
      <c r="Q111" s="766"/>
      <c r="R111" s="765"/>
      <c r="S111" s="731"/>
      <c r="T111" s="766"/>
    </row>
    <row r="112" spans="2:20" x14ac:dyDescent="0.25">
      <c r="B112" s="518"/>
      <c r="C112" s="519"/>
      <c r="D112" s="519"/>
      <c r="E112" s="519"/>
      <c r="F112" s="519"/>
      <c r="G112" s="519"/>
      <c r="H112" s="519"/>
      <c r="I112" s="519"/>
      <c r="J112" s="519"/>
      <c r="K112" s="519"/>
      <c r="L112" s="520"/>
      <c r="M112" s="519"/>
      <c r="N112" s="521"/>
      <c r="O112" s="520"/>
      <c r="P112" s="519"/>
      <c r="Q112" s="521"/>
      <c r="R112" s="520"/>
      <c r="S112" s="519"/>
      <c r="T112" s="521"/>
    </row>
    <row r="113" spans="2:20" x14ac:dyDescent="0.25">
      <c r="B113" s="522" t="s">
        <v>208</v>
      </c>
      <c r="L113" s="438"/>
      <c r="N113" s="444"/>
      <c r="O113" s="438"/>
      <c r="Q113" s="444"/>
      <c r="R113" s="438"/>
      <c r="T113" s="444"/>
    </row>
    <row r="114" spans="2:20" ht="15" customHeight="1" x14ac:dyDescent="0.25">
      <c r="B114" s="755" t="s">
        <v>338</v>
      </c>
      <c r="C114" s="756"/>
      <c r="D114" s="756"/>
      <c r="E114" s="756"/>
      <c r="G114" s="744" t="s">
        <v>210</v>
      </c>
      <c r="H114" s="744"/>
      <c r="I114" s="744"/>
      <c r="J114" s="422" t="s">
        <v>211</v>
      </c>
      <c r="L114" s="523">
        <f>+E66</f>
        <v>1400</v>
      </c>
      <c r="M114" s="443" t="s">
        <v>212</v>
      </c>
      <c r="N114" s="524">
        <f>+L114/L115</f>
        <v>4</v>
      </c>
      <c r="O114" s="523">
        <f>+I66</f>
        <v>1000</v>
      </c>
      <c r="P114" s="443" t="s">
        <v>212</v>
      </c>
      <c r="Q114" s="524">
        <f>+O114/O115</f>
        <v>2.8571428571428572</v>
      </c>
      <c r="R114" s="523">
        <f>+M66</f>
        <v>800</v>
      </c>
      <c r="S114" s="443" t="s">
        <v>212</v>
      </c>
      <c r="T114" s="524">
        <f>+R114/R115</f>
        <v>2.2857142857142856</v>
      </c>
    </row>
    <row r="115" spans="2:20" x14ac:dyDescent="0.25">
      <c r="B115" s="755"/>
      <c r="C115" s="756"/>
      <c r="D115" s="756"/>
      <c r="E115" s="756"/>
      <c r="H115" s="443" t="s">
        <v>213</v>
      </c>
      <c r="I115" s="443"/>
      <c r="L115" s="525">
        <f>+E76</f>
        <v>350</v>
      </c>
      <c r="M115" s="443"/>
      <c r="N115" s="526"/>
      <c r="O115" s="527">
        <f>+I76</f>
        <v>350</v>
      </c>
      <c r="P115" s="443"/>
      <c r="Q115" s="526"/>
      <c r="R115" s="527">
        <f>+M76</f>
        <v>350</v>
      </c>
      <c r="S115" s="443"/>
      <c r="T115" s="526"/>
    </row>
    <row r="116" spans="2:20" x14ac:dyDescent="0.25">
      <c r="B116" s="755"/>
      <c r="C116" s="756"/>
      <c r="D116" s="756"/>
      <c r="E116" s="756"/>
      <c r="L116" s="528"/>
      <c r="M116" s="443"/>
      <c r="N116" s="526"/>
      <c r="O116" s="528"/>
      <c r="P116" s="443"/>
      <c r="Q116" s="526"/>
      <c r="R116" s="528"/>
      <c r="S116" s="443"/>
      <c r="T116" s="526"/>
    </row>
    <row r="117" spans="2:20" x14ac:dyDescent="0.25">
      <c r="B117" s="529"/>
      <c r="L117" s="528"/>
      <c r="M117" s="443"/>
      <c r="N117" s="526"/>
      <c r="O117" s="528"/>
      <c r="P117" s="443"/>
      <c r="Q117" s="526"/>
      <c r="R117" s="528"/>
      <c r="S117" s="443"/>
      <c r="T117" s="526"/>
    </row>
    <row r="118" spans="2:20" x14ac:dyDescent="0.25">
      <c r="B118" s="522" t="s">
        <v>214</v>
      </c>
      <c r="L118" s="528"/>
      <c r="M118" s="443"/>
      <c r="N118" s="526"/>
      <c r="O118" s="528"/>
      <c r="P118" s="443"/>
      <c r="Q118" s="526"/>
      <c r="R118" s="528"/>
      <c r="S118" s="443"/>
      <c r="T118" s="526"/>
    </row>
    <row r="119" spans="2:20" x14ac:dyDescent="0.25">
      <c r="B119" s="757" t="s">
        <v>215</v>
      </c>
      <c r="C119" s="758"/>
      <c r="D119" s="758"/>
      <c r="E119" s="758"/>
      <c r="G119" s="744" t="s">
        <v>216</v>
      </c>
      <c r="H119" s="744"/>
      <c r="I119" s="744"/>
      <c r="J119" s="422" t="s">
        <v>211</v>
      </c>
      <c r="L119" s="523">
        <f>+E66-E65</f>
        <v>700</v>
      </c>
      <c r="M119" s="443" t="s">
        <v>212</v>
      </c>
      <c r="N119" s="524">
        <f>+L119/L120</f>
        <v>2</v>
      </c>
      <c r="O119" s="523">
        <f>+I66-I65</f>
        <v>500</v>
      </c>
      <c r="P119" s="443" t="s">
        <v>212</v>
      </c>
      <c r="Q119" s="524">
        <f>+O119/O120</f>
        <v>1.4285714285714286</v>
      </c>
      <c r="R119" s="523">
        <f>+M66-M65</f>
        <v>400</v>
      </c>
      <c r="S119" s="443" t="s">
        <v>212</v>
      </c>
      <c r="T119" s="524">
        <f>+R119/R120</f>
        <v>1.1428571428571428</v>
      </c>
    </row>
    <row r="120" spans="2:20" x14ac:dyDescent="0.25">
      <c r="B120" s="757"/>
      <c r="C120" s="758"/>
      <c r="D120" s="758"/>
      <c r="E120" s="758"/>
      <c r="G120" s="753" t="s">
        <v>213</v>
      </c>
      <c r="H120" s="753"/>
      <c r="I120" s="753"/>
      <c r="L120" s="525">
        <f>+E76</f>
        <v>350</v>
      </c>
      <c r="M120" s="443"/>
      <c r="N120" s="526"/>
      <c r="O120" s="527">
        <f>+I76</f>
        <v>350</v>
      </c>
      <c r="P120" s="443"/>
      <c r="Q120" s="526"/>
      <c r="R120" s="527">
        <f>+M76</f>
        <v>350</v>
      </c>
      <c r="S120" s="443"/>
      <c r="T120" s="526"/>
    </row>
    <row r="121" spans="2:20" x14ac:dyDescent="0.25">
      <c r="B121" s="757"/>
      <c r="C121" s="758"/>
      <c r="D121" s="758"/>
      <c r="E121" s="758"/>
      <c r="L121" s="438"/>
      <c r="N121" s="526"/>
      <c r="O121" s="438"/>
      <c r="Q121" s="526"/>
      <c r="R121" s="438"/>
      <c r="T121" s="526"/>
    </row>
    <row r="122" spans="2:20" x14ac:dyDescent="0.25">
      <c r="B122" s="529"/>
      <c r="L122" s="438"/>
      <c r="N122" s="526"/>
      <c r="O122" s="438"/>
      <c r="Q122" s="526"/>
      <c r="R122" s="438"/>
      <c r="T122" s="526"/>
    </row>
    <row r="123" spans="2:20" ht="29.25" customHeight="1" x14ac:dyDescent="0.25">
      <c r="B123" s="530" t="s">
        <v>217</v>
      </c>
      <c r="G123" s="754" t="s">
        <v>218</v>
      </c>
      <c r="H123" s="754"/>
      <c r="I123" s="754"/>
      <c r="J123" s="422" t="s">
        <v>211</v>
      </c>
      <c r="L123" s="531">
        <f>+L23</f>
        <v>-1650</v>
      </c>
      <c r="M123" s="443" t="s">
        <v>212</v>
      </c>
      <c r="N123" s="524">
        <f>+L123/L124</f>
        <v>-2.3571428571428572</v>
      </c>
      <c r="O123" s="531">
        <f>+M23</f>
        <v>-1650</v>
      </c>
      <c r="P123" s="443" t="s">
        <v>212</v>
      </c>
      <c r="Q123" s="524">
        <f>+O123/O124</f>
        <v>-3.3</v>
      </c>
      <c r="R123" s="531">
        <f>+N23</f>
        <v>-1650</v>
      </c>
      <c r="S123" s="443" t="s">
        <v>212</v>
      </c>
      <c r="T123" s="524">
        <f>+R123/R124</f>
        <v>-4.125</v>
      </c>
    </row>
    <row r="124" spans="2:20" x14ac:dyDescent="0.25">
      <c r="B124" s="529" t="s">
        <v>219</v>
      </c>
      <c r="G124" s="753" t="s">
        <v>220</v>
      </c>
      <c r="H124" s="753"/>
      <c r="I124" s="753"/>
      <c r="L124" s="532">
        <f>+E65</f>
        <v>700</v>
      </c>
      <c r="N124" s="526"/>
      <c r="O124" s="532">
        <f>+I65</f>
        <v>500</v>
      </c>
      <c r="Q124" s="526"/>
      <c r="R124" s="532">
        <f>+M65</f>
        <v>400</v>
      </c>
      <c r="T124" s="526"/>
    </row>
    <row r="125" spans="2:20" x14ac:dyDescent="0.25">
      <c r="B125" s="529"/>
      <c r="L125" s="438"/>
      <c r="N125" s="526"/>
      <c r="O125" s="438"/>
      <c r="Q125" s="526"/>
      <c r="R125" s="438"/>
      <c r="T125" s="526"/>
    </row>
    <row r="126" spans="2:20" ht="39" customHeight="1" x14ac:dyDescent="0.25">
      <c r="B126" s="522" t="s">
        <v>221</v>
      </c>
      <c r="G126" s="754" t="s">
        <v>36</v>
      </c>
      <c r="H126" s="754"/>
      <c r="I126" s="754"/>
      <c r="J126" s="443" t="s">
        <v>222</v>
      </c>
      <c r="L126" s="484">
        <f>+E25</f>
        <v>500</v>
      </c>
      <c r="M126" s="443" t="s">
        <v>212</v>
      </c>
      <c r="N126" s="524">
        <f>+L126/L127</f>
        <v>59.999999999999993</v>
      </c>
      <c r="O126" s="484">
        <f>+I64*360</f>
        <v>126000</v>
      </c>
      <c r="P126" s="443" t="s">
        <v>212</v>
      </c>
      <c r="Q126" s="524">
        <f>+O126/O127</f>
        <v>42</v>
      </c>
      <c r="R126" s="484">
        <f>+M64*360</f>
        <v>108000</v>
      </c>
      <c r="S126" s="443" t="s">
        <v>212</v>
      </c>
      <c r="T126" s="524">
        <f>+R126/R127</f>
        <v>36</v>
      </c>
    </row>
    <row r="127" spans="2:20" x14ac:dyDescent="0.25">
      <c r="B127" s="745" t="s">
        <v>223</v>
      </c>
      <c r="C127" s="746"/>
      <c r="D127" s="746"/>
      <c r="E127" s="746"/>
      <c r="G127" s="753" t="s">
        <v>339</v>
      </c>
      <c r="H127" s="753"/>
      <c r="I127" s="753"/>
      <c r="L127" s="533">
        <f>+(L22/360)</f>
        <v>8.3333333333333339</v>
      </c>
      <c r="N127" s="526"/>
      <c r="O127" s="533">
        <f>+M22</f>
        <v>3000</v>
      </c>
      <c r="Q127" s="526"/>
      <c r="R127" s="533">
        <f>+N22</f>
        <v>3000</v>
      </c>
      <c r="T127" s="526"/>
    </row>
    <row r="128" spans="2:20" x14ac:dyDescent="0.25">
      <c r="B128" s="745"/>
      <c r="C128" s="746"/>
      <c r="D128" s="746"/>
      <c r="E128" s="746"/>
      <c r="L128" s="438"/>
      <c r="N128" s="526"/>
      <c r="O128" s="438"/>
      <c r="Q128" s="526"/>
      <c r="R128" s="438"/>
      <c r="T128" s="526"/>
    </row>
    <row r="129" spans="2:20" x14ac:dyDescent="0.25">
      <c r="B129" s="529"/>
      <c r="L129" s="438"/>
      <c r="N129" s="526"/>
      <c r="O129" s="438"/>
      <c r="Q129" s="526"/>
      <c r="R129" s="438"/>
      <c r="T129" s="526"/>
    </row>
    <row r="130" spans="2:20" x14ac:dyDescent="0.25">
      <c r="B130" s="522" t="s">
        <v>225</v>
      </c>
      <c r="G130" s="744" t="s">
        <v>47</v>
      </c>
      <c r="H130" s="744"/>
      <c r="I130" s="744"/>
      <c r="J130" s="422" t="s">
        <v>222</v>
      </c>
      <c r="L130" s="531">
        <f>+E35</f>
        <v>200</v>
      </c>
      <c r="M130" s="443" t="s">
        <v>212</v>
      </c>
      <c r="N130" s="524">
        <f>+L130/L131</f>
        <v>24</v>
      </c>
      <c r="O130" s="531">
        <f>+I74</f>
        <v>200</v>
      </c>
      <c r="P130" s="443" t="s">
        <v>212</v>
      </c>
      <c r="Q130" s="524">
        <f>+O130/O131</f>
        <v>24</v>
      </c>
      <c r="R130" s="531">
        <f>+M74</f>
        <v>200</v>
      </c>
      <c r="S130" s="443" t="s">
        <v>212</v>
      </c>
      <c r="T130" s="524">
        <f>+R130/R131</f>
        <v>24</v>
      </c>
    </row>
    <row r="131" spans="2:20" x14ac:dyDescent="0.25">
      <c r="B131" s="745" t="s">
        <v>340</v>
      </c>
      <c r="C131" s="746"/>
      <c r="D131" s="746"/>
      <c r="E131" s="746"/>
      <c r="G131" s="753" t="s">
        <v>339</v>
      </c>
      <c r="H131" s="753"/>
      <c r="I131" s="753"/>
      <c r="L131" s="534">
        <f>+L22/360</f>
        <v>8.3333333333333339</v>
      </c>
      <c r="N131" s="526"/>
      <c r="O131" s="532">
        <f>+M22/360</f>
        <v>8.3333333333333339</v>
      </c>
      <c r="Q131" s="526"/>
      <c r="R131" s="532">
        <f>+N22/360</f>
        <v>8.3333333333333339</v>
      </c>
      <c r="T131" s="526"/>
    </row>
    <row r="132" spans="2:20" x14ac:dyDescent="0.25">
      <c r="B132" s="748"/>
      <c r="C132" s="749"/>
      <c r="D132" s="749"/>
      <c r="E132" s="749"/>
      <c r="F132" s="535"/>
      <c r="G132" s="535"/>
      <c r="H132" s="535"/>
      <c r="I132" s="535"/>
      <c r="J132" s="535"/>
      <c r="K132" s="535"/>
      <c r="L132" s="484"/>
      <c r="M132" s="535"/>
      <c r="N132" s="536"/>
      <c r="O132" s="484"/>
      <c r="P132" s="535"/>
      <c r="Q132" s="536"/>
      <c r="R132" s="484"/>
      <c r="S132" s="535"/>
      <c r="T132" s="536"/>
    </row>
    <row r="133" spans="2:20" x14ac:dyDescent="0.25">
      <c r="L133" s="438"/>
      <c r="N133" s="526"/>
      <c r="O133" s="438"/>
      <c r="Q133" s="526"/>
      <c r="R133" s="438"/>
      <c r="T133" s="526"/>
    </row>
    <row r="134" spans="2:20" ht="17.399999999999999" x14ac:dyDescent="0.3">
      <c r="B134" s="750" t="s">
        <v>230</v>
      </c>
      <c r="C134" s="751"/>
      <c r="D134" s="751"/>
      <c r="E134" s="751"/>
      <c r="F134" s="751"/>
      <c r="G134" s="751"/>
      <c r="H134" s="751"/>
      <c r="I134" s="751"/>
      <c r="J134" s="751"/>
      <c r="K134" s="751"/>
      <c r="L134" s="520"/>
      <c r="M134" s="519"/>
      <c r="N134" s="537"/>
      <c r="O134" s="520"/>
      <c r="P134" s="519"/>
      <c r="Q134" s="537"/>
      <c r="R134" s="520"/>
      <c r="S134" s="519"/>
      <c r="T134" s="537"/>
    </row>
    <row r="135" spans="2:20" x14ac:dyDescent="0.25">
      <c r="B135" s="529"/>
      <c r="L135" s="438"/>
      <c r="N135" s="526"/>
      <c r="O135" s="438"/>
      <c r="Q135" s="526"/>
      <c r="R135" s="438"/>
      <c r="T135" s="526"/>
    </row>
    <row r="136" spans="2:20" x14ac:dyDescent="0.25">
      <c r="B136" s="522" t="s">
        <v>341</v>
      </c>
      <c r="L136" s="438"/>
      <c r="N136" s="526"/>
      <c r="O136" s="438"/>
      <c r="Q136" s="526"/>
      <c r="R136" s="438"/>
      <c r="T136" s="526"/>
    </row>
    <row r="137" spans="2:20" x14ac:dyDescent="0.25">
      <c r="B137" s="745" t="s">
        <v>342</v>
      </c>
      <c r="C137" s="746"/>
      <c r="D137" s="746"/>
      <c r="E137" s="746"/>
      <c r="G137" s="744" t="s">
        <v>233</v>
      </c>
      <c r="H137" s="744"/>
      <c r="I137" s="744"/>
      <c r="J137" s="422" t="s">
        <v>234</v>
      </c>
      <c r="L137" s="484">
        <f>+E81</f>
        <v>1100</v>
      </c>
      <c r="M137" s="443" t="s">
        <v>212</v>
      </c>
      <c r="N137" s="538">
        <f>+L137/L138</f>
        <v>1.1000000000000001</v>
      </c>
      <c r="O137" s="484">
        <f>+I81</f>
        <v>800</v>
      </c>
      <c r="P137" s="443" t="s">
        <v>212</v>
      </c>
      <c r="Q137" s="538">
        <f>+O137/O138</f>
        <v>0.88888888888888884</v>
      </c>
      <c r="R137" s="484">
        <f>+M81</f>
        <v>700</v>
      </c>
      <c r="S137" s="443" t="s">
        <v>212</v>
      </c>
      <c r="T137" s="538">
        <f>+R137/R138</f>
        <v>0.875</v>
      </c>
    </row>
    <row r="138" spans="2:20" x14ac:dyDescent="0.25">
      <c r="B138" s="745"/>
      <c r="C138" s="746"/>
      <c r="D138" s="746"/>
      <c r="E138" s="746"/>
      <c r="G138" s="747" t="s">
        <v>246</v>
      </c>
      <c r="H138" s="747"/>
      <c r="I138" s="747"/>
      <c r="L138" s="438">
        <f>+E86</f>
        <v>1000</v>
      </c>
      <c r="N138" s="526"/>
      <c r="O138" s="438">
        <f>+I86</f>
        <v>900</v>
      </c>
      <c r="Q138" s="526"/>
      <c r="R138" s="438">
        <f>+M86</f>
        <v>800</v>
      </c>
      <c r="T138" s="526"/>
    </row>
    <row r="139" spans="2:20" x14ac:dyDescent="0.25">
      <c r="B139" s="529"/>
      <c r="L139" s="438"/>
      <c r="N139" s="526"/>
      <c r="O139" s="438"/>
      <c r="Q139" s="526"/>
      <c r="R139" s="438"/>
      <c r="T139" s="526"/>
    </row>
    <row r="140" spans="2:20" x14ac:dyDescent="0.25">
      <c r="B140" s="529"/>
      <c r="L140" s="438"/>
      <c r="N140" s="526"/>
      <c r="O140" s="438"/>
      <c r="Q140" s="526"/>
      <c r="R140" s="438"/>
      <c r="T140" s="526"/>
    </row>
    <row r="141" spans="2:20" x14ac:dyDescent="0.25">
      <c r="B141" s="522" t="s">
        <v>231</v>
      </c>
      <c r="L141" s="438"/>
      <c r="N141" s="526"/>
      <c r="O141" s="438"/>
      <c r="Q141" s="526"/>
      <c r="R141" s="438"/>
      <c r="T141" s="526"/>
    </row>
    <row r="142" spans="2:20" ht="14.25" customHeight="1" x14ac:dyDescent="0.25">
      <c r="B142" s="745" t="s">
        <v>232</v>
      </c>
      <c r="C142" s="746"/>
      <c r="D142" s="746"/>
      <c r="E142" s="746"/>
      <c r="G142" s="744" t="s">
        <v>233</v>
      </c>
      <c r="H142" s="744"/>
      <c r="I142" s="744"/>
      <c r="J142" s="422" t="s">
        <v>234</v>
      </c>
      <c r="L142" s="539">
        <f>+E81</f>
        <v>1100</v>
      </c>
      <c r="M142" s="443" t="s">
        <v>212</v>
      </c>
      <c r="N142" s="540">
        <f>+L142/L143</f>
        <v>0.52380952380952384</v>
      </c>
      <c r="O142" s="539">
        <f>+I81</f>
        <v>800</v>
      </c>
      <c r="P142" s="443" t="s">
        <v>212</v>
      </c>
      <c r="Q142" s="540">
        <f>+O142/O143</f>
        <v>0.47058823529411764</v>
      </c>
      <c r="R142" s="539">
        <f>+M81</f>
        <v>700</v>
      </c>
      <c r="S142" s="443" t="s">
        <v>212</v>
      </c>
      <c r="T142" s="540">
        <f>+R142/R143</f>
        <v>0.46666666666666667</v>
      </c>
    </row>
    <row r="143" spans="2:20" x14ac:dyDescent="0.25">
      <c r="B143" s="748"/>
      <c r="C143" s="749"/>
      <c r="D143" s="749"/>
      <c r="E143" s="749"/>
      <c r="F143" s="535"/>
      <c r="G143" s="752" t="s">
        <v>229</v>
      </c>
      <c r="H143" s="752"/>
      <c r="I143" s="752"/>
      <c r="J143" s="535"/>
      <c r="K143" s="535"/>
      <c r="L143" s="539">
        <f>+E70</f>
        <v>2100</v>
      </c>
      <c r="M143" s="535"/>
      <c r="N143" s="536"/>
      <c r="O143" s="539">
        <f>+I70</f>
        <v>1700</v>
      </c>
      <c r="P143" s="535"/>
      <c r="Q143" s="536"/>
      <c r="R143" s="539">
        <f>+M70</f>
        <v>1500</v>
      </c>
      <c r="S143" s="535"/>
      <c r="T143" s="536"/>
    </row>
    <row r="144" spans="2:20" x14ac:dyDescent="0.25">
      <c r="L144" s="438"/>
      <c r="N144" s="526"/>
      <c r="O144" s="438"/>
      <c r="Q144" s="526"/>
      <c r="R144" s="438"/>
      <c r="T144" s="526"/>
    </row>
    <row r="145" spans="2:20" ht="17.399999999999999" x14ac:dyDescent="0.3">
      <c r="B145" s="541" t="s">
        <v>235</v>
      </c>
      <c r="C145" s="519"/>
      <c r="D145" s="519"/>
      <c r="E145" s="519"/>
      <c r="F145" s="519"/>
      <c r="G145" s="519"/>
      <c r="H145" s="519"/>
      <c r="I145" s="519"/>
      <c r="J145" s="519"/>
      <c r="K145" s="519"/>
      <c r="L145" s="520"/>
      <c r="M145" s="519"/>
      <c r="N145" s="537"/>
      <c r="O145" s="520"/>
      <c r="P145" s="519"/>
      <c r="Q145" s="537"/>
      <c r="R145" s="520"/>
      <c r="S145" s="519"/>
      <c r="T145" s="537"/>
    </row>
    <row r="146" spans="2:20" x14ac:dyDescent="0.25">
      <c r="B146" s="529"/>
      <c r="L146" s="438"/>
      <c r="N146" s="526"/>
      <c r="O146" s="438"/>
      <c r="Q146" s="526"/>
      <c r="R146" s="438"/>
      <c r="T146" s="526"/>
    </row>
    <row r="147" spans="2:20" x14ac:dyDescent="0.25">
      <c r="B147" s="522" t="s">
        <v>301</v>
      </c>
      <c r="G147" s="744" t="s">
        <v>237</v>
      </c>
      <c r="H147" s="744"/>
      <c r="I147" s="744"/>
      <c r="J147" s="422" t="s">
        <v>234</v>
      </c>
      <c r="L147" s="531">
        <f>+L28</f>
        <v>510</v>
      </c>
      <c r="M147" s="443" t="s">
        <v>212</v>
      </c>
      <c r="N147" s="540">
        <f>+L147/L148</f>
        <v>0.17</v>
      </c>
      <c r="O147" s="531">
        <f>+M28</f>
        <v>510</v>
      </c>
      <c r="P147" s="443" t="s">
        <v>212</v>
      </c>
      <c r="Q147" s="540">
        <f>+O147/O148</f>
        <v>0.17</v>
      </c>
      <c r="R147" s="531">
        <f>+N28</f>
        <v>510</v>
      </c>
      <c r="S147" s="443" t="s">
        <v>212</v>
      </c>
      <c r="T147" s="540">
        <f>+R147/R148</f>
        <v>0.17</v>
      </c>
    </row>
    <row r="148" spans="2:20" x14ac:dyDescent="0.25">
      <c r="B148" s="745" t="s">
        <v>238</v>
      </c>
      <c r="C148" s="746"/>
      <c r="D148" s="746"/>
      <c r="E148" s="746"/>
      <c r="G148" s="747" t="s">
        <v>103</v>
      </c>
      <c r="H148" s="747"/>
      <c r="I148" s="747"/>
      <c r="L148" s="533">
        <f>+L22</f>
        <v>3000</v>
      </c>
      <c r="N148" s="526"/>
      <c r="O148" s="533">
        <f>+M22</f>
        <v>3000</v>
      </c>
      <c r="Q148" s="526"/>
      <c r="R148" s="533">
        <f>+N22</f>
        <v>3000</v>
      </c>
      <c r="T148" s="526"/>
    </row>
    <row r="149" spans="2:20" x14ac:dyDescent="0.25">
      <c r="B149" s="745"/>
      <c r="C149" s="746"/>
      <c r="D149" s="746"/>
      <c r="E149" s="746"/>
      <c r="L149" s="438"/>
      <c r="N149" s="526"/>
      <c r="O149" s="438"/>
      <c r="Q149" s="526"/>
      <c r="R149" s="438"/>
      <c r="T149" s="526"/>
    </row>
    <row r="150" spans="2:20" x14ac:dyDescent="0.25">
      <c r="B150" s="529"/>
      <c r="L150" s="438"/>
      <c r="N150" s="526"/>
      <c r="O150" s="438"/>
      <c r="Q150" s="526"/>
      <c r="R150" s="438"/>
      <c r="T150" s="526"/>
    </row>
    <row r="151" spans="2:20" x14ac:dyDescent="0.25">
      <c r="B151" s="522" t="s">
        <v>239</v>
      </c>
      <c r="G151" s="744" t="s">
        <v>104</v>
      </c>
      <c r="H151" s="744"/>
      <c r="I151" s="744"/>
      <c r="J151" s="422" t="s">
        <v>234</v>
      </c>
      <c r="L151" s="531">
        <f>+L33</f>
        <v>301</v>
      </c>
      <c r="M151" s="443" t="s">
        <v>212</v>
      </c>
      <c r="N151" s="540">
        <f>+L151/L152</f>
        <v>0.10033333333333333</v>
      </c>
      <c r="O151" s="531">
        <f>+M33</f>
        <v>308</v>
      </c>
      <c r="P151" s="443" t="s">
        <v>212</v>
      </c>
      <c r="Q151" s="540">
        <f>+O151/O152</f>
        <v>0.10266666666666667</v>
      </c>
      <c r="R151" s="531">
        <f>+N33</f>
        <v>315</v>
      </c>
      <c r="S151" s="443" t="s">
        <v>212</v>
      </c>
      <c r="T151" s="540">
        <f>+R151/R152</f>
        <v>0.105</v>
      </c>
    </row>
    <row r="152" spans="2:20" x14ac:dyDescent="0.25">
      <c r="B152" s="745" t="s">
        <v>240</v>
      </c>
      <c r="C152" s="746"/>
      <c r="D152" s="746"/>
      <c r="E152" s="746"/>
      <c r="G152" s="747" t="s">
        <v>103</v>
      </c>
      <c r="H152" s="747"/>
      <c r="I152" s="747"/>
      <c r="L152" s="533">
        <f>+L22</f>
        <v>3000</v>
      </c>
      <c r="N152" s="526"/>
      <c r="O152" s="533">
        <f>+M22</f>
        <v>3000</v>
      </c>
      <c r="Q152" s="526"/>
      <c r="R152" s="533">
        <f>+N22</f>
        <v>3000</v>
      </c>
      <c r="T152" s="526"/>
    </row>
    <row r="153" spans="2:20" x14ac:dyDescent="0.25">
      <c r="B153" s="745"/>
      <c r="C153" s="746"/>
      <c r="D153" s="746"/>
      <c r="E153" s="746"/>
      <c r="L153" s="438"/>
      <c r="N153" s="526"/>
      <c r="O153" s="438"/>
      <c r="Q153" s="526"/>
      <c r="R153" s="438"/>
      <c r="T153" s="526"/>
    </row>
    <row r="154" spans="2:20" x14ac:dyDescent="0.25">
      <c r="B154" s="529"/>
      <c r="L154" s="438"/>
      <c r="N154" s="526"/>
      <c r="O154" s="438"/>
      <c r="Q154" s="526"/>
      <c r="R154" s="438"/>
      <c r="T154" s="526"/>
    </row>
    <row r="155" spans="2:20" x14ac:dyDescent="0.25">
      <c r="B155" s="522" t="s">
        <v>241</v>
      </c>
      <c r="G155" s="744" t="s">
        <v>104</v>
      </c>
      <c r="H155" s="744"/>
      <c r="I155" s="744"/>
      <c r="J155" s="422" t="s">
        <v>234</v>
      </c>
      <c r="L155" s="531">
        <f>+L33</f>
        <v>301</v>
      </c>
      <c r="M155" s="443" t="s">
        <v>212</v>
      </c>
      <c r="N155" s="542">
        <f>+L155/L156</f>
        <v>0.14333333333333334</v>
      </c>
      <c r="O155" s="531">
        <f>+M33</f>
        <v>308</v>
      </c>
      <c r="P155" s="443" t="s">
        <v>212</v>
      </c>
      <c r="Q155" s="542">
        <f>+O155/O156</f>
        <v>0.1811764705882353</v>
      </c>
      <c r="R155" s="531">
        <f>+N33</f>
        <v>315</v>
      </c>
      <c r="S155" s="443" t="s">
        <v>212</v>
      </c>
      <c r="T155" s="542">
        <f>+R155/R156</f>
        <v>0.21</v>
      </c>
    </row>
    <row r="156" spans="2:20" x14ac:dyDescent="0.25">
      <c r="B156" s="745" t="s">
        <v>242</v>
      </c>
      <c r="C156" s="746"/>
      <c r="D156" s="746"/>
      <c r="E156" s="746"/>
      <c r="G156" s="747" t="s">
        <v>243</v>
      </c>
      <c r="H156" s="747"/>
      <c r="I156" s="747"/>
      <c r="L156" s="532">
        <f>+E70</f>
        <v>2100</v>
      </c>
      <c r="N156" s="526"/>
      <c r="O156" s="532">
        <f>+I70</f>
        <v>1700</v>
      </c>
      <c r="Q156" s="526"/>
      <c r="R156" s="532">
        <f>+M70</f>
        <v>1500</v>
      </c>
      <c r="T156" s="526"/>
    </row>
    <row r="157" spans="2:20" x14ac:dyDescent="0.25">
      <c r="B157" s="745"/>
      <c r="C157" s="746"/>
      <c r="D157" s="746"/>
      <c r="E157" s="746"/>
      <c r="L157" s="438"/>
      <c r="N157" s="526"/>
      <c r="O157" s="438"/>
      <c r="Q157" s="526"/>
      <c r="R157" s="438"/>
      <c r="T157" s="526"/>
    </row>
    <row r="158" spans="2:20" x14ac:dyDescent="0.25">
      <c r="B158" s="529"/>
      <c r="L158" s="438"/>
      <c r="N158" s="526"/>
      <c r="O158" s="438"/>
      <c r="Q158" s="526"/>
      <c r="R158" s="438"/>
      <c r="T158" s="526"/>
    </row>
    <row r="159" spans="2:20" x14ac:dyDescent="0.25">
      <c r="B159" s="522" t="s">
        <v>244</v>
      </c>
      <c r="G159" s="744" t="s">
        <v>104</v>
      </c>
      <c r="H159" s="744"/>
      <c r="I159" s="744"/>
      <c r="J159" s="422" t="s">
        <v>234</v>
      </c>
      <c r="L159" s="531">
        <f>+L33</f>
        <v>301</v>
      </c>
      <c r="M159" s="443" t="s">
        <v>212</v>
      </c>
      <c r="N159" s="542">
        <f>+L159/L160</f>
        <v>0.30099999999999999</v>
      </c>
      <c r="O159" s="531">
        <f>+M33</f>
        <v>308</v>
      </c>
      <c r="P159" s="443" t="s">
        <v>212</v>
      </c>
      <c r="Q159" s="542">
        <f>+O159/O160</f>
        <v>0.34222222222222221</v>
      </c>
      <c r="R159" s="531">
        <f>+N33</f>
        <v>315</v>
      </c>
      <c r="S159" s="443" t="s">
        <v>212</v>
      </c>
      <c r="T159" s="542">
        <f>+R159/R160</f>
        <v>0.39374999999999999</v>
      </c>
    </row>
    <row r="160" spans="2:20" x14ac:dyDescent="0.25">
      <c r="B160" s="745" t="s">
        <v>245</v>
      </c>
      <c r="C160" s="746"/>
      <c r="D160" s="746"/>
      <c r="E160" s="746"/>
      <c r="F160" s="746"/>
      <c r="G160" s="747" t="s">
        <v>246</v>
      </c>
      <c r="H160" s="747"/>
      <c r="I160" s="747"/>
      <c r="L160" s="532">
        <f>+E86</f>
        <v>1000</v>
      </c>
      <c r="N160" s="444"/>
      <c r="O160" s="532">
        <f>+I86</f>
        <v>900</v>
      </c>
      <c r="Q160" s="444"/>
      <c r="R160" s="532">
        <f>+M86</f>
        <v>800</v>
      </c>
      <c r="T160" s="444"/>
    </row>
    <row r="161" spans="2:20" ht="14.4" thickBot="1" x14ac:dyDescent="0.3">
      <c r="B161" s="748"/>
      <c r="C161" s="749"/>
      <c r="D161" s="749"/>
      <c r="E161" s="749"/>
      <c r="F161" s="749"/>
      <c r="G161" s="535"/>
      <c r="H161" s="535"/>
      <c r="I161" s="535"/>
      <c r="J161" s="535"/>
      <c r="K161" s="535"/>
      <c r="L161" s="543"/>
      <c r="M161" s="544"/>
      <c r="N161" s="545"/>
      <c r="O161" s="543"/>
      <c r="P161" s="544"/>
      <c r="Q161" s="545"/>
      <c r="R161" s="543"/>
      <c r="S161" s="544"/>
      <c r="T161" s="545"/>
    </row>
    <row r="163" spans="2:20" ht="16.2" thickBot="1" x14ac:dyDescent="0.35">
      <c r="D163" s="733" t="s">
        <v>186</v>
      </c>
      <c r="E163" s="733"/>
      <c r="F163" s="733"/>
      <c r="G163" s="733"/>
      <c r="H163" s="733"/>
      <c r="I163" s="733" t="s">
        <v>187</v>
      </c>
      <c r="J163" s="733"/>
      <c r="K163" s="733"/>
      <c r="L163" s="733"/>
      <c r="M163" s="733"/>
    </row>
    <row r="164" spans="2:20" ht="14.4" thickTop="1" x14ac:dyDescent="0.25">
      <c r="C164" s="727" t="s">
        <v>71</v>
      </c>
      <c r="D164" s="730" t="s">
        <v>263</v>
      </c>
      <c r="E164" s="730"/>
      <c r="F164" s="730"/>
      <c r="G164" s="730"/>
      <c r="H164" s="730"/>
      <c r="I164" s="743" t="s">
        <v>264</v>
      </c>
      <c r="J164" s="743"/>
      <c r="K164" s="743"/>
      <c r="L164" s="743"/>
      <c r="M164" s="743"/>
    </row>
    <row r="165" spans="2:20" x14ac:dyDescent="0.25">
      <c r="C165" s="727"/>
      <c r="D165" s="728"/>
      <c r="E165" s="728"/>
      <c r="F165" s="728"/>
      <c r="G165" s="728"/>
      <c r="H165" s="728"/>
      <c r="I165" s="729"/>
      <c r="J165" s="729"/>
      <c r="K165" s="729"/>
      <c r="L165" s="729"/>
      <c r="M165" s="729"/>
    </row>
    <row r="166" spans="2:20" x14ac:dyDescent="0.25">
      <c r="C166" s="727" t="s">
        <v>72</v>
      </c>
      <c r="D166" s="728" t="s">
        <v>265</v>
      </c>
      <c r="E166" s="728"/>
      <c r="F166" s="728"/>
      <c r="G166" s="728"/>
      <c r="H166" s="728"/>
      <c r="I166" s="729" t="s">
        <v>266</v>
      </c>
      <c r="J166" s="729"/>
      <c r="K166" s="729"/>
      <c r="L166" s="729"/>
      <c r="M166" s="729"/>
    </row>
    <row r="167" spans="2:20" x14ac:dyDescent="0.25">
      <c r="C167" s="727"/>
      <c r="D167" s="728"/>
      <c r="E167" s="728"/>
      <c r="F167" s="728"/>
      <c r="G167" s="728"/>
      <c r="H167" s="728"/>
      <c r="I167" s="729"/>
      <c r="J167" s="729"/>
      <c r="K167" s="729"/>
      <c r="L167" s="729"/>
      <c r="M167" s="729"/>
    </row>
    <row r="168" spans="2:20" x14ac:dyDescent="0.25">
      <c r="C168" s="727" t="s">
        <v>73</v>
      </c>
      <c r="D168" s="729" t="s">
        <v>267</v>
      </c>
      <c r="E168" s="729"/>
      <c r="F168" s="729"/>
      <c r="G168" s="729"/>
      <c r="H168" s="729"/>
      <c r="I168" s="729" t="s">
        <v>268</v>
      </c>
      <c r="J168" s="729"/>
      <c r="K168" s="729"/>
      <c r="L168" s="729"/>
      <c r="M168" s="729"/>
    </row>
    <row r="169" spans="2:20" x14ac:dyDescent="0.25">
      <c r="C169" s="727"/>
      <c r="D169" s="729"/>
      <c r="E169" s="729"/>
      <c r="F169" s="729"/>
      <c r="G169" s="729"/>
      <c r="H169" s="729"/>
      <c r="I169" s="729"/>
      <c r="J169" s="729"/>
      <c r="K169" s="729"/>
      <c r="L169" s="729"/>
      <c r="M169" s="729"/>
    </row>
    <row r="170" spans="2:20" x14ac:dyDescent="0.25">
      <c r="C170" s="727"/>
      <c r="D170" s="729" t="s">
        <v>343</v>
      </c>
      <c r="E170" s="729"/>
      <c r="F170" s="729"/>
      <c r="G170" s="729"/>
      <c r="H170" s="729"/>
      <c r="I170" s="729" t="s">
        <v>344</v>
      </c>
      <c r="J170" s="729"/>
      <c r="K170" s="729"/>
      <c r="L170" s="729"/>
      <c r="M170" s="729"/>
    </row>
    <row r="171" spans="2:20" x14ac:dyDescent="0.25">
      <c r="C171" s="727"/>
      <c r="D171" s="729"/>
      <c r="E171" s="729"/>
      <c r="F171" s="729"/>
      <c r="G171" s="729"/>
      <c r="H171" s="729"/>
      <c r="I171" s="729"/>
      <c r="J171" s="729"/>
      <c r="K171" s="729"/>
      <c r="L171" s="729"/>
      <c r="M171" s="729"/>
    </row>
    <row r="175" spans="2:20" x14ac:dyDescent="0.25">
      <c r="B175" s="731">
        <v>3</v>
      </c>
      <c r="C175" s="732" t="s">
        <v>345</v>
      </c>
      <c r="D175" s="732"/>
      <c r="E175" s="732"/>
      <c r="F175" s="732"/>
      <c r="G175" s="732"/>
      <c r="H175" s="732"/>
      <c r="I175" s="732"/>
      <c r="J175" s="732"/>
      <c r="K175" s="732"/>
      <c r="L175" s="732"/>
      <c r="M175" s="732"/>
      <c r="N175" s="732"/>
    </row>
    <row r="176" spans="2:20" x14ac:dyDescent="0.25">
      <c r="B176" s="731"/>
      <c r="C176" s="732"/>
      <c r="D176" s="732"/>
      <c r="E176" s="732"/>
      <c r="F176" s="732"/>
      <c r="G176" s="732"/>
      <c r="H176" s="732"/>
      <c r="I176" s="732"/>
      <c r="J176" s="732"/>
      <c r="K176" s="732"/>
      <c r="L176" s="732"/>
      <c r="M176" s="732"/>
      <c r="N176" s="732"/>
    </row>
    <row r="178" spans="2:14" ht="16.2" thickBot="1" x14ac:dyDescent="0.35">
      <c r="D178" s="733" t="s">
        <v>346</v>
      </c>
      <c r="E178" s="733"/>
      <c r="F178" s="733"/>
      <c r="G178" s="733"/>
      <c r="H178" s="733"/>
      <c r="I178" s="733" t="s">
        <v>347</v>
      </c>
      <c r="J178" s="733"/>
      <c r="K178" s="733"/>
      <c r="L178" s="733"/>
      <c r="M178" s="733"/>
    </row>
    <row r="179" spans="2:14" ht="15" customHeight="1" thickTop="1" x14ac:dyDescent="0.25">
      <c r="C179" s="727" t="s">
        <v>71</v>
      </c>
      <c r="D179" s="734" t="s">
        <v>348</v>
      </c>
      <c r="E179" s="735"/>
      <c r="F179" s="735"/>
      <c r="G179" s="735"/>
      <c r="H179" s="736"/>
      <c r="I179" s="734" t="s">
        <v>349</v>
      </c>
      <c r="J179" s="735"/>
      <c r="K179" s="735"/>
      <c r="L179" s="735"/>
      <c r="M179" s="736"/>
    </row>
    <row r="180" spans="2:14" x14ac:dyDescent="0.25">
      <c r="C180" s="727"/>
      <c r="D180" s="737"/>
      <c r="E180" s="738"/>
      <c r="F180" s="738"/>
      <c r="G180" s="738"/>
      <c r="H180" s="739"/>
      <c r="I180" s="737"/>
      <c r="J180" s="738"/>
      <c r="K180" s="738"/>
      <c r="L180" s="738"/>
      <c r="M180" s="739"/>
    </row>
    <row r="181" spans="2:14" x14ac:dyDescent="0.25">
      <c r="C181" s="727" t="s">
        <v>72</v>
      </c>
      <c r="D181" s="737"/>
      <c r="E181" s="738"/>
      <c r="F181" s="738"/>
      <c r="G181" s="738"/>
      <c r="H181" s="739"/>
      <c r="I181" s="737"/>
      <c r="J181" s="738"/>
      <c r="K181" s="738"/>
      <c r="L181" s="738"/>
      <c r="M181" s="739"/>
    </row>
    <row r="182" spans="2:14" x14ac:dyDescent="0.25">
      <c r="C182" s="727"/>
      <c r="D182" s="740"/>
      <c r="E182" s="741"/>
      <c r="F182" s="741"/>
      <c r="G182" s="741"/>
      <c r="H182" s="742"/>
      <c r="I182" s="740"/>
      <c r="J182" s="741"/>
      <c r="K182" s="741"/>
      <c r="L182" s="741"/>
      <c r="M182" s="742"/>
    </row>
    <row r="183" spans="2:14" ht="14.25" customHeight="1" x14ac:dyDescent="0.25">
      <c r="C183" s="727" t="s">
        <v>73</v>
      </c>
      <c r="D183" s="728" t="s">
        <v>350</v>
      </c>
      <c r="E183" s="728"/>
      <c r="F183" s="728"/>
      <c r="G183" s="728"/>
      <c r="H183" s="728"/>
      <c r="I183" s="728" t="s">
        <v>351</v>
      </c>
      <c r="J183" s="728"/>
      <c r="K183" s="728"/>
      <c r="L183" s="728"/>
      <c r="M183" s="728"/>
    </row>
    <row r="184" spans="2:14" x14ac:dyDescent="0.25">
      <c r="C184" s="727"/>
      <c r="D184" s="728"/>
      <c r="E184" s="728"/>
      <c r="F184" s="728"/>
      <c r="G184" s="728"/>
      <c r="H184" s="728"/>
      <c r="I184" s="728"/>
      <c r="J184" s="728"/>
      <c r="K184" s="728"/>
      <c r="L184" s="728"/>
      <c r="M184" s="728"/>
    </row>
    <row r="185" spans="2:14" x14ac:dyDescent="0.25">
      <c r="C185" s="727"/>
      <c r="D185" s="728"/>
      <c r="E185" s="728"/>
      <c r="F185" s="728"/>
      <c r="G185" s="728"/>
      <c r="H185" s="728"/>
      <c r="I185" s="728"/>
      <c r="J185" s="728"/>
      <c r="K185" s="728"/>
      <c r="L185" s="728"/>
      <c r="M185" s="728"/>
    </row>
    <row r="186" spans="2:14" x14ac:dyDescent="0.25">
      <c r="C186" s="727"/>
      <c r="D186" s="728"/>
      <c r="E186" s="728"/>
      <c r="F186" s="728"/>
      <c r="G186" s="728"/>
      <c r="H186" s="728"/>
      <c r="I186" s="728"/>
      <c r="J186" s="728"/>
      <c r="K186" s="728"/>
      <c r="L186" s="728"/>
      <c r="M186" s="728"/>
    </row>
    <row r="187" spans="2:14" x14ac:dyDescent="0.25">
      <c r="C187" s="727"/>
      <c r="D187" s="728"/>
      <c r="E187" s="728"/>
      <c r="F187" s="728"/>
      <c r="G187" s="728"/>
      <c r="H187" s="728"/>
      <c r="I187" s="728"/>
      <c r="J187" s="728"/>
      <c r="K187" s="728"/>
      <c r="L187" s="728"/>
      <c r="M187" s="728"/>
    </row>
    <row r="189" spans="2:14" x14ac:dyDescent="0.25">
      <c r="B189" s="731">
        <v>4</v>
      </c>
      <c r="C189" s="732" t="s">
        <v>352</v>
      </c>
      <c r="D189" s="732"/>
      <c r="E189" s="732"/>
      <c r="F189" s="732"/>
      <c r="G189" s="732"/>
      <c r="H189" s="732"/>
      <c r="I189" s="732"/>
      <c r="J189" s="732"/>
      <c r="K189" s="732"/>
      <c r="L189" s="732"/>
      <c r="M189" s="732"/>
      <c r="N189" s="732"/>
    </row>
    <row r="190" spans="2:14" x14ac:dyDescent="0.25">
      <c r="B190" s="731"/>
      <c r="C190" s="732"/>
      <c r="D190" s="732"/>
      <c r="E190" s="732"/>
      <c r="F190" s="732"/>
      <c r="G190" s="732"/>
      <c r="H190" s="732"/>
      <c r="I190" s="732"/>
      <c r="J190" s="732"/>
      <c r="K190" s="732"/>
      <c r="L190" s="732"/>
      <c r="M190" s="732"/>
      <c r="N190" s="732"/>
    </row>
    <row r="193" spans="3:13" ht="16.2" thickBot="1" x14ac:dyDescent="0.35">
      <c r="D193" s="733" t="s">
        <v>353</v>
      </c>
      <c r="E193" s="733"/>
      <c r="F193" s="733"/>
      <c r="G193" s="733"/>
      <c r="H193" s="733"/>
      <c r="I193" s="733" t="s">
        <v>354</v>
      </c>
      <c r="J193" s="733"/>
      <c r="K193" s="733"/>
      <c r="L193" s="733"/>
      <c r="M193" s="733"/>
    </row>
    <row r="194" spans="3:13" ht="14.4" thickTop="1" x14ac:dyDescent="0.25">
      <c r="C194" s="727" t="s">
        <v>71</v>
      </c>
      <c r="D194" s="730" t="s">
        <v>355</v>
      </c>
      <c r="E194" s="730"/>
      <c r="F194" s="730"/>
      <c r="G194" s="730"/>
      <c r="H194" s="730"/>
      <c r="I194" s="730" t="s">
        <v>356</v>
      </c>
      <c r="J194" s="730"/>
      <c r="K194" s="730"/>
      <c r="L194" s="730"/>
      <c r="M194" s="730"/>
    </row>
    <row r="195" spans="3:13" ht="112.5" customHeight="1" x14ac:dyDescent="0.25">
      <c r="C195" s="727"/>
      <c r="D195" s="728"/>
      <c r="E195" s="728"/>
      <c r="F195" s="728"/>
      <c r="G195" s="728"/>
      <c r="H195" s="728"/>
      <c r="I195" s="728"/>
      <c r="J195" s="728"/>
      <c r="K195" s="728"/>
      <c r="L195" s="728"/>
      <c r="M195" s="728"/>
    </row>
    <row r="196" spans="3:13" ht="39.75" customHeight="1" x14ac:dyDescent="0.25">
      <c r="C196" s="727" t="s">
        <v>72</v>
      </c>
      <c r="D196" s="728" t="s">
        <v>355</v>
      </c>
      <c r="E196" s="728"/>
      <c r="F196" s="728"/>
      <c r="G196" s="728"/>
      <c r="H196" s="728"/>
      <c r="I196" s="728" t="s">
        <v>357</v>
      </c>
      <c r="J196" s="728"/>
      <c r="K196" s="728"/>
      <c r="L196" s="728"/>
      <c r="M196" s="728"/>
    </row>
    <row r="197" spans="3:13" ht="30" customHeight="1" x14ac:dyDescent="0.25">
      <c r="C197" s="727"/>
      <c r="D197" s="728"/>
      <c r="E197" s="728"/>
      <c r="F197" s="728"/>
      <c r="G197" s="728"/>
      <c r="H197" s="728"/>
      <c r="I197" s="728"/>
      <c r="J197" s="728"/>
      <c r="K197" s="728"/>
      <c r="L197" s="728"/>
      <c r="M197" s="728"/>
    </row>
    <row r="198" spans="3:13" ht="36" customHeight="1" x14ac:dyDescent="0.25">
      <c r="C198" s="727" t="s">
        <v>73</v>
      </c>
      <c r="D198" s="728" t="s">
        <v>358</v>
      </c>
      <c r="E198" s="728"/>
      <c r="F198" s="728"/>
      <c r="G198" s="728"/>
      <c r="H198" s="728"/>
      <c r="I198" s="729" t="s">
        <v>359</v>
      </c>
      <c r="J198" s="729"/>
      <c r="K198" s="729"/>
      <c r="L198" s="729"/>
      <c r="M198" s="729"/>
    </row>
    <row r="199" spans="3:13" ht="51.75" customHeight="1" x14ac:dyDescent="0.25">
      <c r="C199" s="727"/>
      <c r="D199" s="728"/>
      <c r="E199" s="728"/>
      <c r="F199" s="728"/>
      <c r="G199" s="728"/>
      <c r="H199" s="728"/>
      <c r="I199" s="729"/>
      <c r="J199" s="729"/>
      <c r="K199" s="729"/>
      <c r="L199" s="729"/>
      <c r="M199" s="729"/>
    </row>
  </sheetData>
  <mergeCells count="122">
    <mergeCell ref="C3:M3"/>
    <mergeCell ref="B5:B6"/>
    <mergeCell ref="C5:N7"/>
    <mergeCell ref="B9:B10"/>
    <mergeCell ref="C9:N10"/>
    <mergeCell ref="I24:K24"/>
    <mergeCell ref="I25:K25"/>
    <mergeCell ref="I26:K26"/>
    <mergeCell ref="I27:K27"/>
    <mergeCell ref="I28:K29"/>
    <mergeCell ref="L28:L29"/>
    <mergeCell ref="B12:B13"/>
    <mergeCell ref="C12:N13"/>
    <mergeCell ref="B15:B16"/>
    <mergeCell ref="C15:N16"/>
    <mergeCell ref="I22:K22"/>
    <mergeCell ref="I23:K23"/>
    <mergeCell ref="B53:B54"/>
    <mergeCell ref="C53:N54"/>
    <mergeCell ref="E58:H60"/>
    <mergeCell ref="I58:L60"/>
    <mergeCell ref="M58:P60"/>
    <mergeCell ref="D91:H91"/>
    <mergeCell ref="I91:M91"/>
    <mergeCell ref="M28:M29"/>
    <mergeCell ref="N28:N29"/>
    <mergeCell ref="I30:K30"/>
    <mergeCell ref="I31:K31"/>
    <mergeCell ref="I32:K32"/>
    <mergeCell ref="I33:K33"/>
    <mergeCell ref="C100:C103"/>
    <mergeCell ref="D100:H101"/>
    <mergeCell ref="I100:M101"/>
    <mergeCell ref="D102:H103"/>
    <mergeCell ref="I102:M103"/>
    <mergeCell ref="B106:B107"/>
    <mergeCell ref="C106:T107"/>
    <mergeCell ref="C92:C95"/>
    <mergeCell ref="D92:H93"/>
    <mergeCell ref="I92:M93"/>
    <mergeCell ref="D94:H95"/>
    <mergeCell ref="I94:M95"/>
    <mergeCell ref="C96:C99"/>
    <mergeCell ref="D96:H97"/>
    <mergeCell ref="I96:M97"/>
    <mergeCell ref="D98:H99"/>
    <mergeCell ref="I98:M99"/>
    <mergeCell ref="B114:E116"/>
    <mergeCell ref="G114:I114"/>
    <mergeCell ref="B119:E121"/>
    <mergeCell ref="G119:I119"/>
    <mergeCell ref="G120:I120"/>
    <mergeCell ref="G123:I123"/>
    <mergeCell ref="B109:T109"/>
    <mergeCell ref="B110:K110"/>
    <mergeCell ref="L110:N111"/>
    <mergeCell ref="O110:Q111"/>
    <mergeCell ref="R110:T111"/>
    <mergeCell ref="B111:K111"/>
    <mergeCell ref="B134:K134"/>
    <mergeCell ref="B137:E138"/>
    <mergeCell ref="G137:I137"/>
    <mergeCell ref="G138:I138"/>
    <mergeCell ref="B142:E143"/>
    <mergeCell ref="G142:I142"/>
    <mergeCell ref="G143:I143"/>
    <mergeCell ref="G124:I124"/>
    <mergeCell ref="G126:I126"/>
    <mergeCell ref="B127:E128"/>
    <mergeCell ref="G127:I127"/>
    <mergeCell ref="G130:I130"/>
    <mergeCell ref="B131:E132"/>
    <mergeCell ref="G131:I131"/>
    <mergeCell ref="G155:I155"/>
    <mergeCell ref="B156:E157"/>
    <mergeCell ref="G156:I156"/>
    <mergeCell ref="G159:I159"/>
    <mergeCell ref="B160:F161"/>
    <mergeCell ref="G160:I160"/>
    <mergeCell ref="G147:I147"/>
    <mergeCell ref="B148:E149"/>
    <mergeCell ref="G148:I148"/>
    <mergeCell ref="G151:I151"/>
    <mergeCell ref="B152:E153"/>
    <mergeCell ref="G152:I152"/>
    <mergeCell ref="C168:C171"/>
    <mergeCell ref="D168:H169"/>
    <mergeCell ref="I168:M169"/>
    <mergeCell ref="D170:H171"/>
    <mergeCell ref="I170:M171"/>
    <mergeCell ref="B175:B176"/>
    <mergeCell ref="C175:N176"/>
    <mergeCell ref="D163:H163"/>
    <mergeCell ref="I163:M163"/>
    <mergeCell ref="C164:C165"/>
    <mergeCell ref="D164:H165"/>
    <mergeCell ref="I164:M165"/>
    <mergeCell ref="C166:C167"/>
    <mergeCell ref="D166:H167"/>
    <mergeCell ref="I166:M167"/>
    <mergeCell ref="C183:C187"/>
    <mergeCell ref="D183:H187"/>
    <mergeCell ref="I183:M187"/>
    <mergeCell ref="B189:B190"/>
    <mergeCell ref="C189:N190"/>
    <mergeCell ref="D193:H193"/>
    <mergeCell ref="I193:M193"/>
    <mergeCell ref="D178:H178"/>
    <mergeCell ref="I178:M178"/>
    <mergeCell ref="C179:C180"/>
    <mergeCell ref="D179:H182"/>
    <mergeCell ref="I179:M182"/>
    <mergeCell ref="C181:C182"/>
    <mergeCell ref="C198:C199"/>
    <mergeCell ref="D198:H199"/>
    <mergeCell ref="I198:M199"/>
    <mergeCell ref="C194:C195"/>
    <mergeCell ref="D194:H195"/>
    <mergeCell ref="I194:M195"/>
    <mergeCell ref="C196:C197"/>
    <mergeCell ref="D196:H197"/>
    <mergeCell ref="I196:M19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ENFOQUES</vt:lpstr>
      <vt:lpstr>FLUJOS ENTRADAS Y SALIDAS</vt:lpstr>
      <vt:lpstr>ANALISIS VERT- HORIZ</vt:lpstr>
      <vt:lpstr>ANALISIS VERT- HORIZ </vt:lpstr>
      <vt:lpstr>RAZONES FINANCIERAS</vt:lpstr>
      <vt:lpstr>RAZONES FINANCIERAS 2</vt:lpstr>
      <vt:lpstr>ANALISIS VERTICAL Y RAZONES FIN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ESPINOZA FERNANDA VALENTINA</dc:creator>
  <cp:lastModifiedBy>Alex Roblero</cp:lastModifiedBy>
  <dcterms:created xsi:type="dcterms:W3CDTF">2025-10-13T06:57:57Z</dcterms:created>
  <dcterms:modified xsi:type="dcterms:W3CDTF">2026-02-18T09:32:17Z</dcterms:modified>
</cp:coreProperties>
</file>